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slicers/slicer2.xml" ContentType="application/vnd.ms-excel.slicer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Documents\python_projects\test_learning\RecipeSite\"/>
    </mc:Choice>
  </mc:AlternateContent>
  <xr:revisionPtr revIDLastSave="0" documentId="8_{42544C04-0FFB-4FAB-A39A-3783DB921690}" xr6:coauthVersionLast="47" xr6:coauthVersionMax="47" xr10:uidLastSave="{00000000-0000-0000-0000-000000000000}"/>
  <bookViews>
    <workbookView xWindow="-120" yWindow="-120" windowWidth="29040" windowHeight="15720" tabRatio="832" firstSheet="1" activeTab="6" xr2:uid="{00000000-000D-0000-FFFF-FFFF00000000}"/>
  </bookViews>
  <sheets>
    <sheet name="Диапазоны" sheetId="2" r:id="rId1"/>
    <sheet name="Ингредиенты" sheetId="1" r:id="rId2"/>
    <sheet name="Рецепты" sheetId="3" r:id="rId3"/>
    <sheet name="СводРецепт" sheetId="11" r:id="rId4"/>
    <sheet name="СводЦена" sheetId="7" r:id="rId5"/>
    <sheet name="Делаю" sheetId="10" r:id="rId6"/>
    <sheet name="ТЛФН" sheetId="13" r:id="rId7"/>
  </sheets>
  <definedNames>
    <definedName name="_xlcn.WorksheetConnection_РК.xlsxИнгредиенты" hidden="1">Ингредиенты[]</definedName>
    <definedName name="_xlcn.WorksheetConnection_РК.xlsxРецепты" hidden="1">Рецепты[]</definedName>
    <definedName name="_xlnm._FilterDatabase" localSheetId="5" hidden="1">Делаю!#REF!</definedName>
    <definedName name="Вид_изделия">Диапазоны!$C$2:$C$7</definedName>
    <definedName name="Название">Рецепты[Название]</definedName>
    <definedName name="Название_ингредиента">Ингредиенты!$A$2:$A$1048576</definedName>
    <definedName name="Рецепты_для_Москит">Диапазоны!$K$25</definedName>
    <definedName name="Способ_приготовления">Диапазоны!$E$2:$E$1048576</definedName>
    <definedName name="Срез_Вид">#N/A</definedName>
    <definedName name="Срез_Вид1">#N/A</definedName>
    <definedName name="Срез_Вид2">#N/A</definedName>
    <definedName name="Срез_Где_покупать">#N/A</definedName>
    <definedName name="Срез_Название">#N/A</definedName>
    <definedName name="Срез_Название1">#N/A</definedName>
    <definedName name="Срез_Наличие">#N/A</definedName>
    <definedName name="Срез_Способ">#N/A</definedName>
    <definedName name="Срез_Способ1">#N/A</definedName>
    <definedName name="Срез_Способ2">#N/A</definedName>
    <definedName name="Срез_Сырье">#N/A</definedName>
    <definedName name="Сырье">Диапазоны!$A$2:$A$1048576</definedName>
  </definedNames>
  <calcPr calcId="191028"/>
  <pivotCaches>
    <pivotCache cacheId="0" r:id="rId8"/>
    <pivotCache cacheId="1" r:id="rId9"/>
  </pivotCaches>
  <extLst>
    <ext xmlns:x14="http://schemas.microsoft.com/office/spreadsheetml/2009/9/main" uri="{876F7934-8845-4945-9796-88D515C7AA90}">
      <x14:pivotCaches>
        <pivotCache cacheId="2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6"/>
        <x14:slicerCache r:id="rId17"/>
        <x14:slicerCache r:id="rId18"/>
        <x14:slicerCache r:id="rId19"/>
        <x14:slicerCache r:id="rId20"/>
        <x14:slicerCache r:id="rId21"/>
      </x15:slicerCach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Рецепты" name="Рецепты" connection="WorksheetConnection_РК.xlsx!Рецепты"/>
          <x15:modelTable id="Ингредиенты" name="Ингредиенты" connection="WorksheetConnection_РК.xlsx!Ингредиенты"/>
        </x15:modelTables>
        <x15:modelRelationships>
          <x15:modelRelationship fromTable="Рецепты" fromColumn="Название" toTable="Ингредиенты" toColumn="Название ингредиента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0" l="1"/>
  <c r="F33" i="10"/>
  <c r="G33" i="10"/>
  <c r="H33" i="10"/>
  <c r="I33" i="10"/>
  <c r="J33" i="10"/>
  <c r="K33" i="10"/>
  <c r="L33" i="10"/>
  <c r="M33" i="10"/>
  <c r="O33" i="10"/>
  <c r="O32" i="10"/>
  <c r="J32" i="10"/>
  <c r="M32" i="10"/>
  <c r="K32" i="10"/>
  <c r="L32" i="10"/>
  <c r="I32" i="10"/>
  <c r="H32" i="10"/>
  <c r="G32" i="10"/>
  <c r="F32" i="10"/>
  <c r="B32" i="10"/>
  <c r="B533" i="3"/>
  <c r="C533" i="3"/>
  <c r="E533" i="3"/>
  <c r="G533" i="3"/>
  <c r="C41" i="1"/>
  <c r="H533" i="3"/>
  <c r="I533" i="3"/>
  <c r="J533" i="3"/>
  <c r="K533" i="3"/>
  <c r="L533" i="3"/>
  <c r="M533" i="3"/>
  <c r="R533" i="3"/>
  <c r="B532" i="3"/>
  <c r="C532" i="3"/>
  <c r="E532" i="3"/>
  <c r="G532" i="3"/>
  <c r="C55" i="1"/>
  <c r="H532" i="3"/>
  <c r="I532" i="3"/>
  <c r="J532" i="3"/>
  <c r="K532" i="3"/>
  <c r="L532" i="3"/>
  <c r="M532" i="3"/>
  <c r="R532" i="3"/>
  <c r="B531" i="3"/>
  <c r="C531" i="3"/>
  <c r="E531" i="3"/>
  <c r="G531" i="3"/>
  <c r="C57" i="1"/>
  <c r="H531" i="3"/>
  <c r="I531" i="3"/>
  <c r="J531" i="3"/>
  <c r="K531" i="3"/>
  <c r="L531" i="3"/>
  <c r="M531" i="3"/>
  <c r="R531" i="3"/>
  <c r="B530" i="3"/>
  <c r="C530" i="3"/>
  <c r="E530" i="3"/>
  <c r="G530" i="3"/>
  <c r="C53" i="1"/>
  <c r="H530" i="3"/>
  <c r="I530" i="3"/>
  <c r="J530" i="3"/>
  <c r="K530" i="3"/>
  <c r="L530" i="3"/>
  <c r="M530" i="3"/>
  <c r="R530" i="3"/>
  <c r="B529" i="3"/>
  <c r="C529" i="3"/>
  <c r="E529" i="3"/>
  <c r="G529" i="3"/>
  <c r="C38" i="1"/>
  <c r="H529" i="3"/>
  <c r="I529" i="3"/>
  <c r="J529" i="3"/>
  <c r="K529" i="3"/>
  <c r="L529" i="3"/>
  <c r="M529" i="3"/>
  <c r="R529" i="3"/>
  <c r="B528" i="3"/>
  <c r="C528" i="3"/>
  <c r="E528" i="3"/>
  <c r="G528" i="3"/>
  <c r="C36" i="1"/>
  <c r="H528" i="3"/>
  <c r="I528" i="3"/>
  <c r="J528" i="3"/>
  <c r="K528" i="3"/>
  <c r="L528" i="3"/>
  <c r="M528" i="3"/>
  <c r="R528" i="3"/>
  <c r="B527" i="3"/>
  <c r="E527" i="3"/>
  <c r="G527" i="3"/>
  <c r="C33" i="1"/>
  <c r="H527" i="3"/>
  <c r="I527" i="3"/>
  <c r="J527" i="3"/>
  <c r="K527" i="3"/>
  <c r="L527" i="3"/>
  <c r="M527" i="3"/>
  <c r="R527" i="3"/>
  <c r="O31" i="10"/>
  <c r="J31" i="10"/>
  <c r="M31" i="10"/>
  <c r="K31" i="10"/>
  <c r="L31" i="10"/>
  <c r="I31" i="10"/>
  <c r="H31" i="10"/>
  <c r="G31" i="10"/>
  <c r="F31" i="10"/>
  <c r="B31" i="10"/>
  <c r="O30" i="10"/>
  <c r="J30" i="10"/>
  <c r="M30" i="10"/>
  <c r="K30" i="10"/>
  <c r="L30" i="10"/>
  <c r="I30" i="10"/>
  <c r="H30" i="10"/>
  <c r="G30" i="10"/>
  <c r="F30" i="10"/>
  <c r="B30" i="10"/>
  <c r="E526" i="3"/>
  <c r="G526" i="3"/>
  <c r="C92" i="1"/>
  <c r="H526" i="3"/>
  <c r="I526" i="3"/>
  <c r="J526" i="3"/>
  <c r="K526" i="3"/>
  <c r="R526" i="3"/>
  <c r="E525" i="3"/>
  <c r="G525" i="3"/>
  <c r="I525" i="3"/>
  <c r="J525" i="3"/>
  <c r="C91" i="1"/>
  <c r="K525" i="3"/>
  <c r="L525" i="3"/>
  <c r="R525" i="3"/>
  <c r="E524" i="3"/>
  <c r="G524" i="3"/>
  <c r="C90" i="1"/>
  <c r="H524" i="3"/>
  <c r="I524" i="3"/>
  <c r="J524" i="3"/>
  <c r="L524" i="3"/>
  <c r="R524" i="3"/>
  <c r="E523" i="3"/>
  <c r="G523" i="3"/>
  <c r="C89" i="1"/>
  <c r="H523" i="3"/>
  <c r="I523" i="3"/>
  <c r="J523" i="3"/>
  <c r="K523" i="3"/>
  <c r="L523" i="3"/>
  <c r="R523" i="3"/>
  <c r="E522" i="3"/>
  <c r="G522" i="3"/>
  <c r="C65" i="1"/>
  <c r="H522" i="3"/>
  <c r="I522" i="3"/>
  <c r="J522" i="3"/>
  <c r="L522" i="3"/>
  <c r="R522" i="3"/>
  <c r="E521" i="3"/>
  <c r="G521" i="3"/>
  <c r="C64" i="1"/>
  <c r="H521" i="3"/>
  <c r="I521" i="3"/>
  <c r="J521" i="3"/>
  <c r="K521" i="3"/>
  <c r="L521" i="3"/>
  <c r="R521" i="3"/>
  <c r="C67" i="1"/>
  <c r="E520" i="3"/>
  <c r="G520" i="3"/>
  <c r="I520" i="3"/>
  <c r="J520" i="3"/>
  <c r="C85" i="1"/>
  <c r="K520" i="3"/>
  <c r="L520" i="3"/>
  <c r="R520" i="3"/>
  <c r="E519" i="3"/>
  <c r="G519" i="3"/>
  <c r="I519" i="3"/>
  <c r="J519" i="3"/>
  <c r="L519" i="3"/>
  <c r="R519" i="3"/>
  <c r="E518" i="3"/>
  <c r="G518" i="3"/>
  <c r="I518" i="3"/>
  <c r="J518" i="3"/>
  <c r="L518" i="3"/>
  <c r="R518" i="3"/>
  <c r="E517" i="3"/>
  <c r="G517" i="3"/>
  <c r="C61" i="1"/>
  <c r="H517" i="3"/>
  <c r="I517" i="3"/>
  <c r="J517" i="3"/>
  <c r="L517" i="3"/>
  <c r="R517" i="3"/>
  <c r="B516" i="3"/>
  <c r="B517" i="3"/>
  <c r="B518" i="3"/>
  <c r="B519" i="3"/>
  <c r="B520" i="3"/>
  <c r="B521" i="3"/>
  <c r="B522" i="3"/>
  <c r="B523" i="3"/>
  <c r="B524" i="3"/>
  <c r="B525" i="3"/>
  <c r="B526" i="3"/>
  <c r="C516" i="3"/>
  <c r="C517" i="3"/>
  <c r="C518" i="3"/>
  <c r="E516" i="3"/>
  <c r="G516" i="3"/>
  <c r="I516" i="3"/>
  <c r="J516" i="3"/>
  <c r="K516" i="3"/>
  <c r="L516" i="3"/>
  <c r="M516" i="3"/>
  <c r="R516" i="3"/>
  <c r="E515" i="3"/>
  <c r="G515" i="3"/>
  <c r="I515" i="3"/>
  <c r="J515" i="3"/>
  <c r="K515" i="3"/>
  <c r="L515" i="3"/>
  <c r="R515" i="3"/>
  <c r="E514" i="3"/>
  <c r="G514" i="3"/>
  <c r="I514" i="3"/>
  <c r="J514" i="3"/>
  <c r="C93" i="1"/>
  <c r="K514" i="3"/>
  <c r="L514" i="3"/>
  <c r="R514" i="3"/>
  <c r="E513" i="3"/>
  <c r="G513" i="3"/>
  <c r="C34" i="1"/>
  <c r="H513" i="3"/>
  <c r="I513" i="3"/>
  <c r="J513" i="3"/>
  <c r="K513" i="3"/>
  <c r="L513" i="3"/>
  <c r="R513" i="3"/>
  <c r="E512" i="3"/>
  <c r="G512" i="3"/>
  <c r="C37" i="1"/>
  <c r="H512" i="3"/>
  <c r="I512" i="3"/>
  <c r="J512" i="3"/>
  <c r="K512" i="3"/>
  <c r="L512" i="3"/>
  <c r="R512" i="3"/>
  <c r="B511" i="3"/>
  <c r="B512" i="3"/>
  <c r="B513" i="3"/>
  <c r="B514" i="3"/>
  <c r="B515" i="3"/>
  <c r="C511" i="3"/>
  <c r="M511" i="3"/>
  <c r="E511" i="3"/>
  <c r="G511" i="3"/>
  <c r="I511" i="3"/>
  <c r="J511" i="3"/>
  <c r="R511" i="3"/>
  <c r="C17" i="1"/>
  <c r="C30" i="1"/>
  <c r="E510" i="3"/>
  <c r="G510" i="3"/>
  <c r="I510" i="3"/>
  <c r="J510" i="3"/>
  <c r="K510" i="3"/>
  <c r="L510" i="3"/>
  <c r="M510" i="3"/>
  <c r="R510" i="3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B27" i="10"/>
  <c r="B29" i="10"/>
  <c r="F27" i="10"/>
  <c r="F28" i="10"/>
  <c r="F29" i="10"/>
  <c r="G27" i="10"/>
  <c r="G28" i="10"/>
  <c r="G29" i="10"/>
  <c r="H27" i="10"/>
  <c r="H28" i="10"/>
  <c r="H29" i="10"/>
  <c r="I27" i="10"/>
  <c r="I28" i="10"/>
  <c r="I29" i="10"/>
  <c r="J27" i="10"/>
  <c r="M27" i="10"/>
  <c r="J28" i="10"/>
  <c r="M28" i="10"/>
  <c r="J29" i="10"/>
  <c r="M29" i="10"/>
  <c r="K27" i="10"/>
  <c r="L27" i="10"/>
  <c r="K28" i="10"/>
  <c r="L28" i="10"/>
  <c r="K29" i="10"/>
  <c r="L29" i="10"/>
  <c r="B26" i="10"/>
  <c r="F26" i="10"/>
  <c r="G26" i="10"/>
  <c r="H26" i="10"/>
  <c r="I26" i="10"/>
  <c r="J26" i="10"/>
  <c r="M26" i="10"/>
  <c r="K26" i="10"/>
  <c r="L26" i="10"/>
  <c r="E509" i="3"/>
  <c r="G509" i="3"/>
  <c r="C109" i="1"/>
  <c r="H509" i="3"/>
  <c r="I509" i="3"/>
  <c r="J509" i="3"/>
  <c r="L509" i="3"/>
  <c r="R509" i="3"/>
  <c r="E508" i="3"/>
  <c r="G508" i="3"/>
  <c r="I508" i="3"/>
  <c r="J508" i="3"/>
  <c r="C73" i="1"/>
  <c r="K508" i="3"/>
  <c r="L508" i="3"/>
  <c r="R508" i="3"/>
  <c r="E507" i="3"/>
  <c r="G507" i="3"/>
  <c r="I507" i="3"/>
  <c r="J507" i="3"/>
  <c r="C63" i="1"/>
  <c r="K507" i="3"/>
  <c r="L507" i="3"/>
  <c r="R507" i="3"/>
  <c r="E506" i="3"/>
  <c r="G506" i="3"/>
  <c r="I506" i="3"/>
  <c r="J506" i="3"/>
  <c r="L506" i="3"/>
  <c r="R506" i="3"/>
  <c r="C69" i="1"/>
  <c r="E505" i="3"/>
  <c r="G505" i="3"/>
  <c r="I505" i="3"/>
  <c r="J505" i="3"/>
  <c r="C98" i="1"/>
  <c r="K505" i="3"/>
  <c r="L505" i="3"/>
  <c r="R505" i="3"/>
  <c r="E504" i="3"/>
  <c r="G504" i="3"/>
  <c r="H504" i="3"/>
  <c r="I504" i="3"/>
  <c r="J504" i="3"/>
  <c r="K504" i="3"/>
  <c r="L504" i="3"/>
  <c r="R504" i="3"/>
  <c r="E503" i="3"/>
  <c r="G503" i="3"/>
  <c r="C66" i="1"/>
  <c r="H503" i="3"/>
  <c r="I503" i="3"/>
  <c r="J503" i="3"/>
  <c r="K503" i="3"/>
  <c r="L503" i="3"/>
  <c r="R503" i="3"/>
  <c r="E502" i="3"/>
  <c r="G502" i="3"/>
  <c r="I502" i="3"/>
  <c r="J502" i="3"/>
  <c r="C68" i="1"/>
  <c r="K502" i="3"/>
  <c r="L502" i="3"/>
  <c r="R502" i="3"/>
  <c r="E501" i="3"/>
  <c r="G501" i="3"/>
  <c r="I501" i="3"/>
  <c r="J501" i="3"/>
  <c r="C58" i="1"/>
  <c r="K501" i="3"/>
  <c r="L501" i="3"/>
  <c r="R501" i="3"/>
  <c r="E500" i="3"/>
  <c r="G500" i="3"/>
  <c r="C72" i="1"/>
  <c r="H500" i="3"/>
  <c r="I500" i="3"/>
  <c r="J500" i="3"/>
  <c r="L500" i="3"/>
  <c r="R500" i="3"/>
  <c r="E499" i="3"/>
  <c r="G499" i="3"/>
  <c r="C54" i="1"/>
  <c r="H499" i="3"/>
  <c r="I499" i="3"/>
  <c r="J499" i="3"/>
  <c r="K499" i="3"/>
  <c r="L499" i="3"/>
  <c r="R499" i="3"/>
  <c r="E498" i="3"/>
  <c r="G498" i="3"/>
  <c r="H498" i="3"/>
  <c r="I498" i="3"/>
  <c r="J498" i="3"/>
  <c r="K498" i="3"/>
  <c r="L498" i="3"/>
  <c r="R498" i="3"/>
  <c r="E497" i="3"/>
  <c r="G497" i="3"/>
  <c r="I497" i="3"/>
  <c r="J497" i="3"/>
  <c r="R497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C496" i="3"/>
  <c r="C497" i="3"/>
  <c r="E496" i="3"/>
  <c r="G496" i="3"/>
  <c r="I496" i="3"/>
  <c r="J496" i="3"/>
  <c r="C4" i="1"/>
  <c r="K496" i="3"/>
  <c r="R496" i="3"/>
  <c r="E495" i="3"/>
  <c r="G495" i="3"/>
  <c r="I495" i="3"/>
  <c r="J495" i="3"/>
  <c r="C6" i="1"/>
  <c r="K495" i="3"/>
  <c r="L495" i="3"/>
  <c r="M495" i="3"/>
  <c r="R495" i="3"/>
  <c r="J25" i="10"/>
  <c r="M25" i="10"/>
  <c r="K25" i="10"/>
  <c r="L25" i="10"/>
  <c r="I25" i="10"/>
  <c r="H25" i="10"/>
  <c r="G25" i="10"/>
  <c r="F25" i="10"/>
  <c r="B25" i="10"/>
  <c r="C3" i="13" a="1"/>
  <c r="C3" i="13"/>
  <c r="D1" i="13"/>
  <c r="B3" i="13" a="1"/>
  <c r="D6" i="13"/>
  <c r="D16" i="13"/>
  <c r="E20" i="13"/>
  <c r="E21" i="13"/>
  <c r="D1" i="11"/>
  <c r="D18" i="13"/>
  <c r="D19" i="13"/>
  <c r="D20" i="13"/>
  <c r="D21" i="13"/>
  <c r="D22" i="13"/>
  <c r="E494" i="3"/>
  <c r="G494" i="3"/>
  <c r="C111" i="1"/>
  <c r="H494" i="3"/>
  <c r="I494" i="3"/>
  <c r="J494" i="3"/>
  <c r="K494" i="3"/>
  <c r="L494" i="3"/>
  <c r="R494" i="3"/>
  <c r="E493" i="3"/>
  <c r="G493" i="3"/>
  <c r="I493" i="3"/>
  <c r="J493" i="3"/>
  <c r="C44" i="1"/>
  <c r="K493" i="3"/>
  <c r="L493" i="3"/>
  <c r="R493" i="3"/>
  <c r="G492" i="3"/>
  <c r="E492" i="3"/>
  <c r="I492" i="3"/>
  <c r="J492" i="3"/>
  <c r="K492" i="3"/>
  <c r="L492" i="3"/>
  <c r="R492" i="3"/>
  <c r="E491" i="3"/>
  <c r="G491" i="3"/>
  <c r="H491" i="3"/>
  <c r="I491" i="3"/>
  <c r="J491" i="3"/>
  <c r="K491" i="3"/>
  <c r="L491" i="3"/>
  <c r="R491" i="3"/>
  <c r="E490" i="3"/>
  <c r="G490" i="3"/>
  <c r="H490" i="3"/>
  <c r="I490" i="3"/>
  <c r="J490" i="3"/>
  <c r="L490" i="3"/>
  <c r="R490" i="3"/>
  <c r="E489" i="3"/>
  <c r="G489" i="3"/>
  <c r="H489" i="3"/>
  <c r="I489" i="3"/>
  <c r="J489" i="3"/>
  <c r="K489" i="3"/>
  <c r="L489" i="3"/>
  <c r="R489" i="3"/>
  <c r="E488" i="3"/>
  <c r="G488" i="3"/>
  <c r="I488" i="3"/>
  <c r="J488" i="3"/>
  <c r="K488" i="3"/>
  <c r="L488" i="3"/>
  <c r="R488" i="3"/>
  <c r="E487" i="3"/>
  <c r="G487" i="3"/>
  <c r="I487" i="3"/>
  <c r="J487" i="3"/>
  <c r="C10" i="1"/>
  <c r="K487" i="3"/>
  <c r="R487" i="3"/>
  <c r="B486" i="3"/>
  <c r="B487" i="3"/>
  <c r="B488" i="3"/>
  <c r="B489" i="3"/>
  <c r="B490" i="3"/>
  <c r="B491" i="3"/>
  <c r="B492" i="3"/>
  <c r="B493" i="3"/>
  <c r="B494" i="3"/>
  <c r="C486" i="3"/>
  <c r="L486" i="3"/>
  <c r="E486" i="3"/>
  <c r="G486" i="3"/>
  <c r="I486" i="3"/>
  <c r="J486" i="3"/>
  <c r="C3" i="1"/>
  <c r="K486" i="3"/>
  <c r="R486" i="3"/>
  <c r="E485" i="3"/>
  <c r="G485" i="3"/>
  <c r="I485" i="3"/>
  <c r="J485" i="3"/>
  <c r="L485" i="3"/>
  <c r="M485" i="3"/>
  <c r="R485" i="3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G24" i="10"/>
  <c r="F24" i="10"/>
  <c r="I24" i="10"/>
  <c r="K24" i="10"/>
  <c r="L24" i="10"/>
  <c r="J24" i="10"/>
  <c r="M24" i="10"/>
  <c r="B23" i="10"/>
  <c r="F23" i="10"/>
  <c r="G23" i="10"/>
  <c r="I23" i="10"/>
  <c r="K23" i="10"/>
  <c r="L23" i="10"/>
  <c r="J23" i="10"/>
  <c r="M23" i="10"/>
  <c r="F22" i="10"/>
  <c r="G22" i="10"/>
  <c r="I22" i="10"/>
  <c r="K22" i="10"/>
  <c r="L22" i="10"/>
  <c r="J22" i="10"/>
  <c r="M22" i="10"/>
  <c r="E484" i="3"/>
  <c r="G484" i="3"/>
  <c r="I484" i="3"/>
  <c r="J484" i="3"/>
  <c r="K484" i="3"/>
  <c r="L484" i="3"/>
  <c r="R484" i="3"/>
  <c r="E483" i="3"/>
  <c r="G483" i="3"/>
  <c r="I483" i="3"/>
  <c r="J483" i="3"/>
  <c r="K483" i="3"/>
  <c r="L483" i="3"/>
  <c r="R483" i="3"/>
  <c r="E482" i="3"/>
  <c r="G482" i="3"/>
  <c r="H482" i="3"/>
  <c r="I482" i="3"/>
  <c r="J482" i="3"/>
  <c r="K482" i="3"/>
  <c r="L482" i="3"/>
  <c r="R482" i="3"/>
  <c r="E481" i="3"/>
  <c r="G481" i="3"/>
  <c r="H481" i="3"/>
  <c r="I481" i="3"/>
  <c r="J481" i="3"/>
  <c r="L481" i="3"/>
  <c r="R481" i="3"/>
  <c r="B480" i="3"/>
  <c r="B481" i="3"/>
  <c r="B482" i="3"/>
  <c r="B483" i="3"/>
  <c r="B484" i="3"/>
  <c r="C480" i="3"/>
  <c r="C481" i="3"/>
  <c r="E480" i="3"/>
  <c r="G480" i="3"/>
  <c r="H480" i="3"/>
  <c r="I480" i="3"/>
  <c r="J480" i="3"/>
  <c r="K480" i="3"/>
  <c r="L480" i="3"/>
  <c r="R480" i="3"/>
  <c r="E479" i="3"/>
  <c r="G479" i="3"/>
  <c r="H479" i="3"/>
  <c r="L479" i="3"/>
  <c r="M479" i="3"/>
  <c r="N479" i="3"/>
  <c r="O479" i="3"/>
  <c r="I479" i="3"/>
  <c r="J479" i="3"/>
  <c r="K479" i="3"/>
  <c r="R479" i="3"/>
  <c r="E478" i="3"/>
  <c r="G478" i="3"/>
  <c r="I478" i="3"/>
  <c r="J478" i="3"/>
  <c r="L478" i="3"/>
  <c r="R478" i="3"/>
  <c r="E474" i="3"/>
  <c r="E475" i="3"/>
  <c r="E476" i="3"/>
  <c r="E477" i="3"/>
  <c r="G474" i="3"/>
  <c r="G475" i="3"/>
  <c r="G476" i="3"/>
  <c r="H476" i="3"/>
  <c r="G477" i="3"/>
  <c r="I474" i="3"/>
  <c r="J474" i="3"/>
  <c r="C29" i="1"/>
  <c r="K474" i="3"/>
  <c r="I475" i="3"/>
  <c r="J475" i="3"/>
  <c r="K475" i="3"/>
  <c r="I476" i="3"/>
  <c r="J476" i="3"/>
  <c r="I477" i="3"/>
  <c r="J477" i="3"/>
  <c r="K477" i="3"/>
  <c r="L474" i="3"/>
  <c r="L475" i="3"/>
  <c r="H475" i="3"/>
  <c r="M475" i="3"/>
  <c r="N475" i="3"/>
  <c r="O475" i="3"/>
  <c r="L476" i="3"/>
  <c r="L477" i="3"/>
  <c r="R474" i="3"/>
  <c r="R475" i="3"/>
  <c r="R476" i="3"/>
  <c r="R477" i="3"/>
  <c r="I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K2" i="10"/>
  <c r="L2" i="10"/>
  <c r="K3" i="10"/>
  <c r="L3" i="10"/>
  <c r="K4" i="10"/>
  <c r="L4" i="10"/>
  <c r="K5" i="10"/>
  <c r="L5" i="10"/>
  <c r="K6" i="10"/>
  <c r="L6" i="10"/>
  <c r="K7" i="10"/>
  <c r="L7" i="10"/>
  <c r="K8" i="10"/>
  <c r="L8" i="10"/>
  <c r="K9" i="10"/>
  <c r="L9" i="10"/>
  <c r="K10" i="10"/>
  <c r="L10" i="10"/>
  <c r="K11" i="10"/>
  <c r="L11" i="10"/>
  <c r="K12" i="10"/>
  <c r="L12" i="10"/>
  <c r="K13" i="10"/>
  <c r="L13" i="10"/>
  <c r="K14" i="10"/>
  <c r="L14" i="10"/>
  <c r="K15" i="10"/>
  <c r="L15" i="10"/>
  <c r="K16" i="10"/>
  <c r="L16" i="10"/>
  <c r="K17" i="10"/>
  <c r="L17" i="10"/>
  <c r="K18" i="10"/>
  <c r="L18" i="10"/>
  <c r="K19" i="10"/>
  <c r="L19" i="10"/>
  <c r="K20" i="10"/>
  <c r="L20" i="10"/>
  <c r="K21" i="10"/>
  <c r="L21" i="10"/>
  <c r="J2" i="10"/>
  <c r="M2" i="10"/>
  <c r="J3" i="10"/>
  <c r="M3" i="10"/>
  <c r="J4" i="10"/>
  <c r="M4" i="10"/>
  <c r="J5" i="10"/>
  <c r="M5" i="10"/>
  <c r="J6" i="10"/>
  <c r="M6" i="10"/>
  <c r="J7" i="10"/>
  <c r="M7" i="10"/>
  <c r="J8" i="10"/>
  <c r="M8" i="10"/>
  <c r="J9" i="10"/>
  <c r="M9" i="10"/>
  <c r="J10" i="10"/>
  <c r="M10" i="10"/>
  <c r="J11" i="10"/>
  <c r="M11" i="10"/>
  <c r="J12" i="10"/>
  <c r="M12" i="10"/>
  <c r="J13" i="10"/>
  <c r="M13" i="10"/>
  <c r="J14" i="10"/>
  <c r="M14" i="10"/>
  <c r="J15" i="10"/>
  <c r="M15" i="10"/>
  <c r="J16" i="10"/>
  <c r="M16" i="10"/>
  <c r="J17" i="10"/>
  <c r="M17" i="10"/>
  <c r="J18" i="10"/>
  <c r="M18" i="10"/>
  <c r="J19" i="10"/>
  <c r="M19" i="10"/>
  <c r="J20" i="10"/>
  <c r="M20" i="10"/>
  <c r="J21" i="10"/>
  <c r="M21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F21" i="10"/>
  <c r="B20" i="10"/>
  <c r="F20" i="10"/>
  <c r="F1" i="13"/>
  <c r="B465" i="3"/>
  <c r="B466" i="3"/>
  <c r="B467" i="3"/>
  <c r="B468" i="3"/>
  <c r="B469" i="3"/>
  <c r="B470" i="3"/>
  <c r="B471" i="3"/>
  <c r="B472" i="3"/>
  <c r="B473" i="3"/>
  <c r="B475" i="3"/>
  <c r="B476" i="3"/>
  <c r="B477" i="3"/>
  <c r="B478" i="3"/>
  <c r="C465" i="3"/>
  <c r="E464" i="3"/>
  <c r="E465" i="3"/>
  <c r="E466" i="3"/>
  <c r="E467" i="3"/>
  <c r="E468" i="3"/>
  <c r="E469" i="3"/>
  <c r="E470" i="3"/>
  <c r="E471" i="3"/>
  <c r="E472" i="3"/>
  <c r="E473" i="3"/>
  <c r="G464" i="3"/>
  <c r="G465" i="3"/>
  <c r="G466" i="3"/>
  <c r="H466" i="3"/>
  <c r="G467" i="3"/>
  <c r="G468" i="3"/>
  <c r="H468" i="3"/>
  <c r="G469" i="3"/>
  <c r="H469" i="3"/>
  <c r="G470" i="3"/>
  <c r="H470" i="3"/>
  <c r="G471" i="3"/>
  <c r="G472" i="3"/>
  <c r="G473" i="3"/>
  <c r="I464" i="3"/>
  <c r="J464" i="3"/>
  <c r="C8" i="1"/>
  <c r="K464" i="3"/>
  <c r="I465" i="3"/>
  <c r="J465" i="3"/>
  <c r="C18" i="1"/>
  <c r="K465" i="3"/>
  <c r="I466" i="3"/>
  <c r="J466" i="3"/>
  <c r="K466" i="3"/>
  <c r="I467" i="3"/>
  <c r="J467" i="3"/>
  <c r="K467" i="3"/>
  <c r="I468" i="3"/>
  <c r="J468" i="3"/>
  <c r="K468" i="3"/>
  <c r="I469" i="3"/>
  <c r="J469" i="3"/>
  <c r="K469" i="3"/>
  <c r="I470" i="3"/>
  <c r="J470" i="3"/>
  <c r="K470" i="3"/>
  <c r="I471" i="3"/>
  <c r="J471" i="3"/>
  <c r="C88" i="1"/>
  <c r="K471" i="3"/>
  <c r="I472" i="3"/>
  <c r="J472" i="3"/>
  <c r="C62" i="1"/>
  <c r="K472" i="3"/>
  <c r="I473" i="3"/>
  <c r="J473" i="3"/>
  <c r="K473" i="3"/>
  <c r="L464" i="3"/>
  <c r="L465" i="3"/>
  <c r="L466" i="3"/>
  <c r="L467" i="3"/>
  <c r="L468" i="3"/>
  <c r="L469" i="3"/>
  <c r="L470" i="3"/>
  <c r="L471" i="3"/>
  <c r="L472" i="3"/>
  <c r="L473" i="3"/>
  <c r="M464" i="3"/>
  <c r="R464" i="3"/>
  <c r="R465" i="3"/>
  <c r="R466" i="3"/>
  <c r="R467" i="3"/>
  <c r="R468" i="3"/>
  <c r="R469" i="3"/>
  <c r="R470" i="3"/>
  <c r="R471" i="3"/>
  <c r="R472" i="3"/>
  <c r="R473" i="3"/>
  <c r="E18" i="3"/>
  <c r="G18" i="3"/>
  <c r="I18" i="3"/>
  <c r="J18" i="3"/>
  <c r="K18" i="3"/>
  <c r="L18" i="3"/>
  <c r="R18" i="3"/>
  <c r="M12" i="3"/>
  <c r="M16" i="3"/>
  <c r="M41" i="3"/>
  <c r="M54" i="3"/>
  <c r="M69" i="3"/>
  <c r="M84" i="3"/>
  <c r="M95" i="3"/>
  <c r="M108" i="3"/>
  <c r="M154" i="3"/>
  <c r="M181" i="3"/>
  <c r="M186" i="3"/>
  <c r="M196" i="3"/>
  <c r="M217" i="3"/>
  <c r="M223" i="3"/>
  <c r="M243" i="3"/>
  <c r="M268" i="3"/>
  <c r="M293" i="3"/>
  <c r="M300" i="3"/>
  <c r="M308" i="3"/>
  <c r="M318" i="3"/>
  <c r="M335" i="3"/>
  <c r="M345" i="3"/>
  <c r="M354" i="3"/>
  <c r="M357" i="3"/>
  <c r="M369" i="3"/>
  <c r="M376" i="3"/>
  <c r="M384" i="3"/>
  <c r="M397" i="3"/>
  <c r="M409" i="3"/>
  <c r="M421" i="3"/>
  <c r="M425" i="3"/>
  <c r="M436" i="3"/>
  <c r="M445" i="3"/>
  <c r="M453" i="3"/>
  <c r="L12" i="3"/>
  <c r="L14" i="3"/>
  <c r="L15" i="3"/>
  <c r="L16" i="3"/>
  <c r="L17" i="3"/>
  <c r="L19" i="3"/>
  <c r="L20" i="3"/>
  <c r="L23" i="3"/>
  <c r="L24" i="3"/>
  <c r="L25" i="3"/>
  <c r="L26" i="3"/>
  <c r="L27" i="3"/>
  <c r="L28" i="3"/>
  <c r="L29" i="3"/>
  <c r="L30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7" i="3"/>
  <c r="L48" i="3"/>
  <c r="L49" i="3"/>
  <c r="L50" i="3"/>
  <c r="L51" i="3"/>
  <c r="L52" i="3"/>
  <c r="L53" i="3"/>
  <c r="L54" i="3"/>
  <c r="L55" i="3"/>
  <c r="L56" i="3"/>
  <c r="L58" i="3"/>
  <c r="L59" i="3"/>
  <c r="L60" i="3"/>
  <c r="L61" i="3"/>
  <c r="L62" i="3"/>
  <c r="L63" i="3"/>
  <c r="L64" i="3"/>
  <c r="L66" i="3"/>
  <c r="L67" i="3"/>
  <c r="L68" i="3"/>
  <c r="L69" i="3"/>
  <c r="L71" i="3"/>
  <c r="L72" i="3"/>
  <c r="L73" i="3"/>
  <c r="L74" i="3"/>
  <c r="L75" i="3"/>
  <c r="L78" i="3"/>
  <c r="L79" i="3"/>
  <c r="L80" i="3"/>
  <c r="L81" i="3"/>
  <c r="L82" i="3"/>
  <c r="L83" i="3"/>
  <c r="L84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11" i="3"/>
  <c r="L112" i="3"/>
  <c r="L113" i="3"/>
  <c r="L114" i="3"/>
  <c r="L115" i="3"/>
  <c r="L116" i="3"/>
  <c r="L117" i="3"/>
  <c r="L118" i="3"/>
  <c r="L119" i="3"/>
  <c r="L120" i="3"/>
  <c r="L123" i="3"/>
  <c r="L124" i="3"/>
  <c r="L125" i="3"/>
  <c r="L126" i="3"/>
  <c r="L127" i="3"/>
  <c r="L128" i="3"/>
  <c r="L129" i="3"/>
  <c r="L130" i="3"/>
  <c r="L131" i="3"/>
  <c r="L135" i="3"/>
  <c r="L136" i="3"/>
  <c r="L137" i="3"/>
  <c r="L138" i="3"/>
  <c r="L139" i="3"/>
  <c r="L140" i="3"/>
  <c r="L141" i="3"/>
  <c r="L142" i="3"/>
  <c r="L145" i="3"/>
  <c r="L146" i="3"/>
  <c r="L147" i="3"/>
  <c r="L148" i="3"/>
  <c r="L149" i="3"/>
  <c r="L150" i="3"/>
  <c r="L151" i="3"/>
  <c r="L152" i="3"/>
  <c r="L153" i="3"/>
  <c r="L154" i="3"/>
  <c r="L156" i="3"/>
  <c r="L157" i="3"/>
  <c r="L158" i="3"/>
  <c r="L159" i="3"/>
  <c r="L160" i="3"/>
  <c r="L161" i="3"/>
  <c r="L162" i="3"/>
  <c r="L165" i="3"/>
  <c r="L166" i="3"/>
  <c r="L167" i="3"/>
  <c r="L168" i="3"/>
  <c r="L169" i="3"/>
  <c r="L170" i="3"/>
  <c r="L171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6" i="3"/>
  <c r="L227" i="3"/>
  <c r="L228" i="3"/>
  <c r="L229" i="3"/>
  <c r="L230" i="3"/>
  <c r="L231" i="3"/>
  <c r="L232" i="3"/>
  <c r="L233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2" i="3"/>
  <c r="L253" i="3"/>
  <c r="L254" i="3"/>
  <c r="L255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80" i="3"/>
  <c r="L281" i="3"/>
  <c r="L282" i="3"/>
  <c r="L283" i="3"/>
  <c r="L284" i="3"/>
  <c r="L285" i="3"/>
  <c r="L288" i="3"/>
  <c r="L289" i="3"/>
  <c r="L290" i="3"/>
  <c r="L291" i="3"/>
  <c r="L292" i="3"/>
  <c r="L293" i="3"/>
  <c r="L296" i="3"/>
  <c r="L297" i="3"/>
  <c r="L298" i="3"/>
  <c r="L299" i="3"/>
  <c r="L300" i="3"/>
  <c r="L301" i="3"/>
  <c r="L302" i="3"/>
  <c r="L303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7" i="3"/>
  <c r="L348" i="3"/>
  <c r="L349" i="3"/>
  <c r="L350" i="3"/>
  <c r="L351" i="3"/>
  <c r="L352" i="3"/>
  <c r="L353" i="3"/>
  <c r="L354" i="3"/>
  <c r="C26" i="1"/>
  <c r="G354" i="3"/>
  <c r="H354" i="3"/>
  <c r="N354" i="3"/>
  <c r="O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6" i="3"/>
  <c r="L387" i="3"/>
  <c r="L390" i="3"/>
  <c r="L391" i="3"/>
  <c r="L392" i="3"/>
  <c r="L393" i="3"/>
  <c r="L394" i="3"/>
  <c r="L395" i="3"/>
  <c r="L396" i="3"/>
  <c r="L397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5" i="3"/>
  <c r="L416" i="3"/>
  <c r="L417" i="3"/>
  <c r="L418" i="3"/>
  <c r="L419" i="3"/>
  <c r="L420" i="3"/>
  <c r="L421" i="3"/>
  <c r="L422" i="3"/>
  <c r="L423" i="3"/>
  <c r="L424" i="3"/>
  <c r="L425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3" i="3"/>
  <c r="L444" i="3"/>
  <c r="L445" i="3"/>
  <c r="L446" i="3"/>
  <c r="L447" i="3"/>
  <c r="L448" i="3"/>
  <c r="L449" i="3"/>
  <c r="L450" i="3"/>
  <c r="L451" i="3"/>
  <c r="L452" i="3"/>
  <c r="L453" i="3"/>
  <c r="L456" i="3"/>
  <c r="L457" i="3"/>
  <c r="L458" i="3"/>
  <c r="L459" i="3"/>
  <c r="L460" i="3"/>
  <c r="L461" i="3"/>
  <c r="L462" i="3"/>
  <c r="L463" i="3"/>
  <c r="E460" i="3"/>
  <c r="E461" i="3"/>
  <c r="E462" i="3"/>
  <c r="E463" i="3"/>
  <c r="G460" i="3"/>
  <c r="G461" i="3"/>
  <c r="G462" i="3"/>
  <c r="C70" i="1"/>
  <c r="H462" i="3"/>
  <c r="G463" i="3"/>
  <c r="I460" i="3"/>
  <c r="J460" i="3"/>
  <c r="K460" i="3"/>
  <c r="I461" i="3"/>
  <c r="J461" i="3"/>
  <c r="K461" i="3"/>
  <c r="I462" i="3"/>
  <c r="J462" i="3"/>
  <c r="K462" i="3"/>
  <c r="I463" i="3"/>
  <c r="J463" i="3"/>
  <c r="R460" i="3"/>
  <c r="R461" i="3"/>
  <c r="R462" i="3"/>
  <c r="R463" i="3"/>
  <c r="B454" i="3"/>
  <c r="B455" i="3"/>
  <c r="B456" i="3"/>
  <c r="B457" i="3"/>
  <c r="B458" i="3"/>
  <c r="B459" i="3"/>
  <c r="B460" i="3"/>
  <c r="B461" i="3"/>
  <c r="B462" i="3"/>
  <c r="B463" i="3"/>
  <c r="C454" i="3"/>
  <c r="C455" i="3"/>
  <c r="E453" i="3"/>
  <c r="E454" i="3"/>
  <c r="E455" i="3"/>
  <c r="E456" i="3"/>
  <c r="E457" i="3"/>
  <c r="E458" i="3"/>
  <c r="E459" i="3"/>
  <c r="G453" i="3"/>
  <c r="G454" i="3"/>
  <c r="C13" i="1"/>
  <c r="H454" i="3"/>
  <c r="G455" i="3"/>
  <c r="C9" i="1"/>
  <c r="H455" i="3"/>
  <c r="G456" i="3"/>
  <c r="G457" i="3"/>
  <c r="G458" i="3"/>
  <c r="H458" i="3"/>
  <c r="G459" i="3"/>
  <c r="H459" i="3"/>
  <c r="I453" i="3"/>
  <c r="J453" i="3"/>
  <c r="K453" i="3"/>
  <c r="I454" i="3"/>
  <c r="J454" i="3"/>
  <c r="K454" i="3"/>
  <c r="I455" i="3"/>
  <c r="J455" i="3"/>
  <c r="K455" i="3"/>
  <c r="I456" i="3"/>
  <c r="J456" i="3"/>
  <c r="K456" i="3"/>
  <c r="I457" i="3"/>
  <c r="J457" i="3"/>
  <c r="I458" i="3"/>
  <c r="J458" i="3"/>
  <c r="K458" i="3"/>
  <c r="I459" i="3"/>
  <c r="J459" i="3"/>
  <c r="K459" i="3"/>
  <c r="R453" i="3"/>
  <c r="R454" i="3"/>
  <c r="R455" i="3"/>
  <c r="R456" i="3"/>
  <c r="R457" i="3"/>
  <c r="R458" i="3"/>
  <c r="R459" i="3"/>
  <c r="E452" i="3"/>
  <c r="G452" i="3"/>
  <c r="H452" i="3"/>
  <c r="I452" i="3"/>
  <c r="J452" i="3"/>
  <c r="K452" i="3"/>
  <c r="R452" i="3"/>
  <c r="C446" i="3"/>
  <c r="E445" i="3"/>
  <c r="E446" i="3"/>
  <c r="E447" i="3"/>
  <c r="E448" i="3"/>
  <c r="E449" i="3"/>
  <c r="E450" i="3"/>
  <c r="E451" i="3"/>
  <c r="G445" i="3"/>
  <c r="H445" i="3"/>
  <c r="G446" i="3"/>
  <c r="G447" i="3"/>
  <c r="G448" i="3"/>
  <c r="H448" i="3"/>
  <c r="G449" i="3"/>
  <c r="H449" i="3"/>
  <c r="G450" i="3"/>
  <c r="C39" i="1"/>
  <c r="H450" i="3"/>
  <c r="G451" i="3"/>
  <c r="I445" i="3"/>
  <c r="J445" i="3"/>
  <c r="K445" i="3"/>
  <c r="I446" i="3"/>
  <c r="J446" i="3"/>
  <c r="K446" i="3"/>
  <c r="I447" i="3"/>
  <c r="J447" i="3"/>
  <c r="K447" i="3"/>
  <c r="I448" i="3"/>
  <c r="J448" i="3"/>
  <c r="K448" i="3"/>
  <c r="I449" i="3"/>
  <c r="J449" i="3"/>
  <c r="K449" i="3"/>
  <c r="I450" i="3"/>
  <c r="J450" i="3"/>
  <c r="I451" i="3"/>
  <c r="J451" i="3"/>
  <c r="K451" i="3"/>
  <c r="R445" i="3"/>
  <c r="R446" i="3"/>
  <c r="R447" i="3"/>
  <c r="R448" i="3"/>
  <c r="R449" i="3"/>
  <c r="R450" i="3"/>
  <c r="R451" i="3"/>
  <c r="E440" i="3"/>
  <c r="E441" i="3"/>
  <c r="E442" i="3"/>
  <c r="E443" i="3"/>
  <c r="E444" i="3"/>
  <c r="G440" i="3"/>
  <c r="G441" i="3"/>
  <c r="G442" i="3"/>
  <c r="H442" i="3"/>
  <c r="G443" i="3"/>
  <c r="G444" i="3"/>
  <c r="H444" i="3"/>
  <c r="I440" i="3"/>
  <c r="J440" i="3"/>
  <c r="C35" i="1"/>
  <c r="K440" i="3"/>
  <c r="I441" i="3"/>
  <c r="J441" i="3"/>
  <c r="K441" i="3"/>
  <c r="I442" i="3"/>
  <c r="J442" i="3"/>
  <c r="K442" i="3"/>
  <c r="I443" i="3"/>
  <c r="J443" i="3"/>
  <c r="K443" i="3"/>
  <c r="I444" i="3"/>
  <c r="J444" i="3"/>
  <c r="K444" i="3"/>
  <c r="R440" i="3"/>
  <c r="R441" i="3"/>
  <c r="R442" i="3"/>
  <c r="R443" i="3"/>
  <c r="R444" i="3"/>
  <c r="E439" i="3"/>
  <c r="G439" i="3"/>
  <c r="H439" i="3"/>
  <c r="I439" i="3"/>
  <c r="J439" i="3"/>
  <c r="K439" i="3"/>
  <c r="R439" i="3"/>
  <c r="E438" i="3"/>
  <c r="G438" i="3"/>
  <c r="H438" i="3"/>
  <c r="I438" i="3"/>
  <c r="J438" i="3"/>
  <c r="K438" i="3"/>
  <c r="R438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C437" i="3"/>
  <c r="M437" i="3"/>
  <c r="E437" i="3"/>
  <c r="G437" i="3"/>
  <c r="H437" i="3"/>
  <c r="I437" i="3"/>
  <c r="J437" i="3"/>
  <c r="K437" i="3"/>
  <c r="R437" i="3"/>
  <c r="E436" i="3"/>
  <c r="G436" i="3"/>
  <c r="I436" i="3"/>
  <c r="J436" i="3"/>
  <c r="R436" i="3"/>
  <c r="E435" i="3"/>
  <c r="G435" i="3"/>
  <c r="H435" i="3"/>
  <c r="I435" i="3"/>
  <c r="J435" i="3"/>
  <c r="K435" i="3"/>
  <c r="R435" i="3"/>
  <c r="E434" i="3"/>
  <c r="G434" i="3"/>
  <c r="I434" i="3"/>
  <c r="J434" i="3"/>
  <c r="K434" i="3"/>
  <c r="R434" i="3"/>
  <c r="E433" i="3"/>
  <c r="G433" i="3"/>
  <c r="I433" i="3"/>
  <c r="J433" i="3"/>
  <c r="K433" i="3"/>
  <c r="R433" i="3"/>
  <c r="E432" i="3"/>
  <c r="G432" i="3"/>
  <c r="C76" i="1"/>
  <c r="H432" i="3"/>
  <c r="I432" i="3"/>
  <c r="J432" i="3"/>
  <c r="K432" i="3"/>
  <c r="R432" i="3"/>
  <c r="E431" i="3"/>
  <c r="G431" i="3"/>
  <c r="H431" i="3"/>
  <c r="I431" i="3"/>
  <c r="J431" i="3"/>
  <c r="K431" i="3"/>
  <c r="R431" i="3"/>
  <c r="E430" i="3"/>
  <c r="G430" i="3"/>
  <c r="I430" i="3"/>
  <c r="J430" i="3"/>
  <c r="K430" i="3"/>
  <c r="R430" i="3"/>
  <c r="B426" i="3"/>
  <c r="B427" i="3"/>
  <c r="C426" i="3"/>
  <c r="C427" i="3"/>
  <c r="E426" i="3"/>
  <c r="E427" i="3"/>
  <c r="E428" i="3"/>
  <c r="E429" i="3"/>
  <c r="G426" i="3"/>
  <c r="H426" i="3"/>
  <c r="G427" i="3"/>
  <c r="H427" i="3"/>
  <c r="G428" i="3"/>
  <c r="G429" i="3"/>
  <c r="H429" i="3"/>
  <c r="I426" i="3"/>
  <c r="J426" i="3"/>
  <c r="K426" i="3"/>
  <c r="I427" i="3"/>
  <c r="J427" i="3"/>
  <c r="K427" i="3"/>
  <c r="I428" i="3"/>
  <c r="J428" i="3"/>
  <c r="C42" i="1"/>
  <c r="K428" i="3"/>
  <c r="I429" i="3"/>
  <c r="J429" i="3"/>
  <c r="K429" i="3"/>
  <c r="R426" i="3"/>
  <c r="R427" i="3"/>
  <c r="R428" i="3"/>
  <c r="R429" i="3"/>
  <c r="E425" i="3"/>
  <c r="G425" i="3"/>
  <c r="I425" i="3"/>
  <c r="J425" i="3"/>
  <c r="K425" i="3"/>
  <c r="R425" i="3"/>
  <c r="C422" i="3"/>
  <c r="C423" i="3"/>
  <c r="E422" i="3"/>
  <c r="E423" i="3"/>
  <c r="E424" i="3"/>
  <c r="G422" i="3"/>
  <c r="G423" i="3"/>
  <c r="H423" i="3"/>
  <c r="G424" i="3"/>
  <c r="I422" i="3"/>
  <c r="J422" i="3"/>
  <c r="K422" i="3"/>
  <c r="I423" i="3"/>
  <c r="J423" i="3"/>
  <c r="K423" i="3"/>
  <c r="I424" i="3"/>
  <c r="J424" i="3"/>
  <c r="K424" i="3"/>
  <c r="R422" i="3"/>
  <c r="R423" i="3"/>
  <c r="R424" i="3"/>
  <c r="E421" i="3"/>
  <c r="G421" i="3"/>
  <c r="I421" i="3"/>
  <c r="R421" i="3"/>
  <c r="E420" i="3"/>
  <c r="G420" i="3"/>
  <c r="I420" i="3"/>
  <c r="J420" i="3"/>
  <c r="C113" i="1"/>
  <c r="K420" i="3"/>
  <c r="R420" i="3"/>
  <c r="E415" i="3"/>
  <c r="E416" i="3"/>
  <c r="E417" i="3"/>
  <c r="E418" i="3"/>
  <c r="E419" i="3"/>
  <c r="G415" i="3"/>
  <c r="H415" i="3"/>
  <c r="G416" i="3"/>
  <c r="H416" i="3"/>
  <c r="G417" i="3"/>
  <c r="G418" i="3"/>
  <c r="G419" i="3"/>
  <c r="I415" i="3"/>
  <c r="J415" i="3"/>
  <c r="K415" i="3"/>
  <c r="I416" i="3"/>
  <c r="J416" i="3"/>
  <c r="K416" i="3"/>
  <c r="I417" i="3"/>
  <c r="J417" i="3"/>
  <c r="C56" i="1"/>
  <c r="K417" i="3"/>
  <c r="I418" i="3"/>
  <c r="J418" i="3"/>
  <c r="K418" i="3"/>
  <c r="I419" i="3"/>
  <c r="J419" i="3"/>
  <c r="K419" i="3"/>
  <c r="R415" i="3"/>
  <c r="R416" i="3"/>
  <c r="R417" i="3"/>
  <c r="R418" i="3"/>
  <c r="R419" i="3"/>
  <c r="E414" i="3"/>
  <c r="G414" i="3"/>
  <c r="I414" i="3"/>
  <c r="J414" i="3"/>
  <c r="R414" i="3"/>
  <c r="E413" i="3"/>
  <c r="G413" i="3"/>
  <c r="I413" i="3"/>
  <c r="J413" i="3"/>
  <c r="K413" i="3"/>
  <c r="R413" i="3"/>
  <c r="E412" i="3"/>
  <c r="G412" i="3"/>
  <c r="I412" i="3"/>
  <c r="J412" i="3"/>
  <c r="C81" i="1"/>
  <c r="K412" i="3"/>
  <c r="R412" i="3"/>
  <c r="E411" i="3"/>
  <c r="G411" i="3"/>
  <c r="I411" i="3"/>
  <c r="J411" i="3"/>
  <c r="C80" i="1"/>
  <c r="K411" i="3"/>
  <c r="R411" i="3"/>
  <c r="B410" i="3"/>
  <c r="C410" i="3"/>
  <c r="C411" i="3"/>
  <c r="E410" i="3"/>
  <c r="G410" i="3"/>
  <c r="I410" i="3"/>
  <c r="J410" i="3"/>
  <c r="K410" i="3"/>
  <c r="R410" i="3"/>
  <c r="E409" i="3"/>
  <c r="G409" i="3"/>
  <c r="I409" i="3"/>
  <c r="J409" i="3"/>
  <c r="K409" i="3"/>
  <c r="R409" i="3"/>
  <c r="G27" i="3"/>
  <c r="H27" i="3"/>
  <c r="G43" i="3"/>
  <c r="H43" i="3"/>
  <c r="G163" i="3"/>
  <c r="G171" i="3"/>
  <c r="H171" i="3"/>
  <c r="G187" i="3"/>
  <c r="G235" i="3"/>
  <c r="C52" i="1"/>
  <c r="H235" i="3"/>
  <c r="G251" i="3"/>
  <c r="G259" i="3"/>
  <c r="G267" i="3"/>
  <c r="C108" i="1"/>
  <c r="H267" i="3"/>
  <c r="G275" i="3"/>
  <c r="C97" i="1"/>
  <c r="H275" i="3"/>
  <c r="G299" i="3"/>
  <c r="G323" i="3"/>
  <c r="H323" i="3"/>
  <c r="G339" i="3"/>
  <c r="G355" i="3"/>
  <c r="G363" i="3"/>
  <c r="G379" i="3"/>
  <c r="G387" i="3"/>
  <c r="H387" i="3"/>
  <c r="G283" i="3"/>
  <c r="H283" i="3"/>
  <c r="G403" i="3"/>
  <c r="G407" i="3"/>
  <c r="H407" i="3"/>
  <c r="G408" i="3"/>
  <c r="C112" i="1"/>
  <c r="H408" i="3"/>
  <c r="E408" i="3"/>
  <c r="I408" i="3"/>
  <c r="J408" i="3"/>
  <c r="R408" i="3"/>
  <c r="E407" i="3"/>
  <c r="I407" i="3"/>
  <c r="J407" i="3"/>
  <c r="K407" i="3"/>
  <c r="R407" i="3"/>
  <c r="E406" i="3"/>
  <c r="G406" i="3"/>
  <c r="I406" i="3"/>
  <c r="J406" i="3"/>
  <c r="K406" i="3"/>
  <c r="R406" i="3"/>
  <c r="E405" i="3"/>
  <c r="G405" i="3"/>
  <c r="H405" i="3"/>
  <c r="I405" i="3"/>
  <c r="J405" i="3"/>
  <c r="R405" i="3"/>
  <c r="E404" i="3"/>
  <c r="G404" i="3"/>
  <c r="C71" i="1"/>
  <c r="H404" i="3"/>
  <c r="I404" i="3"/>
  <c r="J404" i="3"/>
  <c r="K404" i="3"/>
  <c r="R404" i="3"/>
  <c r="E403" i="3"/>
  <c r="I403" i="3"/>
  <c r="J403" i="3"/>
  <c r="K403" i="3"/>
  <c r="R403" i="3"/>
  <c r="E402" i="3"/>
  <c r="G402" i="3"/>
  <c r="I402" i="3"/>
  <c r="J402" i="3"/>
  <c r="K402" i="3"/>
  <c r="R402" i="3"/>
  <c r="E401" i="3"/>
  <c r="G401" i="3"/>
  <c r="I401" i="3"/>
  <c r="J401" i="3"/>
  <c r="K401" i="3"/>
  <c r="R401" i="3"/>
  <c r="E400" i="3"/>
  <c r="G400" i="3"/>
  <c r="H400" i="3"/>
  <c r="I400" i="3"/>
  <c r="J400" i="3"/>
  <c r="R400" i="3"/>
  <c r="E399" i="3"/>
  <c r="G399" i="3"/>
  <c r="I399" i="3"/>
  <c r="J399" i="3"/>
  <c r="K399" i="3"/>
  <c r="R399" i="3"/>
  <c r="B398" i="3"/>
  <c r="B399" i="3"/>
  <c r="B400" i="3"/>
  <c r="B401" i="3"/>
  <c r="B402" i="3"/>
  <c r="B403" i="3"/>
  <c r="B404" i="3"/>
  <c r="B405" i="3"/>
  <c r="B406" i="3"/>
  <c r="B407" i="3"/>
  <c r="B408" i="3"/>
  <c r="E398" i="3"/>
  <c r="G398" i="3"/>
  <c r="H398" i="3"/>
  <c r="I398" i="3"/>
  <c r="R398" i="3"/>
  <c r="E397" i="3"/>
  <c r="G397" i="3"/>
  <c r="I397" i="3"/>
  <c r="J397" i="3"/>
  <c r="K397" i="3"/>
  <c r="R397" i="3"/>
  <c r="C84" i="1"/>
  <c r="E395" i="3"/>
  <c r="E396" i="3"/>
  <c r="G396" i="3"/>
  <c r="I395" i="3"/>
  <c r="J395" i="3"/>
  <c r="K395" i="3"/>
  <c r="I396" i="3"/>
  <c r="J396" i="3"/>
  <c r="K396" i="3"/>
  <c r="R395" i="3"/>
  <c r="R396" i="3"/>
  <c r="C83" i="1"/>
  <c r="E392" i="3"/>
  <c r="E393" i="3"/>
  <c r="E394" i="3"/>
  <c r="G392" i="3"/>
  <c r="G393" i="3"/>
  <c r="H393" i="3"/>
  <c r="G394" i="3"/>
  <c r="I392" i="3"/>
  <c r="J392" i="3"/>
  <c r="K392" i="3"/>
  <c r="I393" i="3"/>
  <c r="J393" i="3"/>
  <c r="K393" i="3"/>
  <c r="I394" i="3"/>
  <c r="J394" i="3"/>
  <c r="K394" i="3"/>
  <c r="R392" i="3"/>
  <c r="R393" i="3"/>
  <c r="R394" i="3"/>
  <c r="C31" i="1"/>
  <c r="C32" i="1"/>
  <c r="B385" i="3"/>
  <c r="B386" i="3"/>
  <c r="B387" i="3"/>
  <c r="B388" i="3"/>
  <c r="B389" i="3"/>
  <c r="B390" i="3"/>
  <c r="B391" i="3"/>
  <c r="B392" i="3"/>
  <c r="B393" i="3"/>
  <c r="B394" i="3"/>
  <c r="B395" i="3"/>
  <c r="B396" i="3"/>
  <c r="C385" i="3"/>
  <c r="E385" i="3"/>
  <c r="E386" i="3"/>
  <c r="E387" i="3"/>
  <c r="E388" i="3"/>
  <c r="E389" i="3"/>
  <c r="E390" i="3"/>
  <c r="E391" i="3"/>
  <c r="G385" i="3"/>
  <c r="H385" i="3"/>
  <c r="G386" i="3"/>
  <c r="H386" i="3"/>
  <c r="G388" i="3"/>
  <c r="G389" i="3"/>
  <c r="H389" i="3"/>
  <c r="G390" i="3"/>
  <c r="G391" i="3"/>
  <c r="I385" i="3"/>
  <c r="J385" i="3"/>
  <c r="K385" i="3"/>
  <c r="I386" i="3"/>
  <c r="J386" i="3"/>
  <c r="I387" i="3"/>
  <c r="J387" i="3"/>
  <c r="K387" i="3"/>
  <c r="I388" i="3"/>
  <c r="J388" i="3"/>
  <c r="K388" i="3"/>
  <c r="I389" i="3"/>
  <c r="J389" i="3"/>
  <c r="K389" i="3"/>
  <c r="I390" i="3"/>
  <c r="J390" i="3"/>
  <c r="I391" i="3"/>
  <c r="J391" i="3"/>
  <c r="K391" i="3"/>
  <c r="R385" i="3"/>
  <c r="R386" i="3"/>
  <c r="R387" i="3"/>
  <c r="R388" i="3"/>
  <c r="R389" i="3"/>
  <c r="R390" i="3"/>
  <c r="R391" i="3"/>
  <c r="E384" i="3"/>
  <c r="G384" i="3"/>
  <c r="I384" i="3"/>
  <c r="J384" i="3"/>
  <c r="K384" i="3"/>
  <c r="R384" i="3"/>
  <c r="B19" i="10"/>
  <c r="F19" i="10"/>
  <c r="B18" i="10"/>
  <c r="F18" i="10"/>
  <c r="E383" i="3"/>
  <c r="G383" i="3"/>
  <c r="I383" i="3"/>
  <c r="J383" i="3"/>
  <c r="K383" i="3"/>
  <c r="R383" i="3"/>
  <c r="E382" i="3"/>
  <c r="G382" i="3"/>
  <c r="I382" i="3"/>
  <c r="J382" i="3"/>
  <c r="K382" i="3"/>
  <c r="R382" i="3"/>
  <c r="E381" i="3"/>
  <c r="G381" i="3"/>
  <c r="I381" i="3"/>
  <c r="J381" i="3"/>
  <c r="K381" i="3"/>
  <c r="R381" i="3"/>
  <c r="E380" i="3"/>
  <c r="G380" i="3"/>
  <c r="I380" i="3"/>
  <c r="J380" i="3"/>
  <c r="K380" i="3"/>
  <c r="R380" i="3"/>
  <c r="E379" i="3"/>
  <c r="I379" i="3"/>
  <c r="J379" i="3"/>
  <c r="C59" i="1"/>
  <c r="K379" i="3"/>
  <c r="R379" i="3"/>
  <c r="E378" i="3"/>
  <c r="G378" i="3"/>
  <c r="I378" i="3"/>
  <c r="J378" i="3"/>
  <c r="R378" i="3"/>
  <c r="C377" i="3"/>
  <c r="M377" i="3"/>
  <c r="E377" i="3"/>
  <c r="G377" i="3"/>
  <c r="I377" i="3"/>
  <c r="J377" i="3"/>
  <c r="K377" i="3"/>
  <c r="R377" i="3"/>
  <c r="E376" i="3"/>
  <c r="G376" i="3"/>
  <c r="I376" i="3"/>
  <c r="J376" i="3"/>
  <c r="R376" i="3"/>
  <c r="E375" i="3"/>
  <c r="G375" i="3"/>
  <c r="H375" i="3"/>
  <c r="I375" i="3"/>
  <c r="J375" i="3"/>
  <c r="K375" i="3"/>
  <c r="R375" i="3"/>
  <c r="E374" i="3"/>
  <c r="G374" i="3"/>
  <c r="I374" i="3"/>
  <c r="J374" i="3"/>
  <c r="K374" i="3"/>
  <c r="R374" i="3"/>
  <c r="E373" i="3"/>
  <c r="G373" i="3"/>
  <c r="H373" i="3"/>
  <c r="I373" i="3"/>
  <c r="J373" i="3"/>
  <c r="K373" i="3"/>
  <c r="R373" i="3"/>
  <c r="E372" i="3"/>
  <c r="G372" i="3"/>
  <c r="I372" i="3"/>
  <c r="J372" i="3"/>
  <c r="C45" i="1"/>
  <c r="K372" i="3"/>
  <c r="R372" i="3"/>
  <c r="E371" i="3"/>
  <c r="I371" i="3"/>
  <c r="J371" i="3"/>
  <c r="R371" i="3"/>
  <c r="C370" i="3"/>
  <c r="E370" i="3"/>
  <c r="G370" i="3"/>
  <c r="H370" i="3"/>
  <c r="I370" i="3"/>
  <c r="J370" i="3"/>
  <c r="K370" i="3"/>
  <c r="R370" i="3"/>
  <c r="E369" i="3"/>
  <c r="G369" i="3"/>
  <c r="I369" i="3"/>
  <c r="J369" i="3"/>
  <c r="C24" i="1"/>
  <c r="K369" i="3"/>
  <c r="R369" i="3"/>
  <c r="E368" i="3"/>
  <c r="G368" i="3"/>
  <c r="I368" i="3"/>
  <c r="J368" i="3"/>
  <c r="C94" i="1"/>
  <c r="K368" i="3"/>
  <c r="R368" i="3"/>
  <c r="E367" i="3"/>
  <c r="G367" i="3"/>
  <c r="H367" i="3"/>
  <c r="I367" i="3"/>
  <c r="J367" i="3"/>
  <c r="R367" i="3"/>
  <c r="E366" i="3"/>
  <c r="G366" i="3"/>
  <c r="I366" i="3"/>
  <c r="R366" i="3"/>
  <c r="E365" i="3"/>
  <c r="G365" i="3"/>
  <c r="I365" i="3"/>
  <c r="J365" i="3"/>
  <c r="C95" i="1"/>
  <c r="K365" i="3"/>
  <c r="R365" i="3"/>
  <c r="E364" i="3"/>
  <c r="G364" i="3"/>
  <c r="C77" i="1"/>
  <c r="H364" i="3"/>
  <c r="I364" i="3"/>
  <c r="J364" i="3"/>
  <c r="K364" i="3"/>
  <c r="R364" i="3"/>
  <c r="E363" i="3"/>
  <c r="I363" i="3"/>
  <c r="J363" i="3"/>
  <c r="C60" i="1"/>
  <c r="K363" i="3"/>
  <c r="R363" i="3"/>
  <c r="E362" i="3"/>
  <c r="G362" i="3"/>
  <c r="H362" i="3"/>
  <c r="I362" i="3"/>
  <c r="J362" i="3"/>
  <c r="R362" i="3"/>
  <c r="E361" i="3"/>
  <c r="G361" i="3"/>
  <c r="H361" i="3"/>
  <c r="I361" i="3"/>
  <c r="J361" i="3"/>
  <c r="K361" i="3"/>
  <c r="R361" i="3"/>
  <c r="E360" i="3"/>
  <c r="G360" i="3"/>
  <c r="H360" i="3"/>
  <c r="I360" i="3"/>
  <c r="J360" i="3"/>
  <c r="K360" i="3"/>
  <c r="R360" i="3"/>
  <c r="E359" i="3"/>
  <c r="G359" i="3"/>
  <c r="H359" i="3"/>
  <c r="I359" i="3"/>
  <c r="J359" i="3"/>
  <c r="K359" i="3"/>
  <c r="R359" i="3"/>
  <c r="E358" i="3"/>
  <c r="G358" i="3"/>
  <c r="I358" i="3"/>
  <c r="J358" i="3"/>
  <c r="K358" i="3"/>
  <c r="R358" i="3"/>
  <c r="E357" i="3"/>
  <c r="G357" i="3"/>
  <c r="H357" i="3"/>
  <c r="I357" i="3"/>
  <c r="J357" i="3"/>
  <c r="K357" i="3"/>
  <c r="R357" i="3"/>
  <c r="E356" i="3"/>
  <c r="G356" i="3"/>
  <c r="H356" i="3"/>
  <c r="I356" i="3"/>
  <c r="J356" i="3"/>
  <c r="K356" i="3"/>
  <c r="R356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C355" i="3"/>
  <c r="C356" i="3"/>
  <c r="M356" i="3"/>
  <c r="E355" i="3"/>
  <c r="I355" i="3"/>
  <c r="J355" i="3"/>
  <c r="K355" i="3"/>
  <c r="R355" i="3"/>
  <c r="E354" i="3"/>
  <c r="I354" i="3"/>
  <c r="J354" i="3"/>
  <c r="R354" i="3"/>
  <c r="E353" i="3"/>
  <c r="G353" i="3"/>
  <c r="I353" i="3"/>
  <c r="J353" i="3"/>
  <c r="K353" i="3"/>
  <c r="R353" i="3"/>
  <c r="E352" i="3"/>
  <c r="G352" i="3"/>
  <c r="I352" i="3"/>
  <c r="J352" i="3"/>
  <c r="R352" i="3"/>
  <c r="E351" i="3"/>
  <c r="G351" i="3"/>
  <c r="H351" i="3"/>
  <c r="I351" i="3"/>
  <c r="J351" i="3"/>
  <c r="K351" i="3"/>
  <c r="R351" i="3"/>
  <c r="E350" i="3"/>
  <c r="G350" i="3"/>
  <c r="I350" i="3"/>
  <c r="J350" i="3"/>
  <c r="K350" i="3"/>
  <c r="R350" i="3"/>
  <c r="E349" i="3"/>
  <c r="G349" i="3"/>
  <c r="I349" i="3"/>
  <c r="J349" i="3"/>
  <c r="K349" i="3"/>
  <c r="R349" i="3"/>
  <c r="E348" i="3"/>
  <c r="G348" i="3"/>
  <c r="H348" i="3"/>
  <c r="I348" i="3"/>
  <c r="J348" i="3"/>
  <c r="K348" i="3"/>
  <c r="R348" i="3"/>
  <c r="E347" i="3"/>
  <c r="I347" i="3"/>
  <c r="J347" i="3"/>
  <c r="K347" i="3"/>
  <c r="R347" i="3"/>
  <c r="B346" i="3"/>
  <c r="B347" i="3"/>
  <c r="B348" i="3"/>
  <c r="B349" i="3"/>
  <c r="B350" i="3"/>
  <c r="B351" i="3"/>
  <c r="B352" i="3"/>
  <c r="B353" i="3"/>
  <c r="E346" i="3"/>
  <c r="G346" i="3"/>
  <c r="H346" i="3"/>
  <c r="I346" i="3"/>
  <c r="J346" i="3"/>
  <c r="K346" i="3"/>
  <c r="R346" i="3"/>
  <c r="E345" i="3"/>
  <c r="G345" i="3"/>
  <c r="H345" i="3"/>
  <c r="I345" i="3"/>
  <c r="J345" i="3"/>
  <c r="R345" i="3"/>
  <c r="E344" i="3"/>
  <c r="G344" i="3"/>
  <c r="H344" i="3"/>
  <c r="I344" i="3"/>
  <c r="J344" i="3"/>
  <c r="K344" i="3"/>
  <c r="R344" i="3"/>
  <c r="E343" i="3"/>
  <c r="G343" i="3"/>
  <c r="H343" i="3"/>
  <c r="I343" i="3"/>
  <c r="J343" i="3"/>
  <c r="K343" i="3"/>
  <c r="R343" i="3"/>
  <c r="E342" i="3"/>
  <c r="G342" i="3"/>
  <c r="C96" i="1"/>
  <c r="H342" i="3"/>
  <c r="I342" i="3"/>
  <c r="J342" i="3"/>
  <c r="R342" i="3"/>
  <c r="E341" i="3"/>
  <c r="G341" i="3"/>
  <c r="H341" i="3"/>
  <c r="I341" i="3"/>
  <c r="J341" i="3"/>
  <c r="K341" i="3"/>
  <c r="R341" i="3"/>
  <c r="E340" i="3"/>
  <c r="G340" i="3"/>
  <c r="I340" i="3"/>
  <c r="J340" i="3"/>
  <c r="K340" i="3"/>
  <c r="R340" i="3"/>
  <c r="E339" i="3"/>
  <c r="I339" i="3"/>
  <c r="R339" i="3"/>
  <c r="E337" i="3"/>
  <c r="G337" i="3"/>
  <c r="I337" i="3"/>
  <c r="J337" i="3"/>
  <c r="R337" i="3"/>
  <c r="E338" i="3"/>
  <c r="G338" i="3"/>
  <c r="I338" i="3"/>
  <c r="R338" i="3"/>
  <c r="B336" i="3"/>
  <c r="B338" i="3"/>
  <c r="C336" i="3"/>
  <c r="M336" i="3"/>
  <c r="E336" i="3"/>
  <c r="G336" i="3"/>
  <c r="H336" i="3"/>
  <c r="I336" i="3"/>
  <c r="J336" i="3"/>
  <c r="R336" i="3"/>
  <c r="E335" i="3"/>
  <c r="G335" i="3"/>
  <c r="C5" i="1"/>
  <c r="H335" i="3"/>
  <c r="I335" i="3"/>
  <c r="J335" i="3"/>
  <c r="K335" i="3"/>
  <c r="R335" i="3"/>
  <c r="C2" i="1"/>
  <c r="F17" i="10"/>
  <c r="B16" i="10"/>
  <c r="F16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B3" i="10"/>
  <c r="B6" i="10"/>
  <c r="B8" i="10"/>
  <c r="B12" i="10"/>
  <c r="B14" i="10"/>
  <c r="B15" i="10"/>
  <c r="E334" i="3"/>
  <c r="G334" i="3"/>
  <c r="H334" i="3"/>
  <c r="I334" i="3"/>
  <c r="J334" i="3"/>
  <c r="K334" i="3"/>
  <c r="R334" i="3"/>
  <c r="E333" i="3"/>
  <c r="G333" i="3"/>
  <c r="H333" i="3"/>
  <c r="I333" i="3"/>
  <c r="J333" i="3"/>
  <c r="R333" i="3"/>
  <c r="E332" i="3"/>
  <c r="G332" i="3"/>
  <c r="H332" i="3"/>
  <c r="I332" i="3"/>
  <c r="J332" i="3"/>
  <c r="K332" i="3"/>
  <c r="R332" i="3"/>
  <c r="B327" i="3"/>
  <c r="B328" i="3"/>
  <c r="B329" i="3"/>
  <c r="B330" i="3"/>
  <c r="B331" i="3"/>
  <c r="B332" i="3"/>
  <c r="B333" i="3"/>
  <c r="B334" i="3"/>
  <c r="E327" i="3"/>
  <c r="E328" i="3"/>
  <c r="E329" i="3"/>
  <c r="E330" i="3"/>
  <c r="E331" i="3"/>
  <c r="G327" i="3"/>
  <c r="G328" i="3"/>
  <c r="G329" i="3"/>
  <c r="H329" i="3"/>
  <c r="G330" i="3"/>
  <c r="H330" i="3"/>
  <c r="I327" i="3"/>
  <c r="J327" i="3"/>
  <c r="K327" i="3"/>
  <c r="I328" i="3"/>
  <c r="J328" i="3"/>
  <c r="K328" i="3"/>
  <c r="I329" i="3"/>
  <c r="J329" i="3"/>
  <c r="K329" i="3"/>
  <c r="I330" i="3"/>
  <c r="J330" i="3"/>
  <c r="K330" i="3"/>
  <c r="I331" i="3"/>
  <c r="J331" i="3"/>
  <c r="K331" i="3"/>
  <c r="R327" i="3"/>
  <c r="R328" i="3"/>
  <c r="R329" i="3"/>
  <c r="R330" i="3"/>
  <c r="R331" i="3"/>
  <c r="E326" i="3"/>
  <c r="G326" i="3"/>
  <c r="I326" i="3"/>
  <c r="J326" i="3"/>
  <c r="C20" i="1"/>
  <c r="K326" i="3"/>
  <c r="R326" i="3"/>
  <c r="C1" i="11"/>
  <c r="B1" i="11"/>
  <c r="E325" i="3"/>
  <c r="G325" i="3"/>
  <c r="C105" i="1"/>
  <c r="H325" i="3"/>
  <c r="I325" i="3"/>
  <c r="J325" i="3"/>
  <c r="K325" i="3"/>
  <c r="R325" i="3"/>
  <c r="C319" i="3"/>
  <c r="E319" i="3"/>
  <c r="G319" i="3"/>
  <c r="H319" i="3"/>
  <c r="I319" i="3"/>
  <c r="J319" i="3"/>
  <c r="K319" i="3"/>
  <c r="R319" i="3"/>
  <c r="E324" i="3"/>
  <c r="G324" i="3"/>
  <c r="H324" i="3"/>
  <c r="I324" i="3"/>
  <c r="J324" i="3"/>
  <c r="K324" i="3"/>
  <c r="R324" i="3"/>
  <c r="C320" i="3"/>
  <c r="E320" i="3"/>
  <c r="E321" i="3"/>
  <c r="E322" i="3"/>
  <c r="E323" i="3"/>
  <c r="G320" i="3"/>
  <c r="G321" i="3"/>
  <c r="G322" i="3"/>
  <c r="H322" i="3"/>
  <c r="I320" i="3"/>
  <c r="J320" i="3"/>
  <c r="K320" i="3"/>
  <c r="I321" i="3"/>
  <c r="J321" i="3"/>
  <c r="K321" i="3"/>
  <c r="I322" i="3"/>
  <c r="J322" i="3"/>
  <c r="K322" i="3"/>
  <c r="I323" i="3"/>
  <c r="J323" i="3"/>
  <c r="K323" i="3"/>
  <c r="R320" i="3"/>
  <c r="R321" i="3"/>
  <c r="R322" i="3"/>
  <c r="R323" i="3"/>
  <c r="C12" i="1"/>
  <c r="E318" i="3"/>
  <c r="G318" i="3"/>
  <c r="H318" i="3"/>
  <c r="I318" i="3"/>
  <c r="J318" i="3"/>
  <c r="K318" i="3"/>
  <c r="R318" i="3"/>
  <c r="E317" i="3"/>
  <c r="G317" i="3"/>
  <c r="H317" i="3"/>
  <c r="I317" i="3"/>
  <c r="J317" i="3"/>
  <c r="R317" i="3"/>
  <c r="E316" i="3"/>
  <c r="G316" i="3"/>
  <c r="I316" i="3"/>
  <c r="J316" i="3"/>
  <c r="R316" i="3"/>
  <c r="E315" i="3"/>
  <c r="I315" i="3"/>
  <c r="J315" i="3"/>
  <c r="C49" i="1"/>
  <c r="K315" i="3"/>
  <c r="R315" i="3"/>
  <c r="E314" i="3"/>
  <c r="G314" i="3"/>
  <c r="I314" i="3"/>
  <c r="J314" i="3"/>
  <c r="K314" i="3"/>
  <c r="R314" i="3"/>
  <c r="E313" i="3"/>
  <c r="G313" i="3"/>
  <c r="H313" i="3"/>
  <c r="I313" i="3"/>
  <c r="R313" i="3"/>
  <c r="E312" i="3"/>
  <c r="G312" i="3"/>
  <c r="H312" i="3"/>
  <c r="I312" i="3"/>
  <c r="J312" i="3"/>
  <c r="R312" i="3"/>
  <c r="E311" i="3"/>
  <c r="G311" i="3"/>
  <c r="I311" i="3"/>
  <c r="J311" i="3"/>
  <c r="R311" i="3"/>
  <c r="E310" i="3"/>
  <c r="G310" i="3"/>
  <c r="I310" i="3"/>
  <c r="J310" i="3"/>
  <c r="K310" i="3"/>
  <c r="R310" i="3"/>
  <c r="B309" i="3"/>
  <c r="B310" i="3"/>
  <c r="B311" i="3"/>
  <c r="B312" i="3"/>
  <c r="B313" i="3"/>
  <c r="B314" i="3"/>
  <c r="B315" i="3"/>
  <c r="B316" i="3"/>
  <c r="B317" i="3"/>
  <c r="B318" i="3"/>
  <c r="B319" i="3"/>
  <c r="C309" i="3"/>
  <c r="M309" i="3"/>
  <c r="E309" i="3"/>
  <c r="G309" i="3"/>
  <c r="I309" i="3"/>
  <c r="J309" i="3"/>
  <c r="K309" i="3"/>
  <c r="R309" i="3"/>
  <c r="E308" i="3"/>
  <c r="G308" i="3"/>
  <c r="I308" i="3"/>
  <c r="J308" i="3"/>
  <c r="C28" i="1"/>
  <c r="K308" i="3"/>
  <c r="R308" i="3"/>
  <c r="E307" i="3"/>
  <c r="I307" i="3"/>
  <c r="J307" i="3"/>
  <c r="K307" i="3"/>
  <c r="R307" i="3"/>
  <c r="C40" i="1"/>
  <c r="E305" i="3"/>
  <c r="E306" i="3"/>
  <c r="G305" i="3"/>
  <c r="H305" i="3"/>
  <c r="G306" i="3"/>
  <c r="I305" i="3"/>
  <c r="J305" i="3"/>
  <c r="K305" i="3"/>
  <c r="I306" i="3"/>
  <c r="J306" i="3"/>
  <c r="K306" i="3"/>
  <c r="R305" i="3"/>
  <c r="R306" i="3"/>
  <c r="E304" i="3"/>
  <c r="G304" i="3"/>
  <c r="I304" i="3"/>
  <c r="J304" i="3"/>
  <c r="K304" i="3"/>
  <c r="R304" i="3"/>
  <c r="E303" i="3"/>
  <c r="G303" i="3"/>
  <c r="I303" i="3"/>
  <c r="J303" i="3"/>
  <c r="K303" i="3"/>
  <c r="R303" i="3"/>
  <c r="E302" i="3"/>
  <c r="G302" i="3"/>
  <c r="I302" i="3"/>
  <c r="J302" i="3"/>
  <c r="K302" i="3"/>
  <c r="R302" i="3"/>
  <c r="B301" i="3"/>
  <c r="C301" i="3"/>
  <c r="M301" i="3"/>
  <c r="E301" i="3"/>
  <c r="G301" i="3"/>
  <c r="H301" i="3"/>
  <c r="I301" i="3"/>
  <c r="J301" i="3"/>
  <c r="K301" i="3"/>
  <c r="R301" i="3"/>
  <c r="E300" i="3"/>
  <c r="G300" i="3"/>
  <c r="I300" i="3"/>
  <c r="J300" i="3"/>
  <c r="K300" i="3"/>
  <c r="R300" i="3"/>
  <c r="I12" i="3"/>
  <c r="J12" i="3"/>
  <c r="K12" i="3"/>
  <c r="C102" i="1"/>
  <c r="C103" i="1"/>
  <c r="C104" i="1"/>
  <c r="E130" i="3"/>
  <c r="G130" i="3"/>
  <c r="H130" i="3"/>
  <c r="R130" i="3"/>
  <c r="E123" i="3"/>
  <c r="R123" i="3"/>
  <c r="H114" i="1"/>
  <c r="R12" i="3"/>
  <c r="R13" i="3"/>
  <c r="R14" i="3"/>
  <c r="R15" i="3"/>
  <c r="R16" i="3"/>
  <c r="R17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4" i="3"/>
  <c r="R125" i="3"/>
  <c r="R126" i="3"/>
  <c r="R127" i="3"/>
  <c r="R128" i="3"/>
  <c r="R129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E38" i="3"/>
  <c r="G38" i="3"/>
  <c r="H38" i="3"/>
  <c r="E32" i="3"/>
  <c r="G32" i="3"/>
  <c r="B13" i="3"/>
  <c r="B17" i="3"/>
  <c r="B18" i="3"/>
  <c r="B22" i="3"/>
  <c r="B23" i="3"/>
  <c r="B24" i="3"/>
  <c r="B25" i="3"/>
  <c r="B26" i="3"/>
  <c r="B27" i="3"/>
  <c r="B28" i="3"/>
  <c r="B29" i="3"/>
  <c r="B30" i="3"/>
  <c r="B31" i="3"/>
  <c r="B42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70" i="3"/>
  <c r="B71" i="3"/>
  <c r="B72" i="3"/>
  <c r="B73" i="3"/>
  <c r="B74" i="3"/>
  <c r="B96" i="3"/>
  <c r="B97" i="3"/>
  <c r="B98" i="3"/>
  <c r="B109" i="3"/>
  <c r="B182" i="3"/>
  <c r="B183" i="3"/>
  <c r="B184" i="3"/>
  <c r="B185" i="3"/>
  <c r="B187" i="3"/>
  <c r="B188" i="3"/>
  <c r="B189" i="3"/>
  <c r="B190" i="3"/>
  <c r="B191" i="3"/>
  <c r="B192" i="3"/>
  <c r="B193" i="3"/>
  <c r="B194" i="3"/>
  <c r="B218" i="3"/>
  <c r="B219" i="3"/>
  <c r="B220" i="3"/>
  <c r="B221" i="3"/>
  <c r="B222" i="3"/>
  <c r="B224" i="3"/>
  <c r="B235" i="3"/>
  <c r="B236" i="3"/>
  <c r="B237" i="3"/>
  <c r="B238" i="3"/>
  <c r="B239" i="3"/>
  <c r="B240" i="3"/>
  <c r="B241" i="3"/>
  <c r="B242" i="3"/>
  <c r="B244" i="3"/>
  <c r="B245" i="3"/>
  <c r="B246" i="3"/>
  <c r="B247" i="3"/>
  <c r="B248" i="3"/>
  <c r="B249" i="3"/>
  <c r="B250" i="3"/>
  <c r="B251" i="3"/>
  <c r="B257" i="3"/>
  <c r="B269" i="3"/>
  <c r="B270" i="3"/>
  <c r="B271" i="3"/>
  <c r="B272" i="3"/>
  <c r="B273" i="3"/>
  <c r="B274" i="3"/>
  <c r="B275" i="3"/>
  <c r="B276" i="3"/>
  <c r="B277" i="3"/>
  <c r="B287" i="3"/>
  <c r="H446" i="3"/>
  <c r="C19" i="1"/>
  <c r="C48" i="1"/>
  <c r="C110" i="1"/>
  <c r="C74" i="1"/>
  <c r="C22" i="1"/>
  <c r="C27" i="1"/>
  <c r="C78" i="1"/>
  <c r="C23" i="1"/>
  <c r="C15" i="1"/>
  <c r="C79" i="1"/>
  <c r="C50" i="1"/>
  <c r="C51" i="1"/>
  <c r="C82" i="1"/>
  <c r="C46" i="1"/>
  <c r="C107" i="1"/>
  <c r="C21" i="1"/>
  <c r="C7" i="1"/>
  <c r="C99" i="1"/>
  <c r="C75" i="1"/>
  <c r="C47" i="1"/>
  <c r="C100" i="1"/>
  <c r="C101" i="1"/>
  <c r="C106" i="1"/>
  <c r="E180" i="3"/>
  <c r="G180" i="3"/>
  <c r="H180" i="3"/>
  <c r="E205" i="3"/>
  <c r="G205" i="3"/>
  <c r="E195" i="3"/>
  <c r="G195" i="3"/>
  <c r="H195" i="3"/>
  <c r="E171" i="3"/>
  <c r="E216" i="3"/>
  <c r="G216" i="3"/>
  <c r="H216" i="3"/>
  <c r="E233" i="3"/>
  <c r="G233" i="3"/>
  <c r="H233" i="3"/>
  <c r="E242" i="3"/>
  <c r="G242" i="3"/>
  <c r="H242" i="3"/>
  <c r="E267" i="3"/>
  <c r="E278" i="3"/>
  <c r="G278" i="3"/>
  <c r="E285" i="3"/>
  <c r="G285" i="3"/>
  <c r="H285" i="3"/>
  <c r="E162" i="3"/>
  <c r="G162" i="3"/>
  <c r="H162" i="3"/>
  <c r="E153" i="3"/>
  <c r="G153" i="3"/>
  <c r="H153" i="3"/>
  <c r="E142" i="3"/>
  <c r="G142" i="3"/>
  <c r="E131" i="3"/>
  <c r="E120" i="3"/>
  <c r="G120" i="3"/>
  <c r="E94" i="3"/>
  <c r="G94" i="3"/>
  <c r="H94" i="3"/>
  <c r="E83" i="3"/>
  <c r="E75" i="3"/>
  <c r="E30" i="3"/>
  <c r="G30" i="3"/>
  <c r="H30" i="3"/>
  <c r="E40" i="3"/>
  <c r="G40" i="3"/>
  <c r="E20" i="3"/>
  <c r="G20" i="3"/>
  <c r="H20" i="3"/>
  <c r="G17" i="3"/>
  <c r="H17" i="3"/>
  <c r="G46" i="3"/>
  <c r="G54" i="3"/>
  <c r="H54" i="3"/>
  <c r="G62" i="3"/>
  <c r="G63" i="3"/>
  <c r="H63" i="3"/>
  <c r="G79" i="3"/>
  <c r="H79" i="3"/>
  <c r="G262" i="3"/>
  <c r="H262" i="3"/>
  <c r="G88" i="3"/>
  <c r="H88" i="3"/>
  <c r="G89" i="3"/>
  <c r="H89" i="3"/>
  <c r="G97" i="3"/>
  <c r="G98" i="3"/>
  <c r="H98" i="3"/>
  <c r="G105" i="3"/>
  <c r="H105" i="3"/>
  <c r="G106" i="3"/>
  <c r="H106" i="3"/>
  <c r="G114" i="3"/>
  <c r="G122" i="3"/>
  <c r="H122" i="3"/>
  <c r="G133" i="3"/>
  <c r="H133" i="3"/>
  <c r="G141" i="3"/>
  <c r="H141" i="3"/>
  <c r="G143" i="3"/>
  <c r="G150" i="3"/>
  <c r="G159" i="3"/>
  <c r="H159" i="3"/>
  <c r="G168" i="3"/>
  <c r="H168" i="3"/>
  <c r="G169" i="3"/>
  <c r="G177" i="3"/>
  <c r="H177" i="3"/>
  <c r="G178" i="3"/>
  <c r="G186" i="3"/>
  <c r="H186" i="3"/>
  <c r="G196" i="3"/>
  <c r="G204" i="3"/>
  <c r="H204" i="3"/>
  <c r="G212" i="3"/>
  <c r="H212" i="3"/>
  <c r="G213" i="3"/>
  <c r="H213" i="3"/>
  <c r="G221" i="3"/>
  <c r="H221" i="3"/>
  <c r="G222" i="3"/>
  <c r="H222" i="3"/>
  <c r="G247" i="3"/>
  <c r="H247" i="3"/>
  <c r="G255" i="3"/>
  <c r="H255" i="3"/>
  <c r="G256" i="3"/>
  <c r="H256" i="3"/>
  <c r="G263" i="3"/>
  <c r="H263" i="3"/>
  <c r="G264" i="3"/>
  <c r="H264" i="3"/>
  <c r="G272" i="3"/>
  <c r="H272" i="3"/>
  <c r="G273" i="3"/>
  <c r="H273" i="3"/>
  <c r="G281" i="3"/>
  <c r="H281" i="3"/>
  <c r="G282" i="3"/>
  <c r="H282" i="3"/>
  <c r="G298" i="3"/>
  <c r="H298" i="3"/>
  <c r="E298" i="3"/>
  <c r="E12" i="3"/>
  <c r="E13" i="3"/>
  <c r="E14" i="3"/>
  <c r="E15" i="3"/>
  <c r="E16" i="3"/>
  <c r="E17" i="3"/>
  <c r="E19" i="3"/>
  <c r="E21" i="3"/>
  <c r="E22" i="3"/>
  <c r="E23" i="3"/>
  <c r="E24" i="3"/>
  <c r="E25" i="3"/>
  <c r="E26" i="3"/>
  <c r="E27" i="3"/>
  <c r="E28" i="3"/>
  <c r="E29" i="3"/>
  <c r="E31" i="3"/>
  <c r="E33" i="3"/>
  <c r="E34" i="3"/>
  <c r="E35" i="3"/>
  <c r="E36" i="3"/>
  <c r="E37" i="3"/>
  <c r="E39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6" i="3"/>
  <c r="E77" i="3"/>
  <c r="E78" i="3"/>
  <c r="E79" i="3"/>
  <c r="E80" i="3"/>
  <c r="E81" i="3"/>
  <c r="E82" i="3"/>
  <c r="E84" i="3"/>
  <c r="E85" i="3"/>
  <c r="E86" i="3"/>
  <c r="E87" i="3"/>
  <c r="E88" i="3"/>
  <c r="E89" i="3"/>
  <c r="E90" i="3"/>
  <c r="E91" i="3"/>
  <c r="E92" i="3"/>
  <c r="E93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1" i="3"/>
  <c r="E122" i="3"/>
  <c r="E124" i="3"/>
  <c r="E125" i="3"/>
  <c r="E126" i="3"/>
  <c r="E127" i="3"/>
  <c r="E128" i="3"/>
  <c r="E129" i="3"/>
  <c r="E132" i="3"/>
  <c r="E133" i="3"/>
  <c r="E134" i="3"/>
  <c r="E135" i="3"/>
  <c r="E136" i="3"/>
  <c r="E137" i="3"/>
  <c r="E138" i="3"/>
  <c r="E139" i="3"/>
  <c r="E140" i="3"/>
  <c r="E141" i="3"/>
  <c r="E143" i="3"/>
  <c r="E144" i="3"/>
  <c r="E145" i="3"/>
  <c r="E146" i="3"/>
  <c r="E147" i="3"/>
  <c r="E148" i="3"/>
  <c r="E149" i="3"/>
  <c r="E150" i="3"/>
  <c r="E151" i="3"/>
  <c r="E152" i="3"/>
  <c r="E154" i="3"/>
  <c r="E155" i="3"/>
  <c r="E156" i="3"/>
  <c r="E157" i="3"/>
  <c r="E158" i="3"/>
  <c r="E159" i="3"/>
  <c r="E160" i="3"/>
  <c r="E161" i="3"/>
  <c r="E163" i="3"/>
  <c r="E164" i="3"/>
  <c r="E165" i="3"/>
  <c r="E166" i="3"/>
  <c r="E167" i="3"/>
  <c r="E168" i="3"/>
  <c r="E169" i="3"/>
  <c r="E170" i="3"/>
  <c r="E172" i="3"/>
  <c r="E173" i="3"/>
  <c r="E174" i="3"/>
  <c r="E175" i="3"/>
  <c r="E176" i="3"/>
  <c r="E177" i="3"/>
  <c r="E178" i="3"/>
  <c r="E179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6" i="3"/>
  <c r="E197" i="3"/>
  <c r="E198" i="3"/>
  <c r="E199" i="3"/>
  <c r="E200" i="3"/>
  <c r="E201" i="3"/>
  <c r="E202" i="3"/>
  <c r="E203" i="3"/>
  <c r="E204" i="3"/>
  <c r="E206" i="3"/>
  <c r="E207" i="3"/>
  <c r="E208" i="3"/>
  <c r="E209" i="3"/>
  <c r="E210" i="3"/>
  <c r="E211" i="3"/>
  <c r="E212" i="3"/>
  <c r="E213" i="3"/>
  <c r="E214" i="3"/>
  <c r="E215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4" i="3"/>
  <c r="E235" i="3"/>
  <c r="E236" i="3"/>
  <c r="E237" i="3"/>
  <c r="E238" i="3"/>
  <c r="E239" i="3"/>
  <c r="E240" i="3"/>
  <c r="E241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8" i="3"/>
  <c r="E269" i="3"/>
  <c r="E270" i="3"/>
  <c r="E271" i="3"/>
  <c r="E272" i="3"/>
  <c r="E273" i="3"/>
  <c r="E274" i="3"/>
  <c r="E275" i="3"/>
  <c r="E276" i="3"/>
  <c r="E277" i="3"/>
  <c r="E279" i="3"/>
  <c r="E280" i="3"/>
  <c r="E281" i="3"/>
  <c r="E282" i="3"/>
  <c r="E283" i="3"/>
  <c r="E284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9" i="3"/>
  <c r="C11" i="1"/>
  <c r="C14" i="1"/>
  <c r="G108" i="3"/>
  <c r="H108" i="3"/>
  <c r="N108" i="3"/>
  <c r="O108" i="3"/>
  <c r="C16" i="1"/>
  <c r="G279" i="3"/>
  <c r="H279" i="3"/>
  <c r="G65" i="3"/>
  <c r="H65" i="3"/>
  <c r="C25" i="1"/>
  <c r="C43" i="1"/>
  <c r="G29" i="3"/>
  <c r="H29" i="3"/>
  <c r="G189" i="3"/>
  <c r="H189" i="3"/>
  <c r="G93" i="3"/>
  <c r="H93" i="3"/>
  <c r="C86" i="1"/>
  <c r="C87" i="1"/>
  <c r="C294" i="3"/>
  <c r="M294" i="3"/>
  <c r="G294" i="3"/>
  <c r="H294" i="3"/>
  <c r="G295" i="3"/>
  <c r="H295" i="3"/>
  <c r="G296" i="3"/>
  <c r="G297" i="3"/>
  <c r="H297" i="3"/>
  <c r="G293" i="3"/>
  <c r="H293" i="3"/>
  <c r="G287" i="3"/>
  <c r="H287" i="3"/>
  <c r="G288" i="3"/>
  <c r="H288" i="3"/>
  <c r="G289" i="3"/>
  <c r="H289" i="3"/>
  <c r="G290" i="3"/>
  <c r="H290" i="3"/>
  <c r="G292" i="3"/>
  <c r="H292" i="3"/>
  <c r="G286" i="3"/>
  <c r="H286" i="3"/>
  <c r="G280" i="3"/>
  <c r="H280" i="3"/>
  <c r="G284" i="3"/>
  <c r="H284" i="3"/>
  <c r="C269" i="3"/>
  <c r="M269" i="3"/>
  <c r="G269" i="3"/>
  <c r="G270" i="3"/>
  <c r="H270" i="3"/>
  <c r="G271" i="3"/>
  <c r="H271" i="3"/>
  <c r="G274" i="3"/>
  <c r="G276" i="3"/>
  <c r="H276" i="3"/>
  <c r="G277" i="3"/>
  <c r="H277" i="3"/>
  <c r="G268" i="3"/>
  <c r="H268" i="3"/>
  <c r="G257" i="3"/>
  <c r="H257" i="3"/>
  <c r="G258" i="3"/>
  <c r="H258" i="3"/>
  <c r="G260" i="3"/>
  <c r="H260" i="3"/>
  <c r="G261" i="3"/>
  <c r="H261" i="3"/>
  <c r="G265" i="3"/>
  <c r="H265" i="3"/>
  <c r="G266" i="3"/>
  <c r="H266" i="3"/>
  <c r="G252" i="3"/>
  <c r="H252" i="3"/>
  <c r="G253" i="3"/>
  <c r="H253" i="3"/>
  <c r="G254" i="3"/>
  <c r="H254" i="3"/>
  <c r="C244" i="3"/>
  <c r="M244" i="3"/>
  <c r="G244" i="3"/>
  <c r="H244" i="3"/>
  <c r="G245" i="3"/>
  <c r="G246" i="3"/>
  <c r="H246" i="3"/>
  <c r="G249" i="3"/>
  <c r="H249" i="3"/>
  <c r="G250" i="3"/>
  <c r="H250" i="3"/>
  <c r="G236" i="3"/>
  <c r="H236" i="3"/>
  <c r="G237" i="3"/>
  <c r="H237" i="3"/>
  <c r="G240" i="3"/>
  <c r="H240" i="3"/>
  <c r="G241" i="3"/>
  <c r="G234" i="3"/>
  <c r="H234" i="3"/>
  <c r="C224" i="3"/>
  <c r="C225" i="3"/>
  <c r="G224" i="3"/>
  <c r="H224" i="3"/>
  <c r="G225" i="3"/>
  <c r="H225" i="3"/>
  <c r="G226" i="3"/>
  <c r="H226" i="3"/>
  <c r="G228" i="3"/>
  <c r="H228" i="3"/>
  <c r="G229" i="3"/>
  <c r="H229" i="3"/>
  <c r="G230" i="3"/>
  <c r="H230" i="3"/>
  <c r="G231" i="3"/>
  <c r="H231" i="3"/>
  <c r="G232" i="3"/>
  <c r="H232" i="3"/>
  <c r="G223" i="3"/>
  <c r="H223" i="3"/>
  <c r="C218" i="3"/>
  <c r="C219" i="3"/>
  <c r="G218" i="3"/>
  <c r="H218" i="3"/>
  <c r="G220" i="3"/>
  <c r="H220" i="3"/>
  <c r="G217" i="3"/>
  <c r="H217" i="3"/>
  <c r="G207" i="3"/>
  <c r="H207" i="3"/>
  <c r="G208" i="3"/>
  <c r="H208" i="3"/>
  <c r="G209" i="3"/>
  <c r="H209" i="3"/>
  <c r="G210" i="3"/>
  <c r="H210" i="3"/>
  <c r="G214" i="3"/>
  <c r="H214" i="3"/>
  <c r="G215" i="3"/>
  <c r="H215" i="3"/>
  <c r="G206" i="3"/>
  <c r="H206" i="3"/>
  <c r="C197" i="3"/>
  <c r="C198" i="3"/>
  <c r="M198" i="3"/>
  <c r="G197" i="3"/>
  <c r="G198" i="3"/>
  <c r="H198" i="3"/>
  <c r="G199" i="3"/>
  <c r="H199" i="3"/>
  <c r="G200" i="3"/>
  <c r="H200" i="3"/>
  <c r="G201" i="3"/>
  <c r="H201" i="3"/>
  <c r="G202" i="3"/>
  <c r="H202" i="3"/>
  <c r="C187" i="3"/>
  <c r="G188" i="3"/>
  <c r="G190" i="3"/>
  <c r="H190" i="3"/>
  <c r="G191" i="3"/>
  <c r="H191" i="3"/>
  <c r="G192" i="3"/>
  <c r="H192" i="3"/>
  <c r="G193" i="3"/>
  <c r="H193" i="3"/>
  <c r="G194" i="3"/>
  <c r="H194" i="3"/>
  <c r="C182" i="3"/>
  <c r="G182" i="3"/>
  <c r="H182" i="3"/>
  <c r="G183" i="3"/>
  <c r="H183" i="3"/>
  <c r="G184" i="3"/>
  <c r="G185" i="3"/>
  <c r="H185" i="3"/>
  <c r="G181" i="3"/>
  <c r="H181" i="3"/>
  <c r="G173" i="3"/>
  <c r="H173" i="3"/>
  <c r="G174" i="3"/>
  <c r="H174" i="3"/>
  <c r="G175" i="3"/>
  <c r="H175" i="3"/>
  <c r="G176" i="3"/>
  <c r="H176" i="3"/>
  <c r="G172" i="3"/>
  <c r="H172" i="3"/>
  <c r="G164" i="3"/>
  <c r="G165" i="3"/>
  <c r="H165" i="3"/>
  <c r="G166" i="3"/>
  <c r="G167" i="3"/>
  <c r="H167" i="3"/>
  <c r="G170" i="3"/>
  <c r="H170" i="3"/>
  <c r="C155" i="3"/>
  <c r="C156" i="3"/>
  <c r="G156" i="3"/>
  <c r="H156" i="3"/>
  <c r="G157" i="3"/>
  <c r="H157" i="3"/>
  <c r="G158" i="3"/>
  <c r="H158" i="3"/>
  <c r="G161" i="3"/>
  <c r="H161" i="3"/>
  <c r="G154" i="3"/>
  <c r="H154" i="3"/>
  <c r="N154" i="3"/>
  <c r="O154" i="3"/>
  <c r="G144" i="3"/>
  <c r="G145" i="3"/>
  <c r="H145" i="3"/>
  <c r="G146" i="3"/>
  <c r="H146" i="3"/>
  <c r="G148" i="3"/>
  <c r="H148" i="3"/>
  <c r="G149" i="3"/>
  <c r="H149" i="3"/>
  <c r="G152" i="3"/>
  <c r="H152" i="3"/>
  <c r="G135" i="3"/>
  <c r="H135" i="3"/>
  <c r="G136" i="3"/>
  <c r="H136" i="3"/>
  <c r="G137" i="3"/>
  <c r="H137" i="3"/>
  <c r="G138" i="3"/>
  <c r="H138" i="3"/>
  <c r="G140" i="3"/>
  <c r="H140" i="3"/>
  <c r="G132" i="3"/>
  <c r="H132" i="3"/>
  <c r="G125" i="3"/>
  <c r="H125" i="3"/>
  <c r="G126" i="3"/>
  <c r="H126" i="3"/>
  <c r="G127" i="3"/>
  <c r="H127" i="3"/>
  <c r="G128" i="3"/>
  <c r="H128" i="3"/>
  <c r="G129" i="3"/>
  <c r="H129" i="3"/>
  <c r="G121" i="3"/>
  <c r="H121" i="3"/>
  <c r="C109" i="3"/>
  <c r="L109" i="3"/>
  <c r="G109" i="3"/>
  <c r="H109" i="3"/>
  <c r="G110" i="3"/>
  <c r="H110" i="3"/>
  <c r="G111" i="3"/>
  <c r="H111" i="3"/>
  <c r="G112" i="3"/>
  <c r="G113" i="3"/>
  <c r="H113" i="3"/>
  <c r="G116" i="3"/>
  <c r="H116" i="3"/>
  <c r="G117" i="3"/>
  <c r="G118" i="3"/>
  <c r="H118" i="3"/>
  <c r="G119" i="3"/>
  <c r="H119" i="3"/>
  <c r="C96" i="3"/>
  <c r="G96" i="3"/>
  <c r="H96" i="3"/>
  <c r="G100" i="3"/>
  <c r="G101" i="3"/>
  <c r="H101" i="3"/>
  <c r="G102" i="3"/>
  <c r="H102" i="3"/>
  <c r="G103" i="3"/>
  <c r="H103" i="3"/>
  <c r="G104" i="3"/>
  <c r="H104" i="3"/>
  <c r="G95" i="3"/>
  <c r="H95" i="3"/>
  <c r="C85" i="3"/>
  <c r="L85" i="3"/>
  <c r="G85" i="3"/>
  <c r="G86" i="3"/>
  <c r="H86" i="3"/>
  <c r="G87" i="3"/>
  <c r="H87" i="3"/>
  <c r="G90" i="3"/>
  <c r="H90" i="3"/>
  <c r="G92" i="3"/>
  <c r="H92" i="3"/>
  <c r="G84" i="3"/>
  <c r="H84" i="3"/>
  <c r="G77" i="3"/>
  <c r="H77" i="3"/>
  <c r="G78" i="3"/>
  <c r="H78" i="3"/>
  <c r="G81" i="3"/>
  <c r="G82" i="3"/>
  <c r="H82" i="3"/>
  <c r="G76" i="3"/>
  <c r="H76" i="3"/>
  <c r="C70" i="3"/>
  <c r="M70" i="3"/>
  <c r="G70" i="3"/>
  <c r="H70" i="3"/>
  <c r="G71" i="3"/>
  <c r="H71" i="3"/>
  <c r="G72" i="3"/>
  <c r="H72" i="3"/>
  <c r="G73" i="3"/>
  <c r="H73" i="3"/>
  <c r="G74" i="3"/>
  <c r="H74" i="3"/>
  <c r="G69" i="3"/>
  <c r="H69" i="3"/>
  <c r="N69" i="3"/>
  <c r="O69" i="3"/>
  <c r="G66" i="3"/>
  <c r="H66" i="3"/>
  <c r="G68" i="3"/>
  <c r="H68" i="3"/>
  <c r="G58" i="3"/>
  <c r="H58" i="3"/>
  <c r="G60" i="3"/>
  <c r="G61" i="3"/>
  <c r="H61" i="3"/>
  <c r="G64" i="3"/>
  <c r="G57" i="3"/>
  <c r="H57" i="3"/>
  <c r="C55" i="3"/>
  <c r="C56" i="3"/>
  <c r="M56" i="3"/>
  <c r="G55" i="3"/>
  <c r="H55" i="3"/>
  <c r="G56" i="3"/>
  <c r="H56" i="3"/>
  <c r="G47" i="3"/>
  <c r="H47" i="3"/>
  <c r="G48" i="3"/>
  <c r="G49" i="3"/>
  <c r="H49" i="3"/>
  <c r="G50" i="3"/>
  <c r="H50" i="3"/>
  <c r="G52" i="3"/>
  <c r="H52" i="3"/>
  <c r="G53" i="3"/>
  <c r="H53" i="3"/>
  <c r="C42" i="3"/>
  <c r="M42" i="3"/>
  <c r="G42" i="3"/>
  <c r="H42" i="3"/>
  <c r="G44" i="3"/>
  <c r="G45" i="3"/>
  <c r="H45" i="3"/>
  <c r="G41" i="3"/>
  <c r="H41" i="3"/>
  <c r="G33" i="3"/>
  <c r="H33" i="3"/>
  <c r="G34" i="3"/>
  <c r="H34" i="3"/>
  <c r="G39" i="3"/>
  <c r="H39" i="3"/>
  <c r="G31" i="3"/>
  <c r="H31" i="3"/>
  <c r="G22" i="3"/>
  <c r="H22" i="3"/>
  <c r="G23" i="3"/>
  <c r="G24" i="3"/>
  <c r="H24" i="3"/>
  <c r="G25" i="3"/>
  <c r="H25" i="3"/>
  <c r="G26" i="3"/>
  <c r="H26" i="3"/>
  <c r="G28" i="3"/>
  <c r="H28" i="3"/>
  <c r="G21" i="3"/>
  <c r="H21" i="3"/>
  <c r="G13" i="3"/>
  <c r="H13" i="3"/>
  <c r="G14" i="3"/>
  <c r="H14" i="3"/>
  <c r="G15" i="3"/>
  <c r="H15" i="3"/>
  <c r="G16" i="3"/>
  <c r="H16" i="3"/>
  <c r="G12" i="3"/>
  <c r="H12" i="3"/>
  <c r="G37" i="3"/>
  <c r="H37" i="3"/>
  <c r="G36" i="3"/>
  <c r="H36" i="3"/>
  <c r="G134" i="3"/>
  <c r="H134" i="3"/>
  <c r="G151" i="3"/>
  <c r="G239" i="3"/>
  <c r="H239" i="3"/>
  <c r="G80" i="3"/>
  <c r="H80" i="3"/>
  <c r="G124" i="3"/>
  <c r="H124" i="3"/>
  <c r="G160" i="3"/>
  <c r="H160" i="3"/>
  <c r="G238" i="3"/>
  <c r="H238" i="3"/>
  <c r="G248" i="3"/>
  <c r="H248" i="3"/>
  <c r="C13" i="3"/>
  <c r="M13" i="3"/>
  <c r="C17" i="3"/>
  <c r="M17" i="3"/>
  <c r="I267" i="3"/>
  <c r="J267" i="3"/>
  <c r="K267" i="3"/>
  <c r="I259" i="3"/>
  <c r="J259" i="3"/>
  <c r="I203" i="3"/>
  <c r="J203" i="3"/>
  <c r="K203" i="3"/>
  <c r="I195" i="3"/>
  <c r="J195" i="3"/>
  <c r="K195" i="3"/>
  <c r="I139" i="3"/>
  <c r="J139" i="3"/>
  <c r="K139" i="3"/>
  <c r="I131" i="3"/>
  <c r="J131" i="3"/>
  <c r="K131" i="3"/>
  <c r="I297" i="3"/>
  <c r="J297" i="3"/>
  <c r="K297" i="3"/>
  <c r="I75" i="3"/>
  <c r="J75" i="3"/>
  <c r="I296" i="3"/>
  <c r="J296" i="3"/>
  <c r="K296" i="3"/>
  <c r="I67" i="3"/>
  <c r="J67" i="3"/>
  <c r="K67" i="3"/>
  <c r="I295" i="3"/>
  <c r="J295" i="3"/>
  <c r="K295" i="3"/>
  <c r="I251" i="3"/>
  <c r="J251" i="3"/>
  <c r="K251" i="3"/>
  <c r="I187" i="3"/>
  <c r="J187" i="3"/>
  <c r="K187" i="3"/>
  <c r="I123" i="3"/>
  <c r="J123" i="3"/>
  <c r="K123" i="3"/>
  <c r="I59" i="3"/>
  <c r="J59" i="3"/>
  <c r="K59" i="3"/>
  <c r="I294" i="3"/>
  <c r="J294" i="3"/>
  <c r="K294" i="3"/>
  <c r="I243" i="3"/>
  <c r="J243" i="3"/>
  <c r="K243" i="3"/>
  <c r="I179" i="3"/>
  <c r="J179" i="3"/>
  <c r="K179" i="3"/>
  <c r="I115" i="3"/>
  <c r="J115" i="3"/>
  <c r="K115" i="3"/>
  <c r="I51" i="3"/>
  <c r="J51" i="3"/>
  <c r="K51" i="3"/>
  <c r="I292" i="3"/>
  <c r="J292" i="3"/>
  <c r="K292" i="3"/>
  <c r="I235" i="3"/>
  <c r="J235" i="3"/>
  <c r="K235" i="3"/>
  <c r="I171" i="3"/>
  <c r="J171" i="3"/>
  <c r="K171" i="3"/>
  <c r="I107" i="3"/>
  <c r="J107" i="3"/>
  <c r="I43" i="3"/>
  <c r="J43" i="3"/>
  <c r="K43" i="3"/>
  <c r="I291" i="3"/>
  <c r="J291" i="3"/>
  <c r="K291" i="3"/>
  <c r="I227" i="3"/>
  <c r="J227" i="3"/>
  <c r="K227" i="3"/>
  <c r="I163" i="3"/>
  <c r="J163" i="3"/>
  <c r="K163" i="3"/>
  <c r="I99" i="3"/>
  <c r="J99" i="3"/>
  <c r="K99" i="3"/>
  <c r="I35" i="3"/>
  <c r="J35" i="3"/>
  <c r="K35" i="3"/>
  <c r="I299" i="3"/>
  <c r="J299" i="3"/>
  <c r="K299" i="3"/>
  <c r="I283" i="3"/>
  <c r="J283" i="3"/>
  <c r="K283" i="3"/>
  <c r="I219" i="3"/>
  <c r="J219" i="3"/>
  <c r="K219" i="3"/>
  <c r="I155" i="3"/>
  <c r="J155" i="3"/>
  <c r="K155" i="3"/>
  <c r="I91" i="3"/>
  <c r="J91" i="3"/>
  <c r="K91" i="3"/>
  <c r="I27" i="3"/>
  <c r="J27" i="3"/>
  <c r="K27" i="3"/>
  <c r="I298" i="3"/>
  <c r="J298" i="3"/>
  <c r="K298" i="3"/>
  <c r="I275" i="3"/>
  <c r="J275" i="3"/>
  <c r="K275" i="3"/>
  <c r="I211" i="3"/>
  <c r="J211" i="3"/>
  <c r="K211" i="3"/>
  <c r="I147" i="3"/>
  <c r="J147" i="3"/>
  <c r="K147" i="3"/>
  <c r="I83" i="3"/>
  <c r="J83" i="3"/>
  <c r="K83" i="3"/>
  <c r="I19" i="3"/>
  <c r="J19" i="3"/>
  <c r="K19" i="3"/>
  <c r="I290" i="3"/>
  <c r="J290" i="3"/>
  <c r="K290" i="3"/>
  <c r="I282" i="3"/>
  <c r="J282" i="3"/>
  <c r="K282" i="3"/>
  <c r="I274" i="3"/>
  <c r="J274" i="3"/>
  <c r="K274" i="3"/>
  <c r="I266" i="3"/>
  <c r="J266" i="3"/>
  <c r="K266" i="3"/>
  <c r="I258" i="3"/>
  <c r="J258" i="3"/>
  <c r="K258" i="3"/>
  <c r="I250" i="3"/>
  <c r="J250" i="3"/>
  <c r="K250" i="3"/>
  <c r="I242" i="3"/>
  <c r="J242" i="3"/>
  <c r="K242" i="3"/>
  <c r="I234" i="3"/>
  <c r="J234" i="3"/>
  <c r="K234" i="3"/>
  <c r="I226" i="3"/>
  <c r="J226" i="3"/>
  <c r="K226" i="3"/>
  <c r="I218" i="3"/>
  <c r="J218" i="3"/>
  <c r="K218" i="3"/>
  <c r="I210" i="3"/>
  <c r="J210" i="3"/>
  <c r="K210" i="3"/>
  <c r="I202" i="3"/>
  <c r="J202" i="3"/>
  <c r="K202" i="3"/>
  <c r="I194" i="3"/>
  <c r="J194" i="3"/>
  <c r="K194" i="3"/>
  <c r="I186" i="3"/>
  <c r="J186" i="3"/>
  <c r="K186" i="3"/>
  <c r="I178" i="3"/>
  <c r="J178" i="3"/>
  <c r="K178" i="3"/>
  <c r="I170" i="3"/>
  <c r="J170" i="3"/>
  <c r="K170" i="3"/>
  <c r="I162" i="3"/>
  <c r="J162" i="3"/>
  <c r="K162" i="3"/>
  <c r="I154" i="3"/>
  <c r="J154" i="3"/>
  <c r="K154" i="3"/>
  <c r="I146" i="3"/>
  <c r="J146" i="3"/>
  <c r="K146" i="3"/>
  <c r="I138" i="3"/>
  <c r="J138" i="3"/>
  <c r="K138" i="3"/>
  <c r="I130" i="3"/>
  <c r="J130" i="3"/>
  <c r="K130" i="3"/>
  <c r="I122" i="3"/>
  <c r="J122" i="3"/>
  <c r="K122" i="3"/>
  <c r="I114" i="3"/>
  <c r="J114" i="3"/>
  <c r="K114" i="3"/>
  <c r="I106" i="3"/>
  <c r="J106" i="3"/>
  <c r="K106" i="3"/>
  <c r="I98" i="3"/>
  <c r="J98" i="3"/>
  <c r="K98" i="3"/>
  <c r="I90" i="3"/>
  <c r="J90" i="3"/>
  <c r="K90" i="3"/>
  <c r="I82" i="3"/>
  <c r="J82" i="3"/>
  <c r="K82" i="3"/>
  <c r="I74" i="3"/>
  <c r="J74" i="3"/>
  <c r="K74" i="3"/>
  <c r="I66" i="3"/>
  <c r="J66" i="3"/>
  <c r="K66" i="3"/>
  <c r="I58" i="3"/>
  <c r="J58" i="3"/>
  <c r="K58" i="3"/>
  <c r="I50" i="3"/>
  <c r="J50" i="3"/>
  <c r="K50" i="3"/>
  <c r="I42" i="3"/>
  <c r="J42" i="3"/>
  <c r="K42" i="3"/>
  <c r="I34" i="3"/>
  <c r="J34" i="3"/>
  <c r="K34" i="3"/>
  <c r="I26" i="3"/>
  <c r="J26" i="3"/>
  <c r="K26" i="3"/>
  <c r="I289" i="3"/>
  <c r="J289" i="3"/>
  <c r="K289" i="3"/>
  <c r="I281" i="3"/>
  <c r="J281" i="3"/>
  <c r="K281" i="3"/>
  <c r="I273" i="3"/>
  <c r="J273" i="3"/>
  <c r="K273" i="3"/>
  <c r="I265" i="3"/>
  <c r="J265" i="3"/>
  <c r="K265" i="3"/>
  <c r="I257" i="3"/>
  <c r="J257" i="3"/>
  <c r="K257" i="3"/>
  <c r="I249" i="3"/>
  <c r="J249" i="3"/>
  <c r="K249" i="3"/>
  <c r="I241" i="3"/>
  <c r="J241" i="3"/>
  <c r="K241" i="3"/>
  <c r="I233" i="3"/>
  <c r="J233" i="3"/>
  <c r="K233" i="3"/>
  <c r="I225" i="3"/>
  <c r="J225" i="3"/>
  <c r="K225" i="3"/>
  <c r="I217" i="3"/>
  <c r="J217" i="3"/>
  <c r="K217" i="3"/>
  <c r="I209" i="3"/>
  <c r="J209" i="3"/>
  <c r="K209" i="3"/>
  <c r="I201" i="3"/>
  <c r="J201" i="3"/>
  <c r="K201" i="3"/>
  <c r="I193" i="3"/>
  <c r="J193" i="3"/>
  <c r="K193" i="3"/>
  <c r="I185" i="3"/>
  <c r="J185" i="3"/>
  <c r="K185" i="3"/>
  <c r="I177" i="3"/>
  <c r="J177" i="3"/>
  <c r="K177" i="3"/>
  <c r="I169" i="3"/>
  <c r="J169" i="3"/>
  <c r="K169" i="3"/>
  <c r="I161" i="3"/>
  <c r="J161" i="3"/>
  <c r="K161" i="3"/>
  <c r="I153" i="3"/>
  <c r="J153" i="3"/>
  <c r="K153" i="3"/>
  <c r="I145" i="3"/>
  <c r="J145" i="3"/>
  <c r="K145" i="3"/>
  <c r="I137" i="3"/>
  <c r="J137" i="3"/>
  <c r="I129" i="3"/>
  <c r="J129" i="3"/>
  <c r="K129" i="3"/>
  <c r="I121" i="3"/>
  <c r="J121" i="3"/>
  <c r="K121" i="3"/>
  <c r="I113" i="3"/>
  <c r="J113" i="3"/>
  <c r="K113" i="3"/>
  <c r="I105" i="3"/>
  <c r="J105" i="3"/>
  <c r="K105" i="3"/>
  <c r="I97" i="3"/>
  <c r="J97" i="3"/>
  <c r="K97" i="3"/>
  <c r="I89" i="3"/>
  <c r="J89" i="3"/>
  <c r="K89" i="3"/>
  <c r="I81" i="3"/>
  <c r="J81" i="3"/>
  <c r="K81" i="3"/>
  <c r="I73" i="3"/>
  <c r="J73" i="3"/>
  <c r="K73" i="3"/>
  <c r="I65" i="3"/>
  <c r="J65" i="3"/>
  <c r="K65" i="3"/>
  <c r="I57" i="3"/>
  <c r="J57" i="3"/>
  <c r="K57" i="3"/>
  <c r="I49" i="3"/>
  <c r="J49" i="3"/>
  <c r="K49" i="3"/>
  <c r="I41" i="3"/>
  <c r="J41" i="3"/>
  <c r="I33" i="3"/>
  <c r="J33" i="3"/>
  <c r="K33" i="3"/>
  <c r="I25" i="3"/>
  <c r="J25" i="3"/>
  <c r="K25" i="3"/>
  <c r="I17" i="3"/>
  <c r="J17" i="3"/>
  <c r="K17" i="3"/>
  <c r="I288" i="3"/>
  <c r="J288" i="3"/>
  <c r="K288" i="3"/>
  <c r="I280" i="3"/>
  <c r="J280" i="3"/>
  <c r="K280" i="3"/>
  <c r="I272" i="3"/>
  <c r="J272" i="3"/>
  <c r="K272" i="3"/>
  <c r="I264" i="3"/>
  <c r="J264" i="3"/>
  <c r="K264" i="3"/>
  <c r="I256" i="3"/>
  <c r="J256" i="3"/>
  <c r="K256" i="3"/>
  <c r="I248" i="3"/>
  <c r="J248" i="3"/>
  <c r="K248" i="3"/>
  <c r="I240" i="3"/>
  <c r="J240" i="3"/>
  <c r="K240" i="3"/>
  <c r="I232" i="3"/>
  <c r="J232" i="3"/>
  <c r="K232" i="3"/>
  <c r="I224" i="3"/>
  <c r="J224" i="3"/>
  <c r="K224" i="3"/>
  <c r="I216" i="3"/>
  <c r="J216" i="3"/>
  <c r="K216" i="3"/>
  <c r="I208" i="3"/>
  <c r="J208" i="3"/>
  <c r="K208" i="3"/>
  <c r="I200" i="3"/>
  <c r="J200" i="3"/>
  <c r="K200" i="3"/>
  <c r="I192" i="3"/>
  <c r="J192" i="3"/>
  <c r="K192" i="3"/>
  <c r="I184" i="3"/>
  <c r="J184" i="3"/>
  <c r="K184" i="3"/>
  <c r="I176" i="3"/>
  <c r="J176" i="3"/>
  <c r="K176" i="3"/>
  <c r="I168" i="3"/>
  <c r="J168" i="3"/>
  <c r="K168" i="3"/>
  <c r="I160" i="3"/>
  <c r="J160" i="3"/>
  <c r="I152" i="3"/>
  <c r="J152" i="3"/>
  <c r="K152" i="3"/>
  <c r="I144" i="3"/>
  <c r="J144" i="3"/>
  <c r="K144" i="3"/>
  <c r="I136" i="3"/>
  <c r="J136" i="3"/>
  <c r="K136" i="3"/>
  <c r="I128" i="3"/>
  <c r="J128" i="3"/>
  <c r="I120" i="3"/>
  <c r="J120" i="3"/>
  <c r="K120" i="3"/>
  <c r="I112" i="3"/>
  <c r="J112" i="3"/>
  <c r="K112" i="3"/>
  <c r="I104" i="3"/>
  <c r="J104" i="3"/>
  <c r="K104" i="3"/>
  <c r="I96" i="3"/>
  <c r="J96" i="3"/>
  <c r="K96" i="3"/>
  <c r="I88" i="3"/>
  <c r="J88" i="3"/>
  <c r="K88" i="3"/>
  <c r="I80" i="3"/>
  <c r="J80" i="3"/>
  <c r="K80" i="3"/>
  <c r="I72" i="3"/>
  <c r="J72" i="3"/>
  <c r="K72" i="3"/>
  <c r="I64" i="3"/>
  <c r="J64" i="3"/>
  <c r="K64" i="3"/>
  <c r="I56" i="3"/>
  <c r="J56" i="3"/>
  <c r="K56" i="3"/>
  <c r="I48" i="3"/>
  <c r="J48" i="3"/>
  <c r="K48" i="3"/>
  <c r="I40" i="3"/>
  <c r="J40" i="3"/>
  <c r="K40" i="3"/>
  <c r="I32" i="3"/>
  <c r="J32" i="3"/>
  <c r="K32" i="3"/>
  <c r="I24" i="3"/>
  <c r="J24" i="3"/>
  <c r="K24" i="3"/>
  <c r="I16" i="3"/>
  <c r="J16" i="3"/>
  <c r="K16" i="3"/>
  <c r="I287" i="3"/>
  <c r="J287" i="3"/>
  <c r="K287" i="3"/>
  <c r="I279" i="3"/>
  <c r="J279" i="3"/>
  <c r="K279" i="3"/>
  <c r="I271" i="3"/>
  <c r="J271" i="3"/>
  <c r="K271" i="3"/>
  <c r="I263" i="3"/>
  <c r="J263" i="3"/>
  <c r="K263" i="3"/>
  <c r="I255" i="3"/>
  <c r="J255" i="3"/>
  <c r="K255" i="3"/>
  <c r="I247" i="3"/>
  <c r="J247" i="3"/>
  <c r="K247" i="3"/>
  <c r="I239" i="3"/>
  <c r="J239" i="3"/>
  <c r="K239" i="3"/>
  <c r="I231" i="3"/>
  <c r="J231" i="3"/>
  <c r="K231" i="3"/>
  <c r="I223" i="3"/>
  <c r="J223" i="3"/>
  <c r="K223" i="3"/>
  <c r="I215" i="3"/>
  <c r="J215" i="3"/>
  <c r="K215" i="3"/>
  <c r="I207" i="3"/>
  <c r="J207" i="3"/>
  <c r="K207" i="3"/>
  <c r="I199" i="3"/>
  <c r="J199" i="3"/>
  <c r="K199" i="3"/>
  <c r="I191" i="3"/>
  <c r="J191" i="3"/>
  <c r="K191" i="3"/>
  <c r="I183" i="3"/>
  <c r="J183" i="3"/>
  <c r="K183" i="3"/>
  <c r="I175" i="3"/>
  <c r="J175" i="3"/>
  <c r="K175" i="3"/>
  <c r="I167" i="3"/>
  <c r="J167" i="3"/>
  <c r="K167" i="3"/>
  <c r="I159" i="3"/>
  <c r="J159" i="3"/>
  <c r="K159" i="3"/>
  <c r="I151" i="3"/>
  <c r="J151" i="3"/>
  <c r="K151" i="3"/>
  <c r="I143" i="3"/>
  <c r="J143" i="3"/>
  <c r="K143" i="3"/>
  <c r="I135" i="3"/>
  <c r="J135" i="3"/>
  <c r="K135" i="3"/>
  <c r="I127" i="3"/>
  <c r="J127" i="3"/>
  <c r="K127" i="3"/>
  <c r="I119" i="3"/>
  <c r="J119" i="3"/>
  <c r="K119" i="3"/>
  <c r="I111" i="3"/>
  <c r="J111" i="3"/>
  <c r="K111" i="3"/>
  <c r="I103" i="3"/>
  <c r="J103" i="3"/>
  <c r="K103" i="3"/>
  <c r="I95" i="3"/>
  <c r="J95" i="3"/>
  <c r="K95" i="3"/>
  <c r="I87" i="3"/>
  <c r="J87" i="3"/>
  <c r="K87" i="3"/>
  <c r="I79" i="3"/>
  <c r="J79" i="3"/>
  <c r="K79" i="3"/>
  <c r="I71" i="3"/>
  <c r="J71" i="3"/>
  <c r="K71" i="3"/>
  <c r="I63" i="3"/>
  <c r="J63" i="3"/>
  <c r="K63" i="3"/>
  <c r="I55" i="3"/>
  <c r="J55" i="3"/>
  <c r="K55" i="3"/>
  <c r="I47" i="3"/>
  <c r="J47" i="3"/>
  <c r="K47" i="3"/>
  <c r="I39" i="3"/>
  <c r="J39" i="3"/>
  <c r="K39" i="3"/>
  <c r="I31" i="3"/>
  <c r="J31" i="3"/>
  <c r="K31" i="3"/>
  <c r="I23" i="3"/>
  <c r="J23" i="3"/>
  <c r="K23" i="3"/>
  <c r="I15" i="3"/>
  <c r="J15" i="3"/>
  <c r="K15" i="3"/>
  <c r="I286" i="3"/>
  <c r="J286" i="3"/>
  <c r="K286" i="3"/>
  <c r="I278" i="3"/>
  <c r="J278" i="3"/>
  <c r="K278" i="3"/>
  <c r="I270" i="3"/>
  <c r="J270" i="3"/>
  <c r="K270" i="3"/>
  <c r="I262" i="3"/>
  <c r="J262" i="3"/>
  <c r="K262" i="3"/>
  <c r="I254" i="3"/>
  <c r="J254" i="3"/>
  <c r="K254" i="3"/>
  <c r="I246" i="3"/>
  <c r="J246" i="3"/>
  <c r="K246" i="3"/>
  <c r="I238" i="3"/>
  <c r="J238" i="3"/>
  <c r="K238" i="3"/>
  <c r="I230" i="3"/>
  <c r="J230" i="3"/>
  <c r="K230" i="3"/>
  <c r="I222" i="3"/>
  <c r="J222" i="3"/>
  <c r="K222" i="3"/>
  <c r="I214" i="3"/>
  <c r="J214" i="3"/>
  <c r="K214" i="3"/>
  <c r="I206" i="3"/>
  <c r="J206" i="3"/>
  <c r="K206" i="3"/>
  <c r="I198" i="3"/>
  <c r="J198" i="3"/>
  <c r="K198" i="3"/>
  <c r="I190" i="3"/>
  <c r="J190" i="3"/>
  <c r="K190" i="3"/>
  <c r="I182" i="3"/>
  <c r="J182" i="3"/>
  <c r="K182" i="3"/>
  <c r="I174" i="3"/>
  <c r="J174" i="3"/>
  <c r="K174" i="3"/>
  <c r="I166" i="3"/>
  <c r="J166" i="3"/>
  <c r="K166" i="3"/>
  <c r="I158" i="3"/>
  <c r="J158" i="3"/>
  <c r="K158" i="3"/>
  <c r="I150" i="3"/>
  <c r="J150" i="3"/>
  <c r="K150" i="3"/>
  <c r="I142" i="3"/>
  <c r="J142" i="3"/>
  <c r="K142" i="3"/>
  <c r="I134" i="3"/>
  <c r="J134" i="3"/>
  <c r="K134" i="3"/>
  <c r="I126" i="3"/>
  <c r="J126" i="3"/>
  <c r="K126" i="3"/>
  <c r="I118" i="3"/>
  <c r="J118" i="3"/>
  <c r="K118" i="3"/>
  <c r="I110" i="3"/>
  <c r="J110" i="3"/>
  <c r="K110" i="3"/>
  <c r="I102" i="3"/>
  <c r="J102" i="3"/>
  <c r="K102" i="3"/>
  <c r="I94" i="3"/>
  <c r="J94" i="3"/>
  <c r="K94" i="3"/>
  <c r="I86" i="3"/>
  <c r="J86" i="3"/>
  <c r="K86" i="3"/>
  <c r="I78" i="3"/>
  <c r="J78" i="3"/>
  <c r="K78" i="3"/>
  <c r="I70" i="3"/>
  <c r="J70" i="3"/>
  <c r="K70" i="3"/>
  <c r="I62" i="3"/>
  <c r="J62" i="3"/>
  <c r="K62" i="3"/>
  <c r="I54" i="3"/>
  <c r="J54" i="3"/>
  <c r="K54" i="3"/>
  <c r="I46" i="3"/>
  <c r="J46" i="3"/>
  <c r="K46" i="3"/>
  <c r="I38" i="3"/>
  <c r="J38" i="3"/>
  <c r="K38" i="3"/>
  <c r="I30" i="3"/>
  <c r="J30" i="3"/>
  <c r="K30" i="3"/>
  <c r="I22" i="3"/>
  <c r="J22" i="3"/>
  <c r="K22" i="3"/>
  <c r="I14" i="3"/>
  <c r="J14" i="3"/>
  <c r="K14" i="3"/>
  <c r="I293" i="3"/>
  <c r="J293" i="3"/>
  <c r="K293" i="3"/>
  <c r="I285" i="3"/>
  <c r="J285" i="3"/>
  <c r="K285" i="3"/>
  <c r="I277" i="3"/>
  <c r="J277" i="3"/>
  <c r="K277" i="3"/>
  <c r="I269" i="3"/>
  <c r="J269" i="3"/>
  <c r="K269" i="3"/>
  <c r="I261" i="3"/>
  <c r="J261" i="3"/>
  <c r="K261" i="3"/>
  <c r="I253" i="3"/>
  <c r="J253" i="3"/>
  <c r="K253" i="3"/>
  <c r="I245" i="3"/>
  <c r="J245" i="3"/>
  <c r="K245" i="3"/>
  <c r="I237" i="3"/>
  <c r="J237" i="3"/>
  <c r="K237" i="3"/>
  <c r="I229" i="3"/>
  <c r="J229" i="3"/>
  <c r="K229" i="3"/>
  <c r="I221" i="3"/>
  <c r="J221" i="3"/>
  <c r="K221" i="3"/>
  <c r="I213" i="3"/>
  <c r="J213" i="3"/>
  <c r="K213" i="3"/>
  <c r="I205" i="3"/>
  <c r="J205" i="3"/>
  <c r="K205" i="3"/>
  <c r="I197" i="3"/>
  <c r="J197" i="3"/>
  <c r="K197" i="3"/>
  <c r="I189" i="3"/>
  <c r="J189" i="3"/>
  <c r="K189" i="3"/>
  <c r="I181" i="3"/>
  <c r="J181" i="3"/>
  <c r="K181" i="3"/>
  <c r="I173" i="3"/>
  <c r="J173" i="3"/>
  <c r="K173" i="3"/>
  <c r="I165" i="3"/>
  <c r="J165" i="3"/>
  <c r="K165" i="3"/>
  <c r="I157" i="3"/>
  <c r="J157" i="3"/>
  <c r="K157" i="3"/>
  <c r="I149" i="3"/>
  <c r="J149" i="3"/>
  <c r="K149" i="3"/>
  <c r="I141" i="3"/>
  <c r="J141" i="3"/>
  <c r="K141" i="3"/>
  <c r="I133" i="3"/>
  <c r="J133" i="3"/>
  <c r="K133" i="3"/>
  <c r="I125" i="3"/>
  <c r="J125" i="3"/>
  <c r="K125" i="3"/>
  <c r="I117" i="3"/>
  <c r="J117" i="3"/>
  <c r="K117" i="3"/>
  <c r="I109" i="3"/>
  <c r="J109" i="3"/>
  <c r="K109" i="3"/>
  <c r="I101" i="3"/>
  <c r="J101" i="3"/>
  <c r="K101" i="3"/>
  <c r="I93" i="3"/>
  <c r="J93" i="3"/>
  <c r="K93" i="3"/>
  <c r="I85" i="3"/>
  <c r="J85" i="3"/>
  <c r="K85" i="3"/>
  <c r="I77" i="3"/>
  <c r="J77" i="3"/>
  <c r="K77" i="3"/>
  <c r="I69" i="3"/>
  <c r="J69" i="3"/>
  <c r="K69" i="3"/>
  <c r="I61" i="3"/>
  <c r="J61" i="3"/>
  <c r="K61" i="3"/>
  <c r="I53" i="3"/>
  <c r="J53" i="3"/>
  <c r="K53" i="3"/>
  <c r="I45" i="3"/>
  <c r="J45" i="3"/>
  <c r="K45" i="3"/>
  <c r="I37" i="3"/>
  <c r="J37" i="3"/>
  <c r="K37" i="3"/>
  <c r="I29" i="3"/>
  <c r="J29" i="3"/>
  <c r="K29" i="3"/>
  <c r="I21" i="3"/>
  <c r="J21" i="3"/>
  <c r="K21" i="3"/>
  <c r="I13" i="3"/>
  <c r="J13" i="3"/>
  <c r="K13" i="3"/>
  <c r="I284" i="3"/>
  <c r="J284" i="3"/>
  <c r="K284" i="3"/>
  <c r="I276" i="3"/>
  <c r="J276" i="3"/>
  <c r="K276" i="3"/>
  <c r="I268" i="3"/>
  <c r="J268" i="3"/>
  <c r="K268" i="3"/>
  <c r="I260" i="3"/>
  <c r="J260" i="3"/>
  <c r="K260" i="3"/>
  <c r="I252" i="3"/>
  <c r="J252" i="3"/>
  <c r="K252" i="3"/>
  <c r="I244" i="3"/>
  <c r="J244" i="3"/>
  <c r="K244" i="3"/>
  <c r="I236" i="3"/>
  <c r="J236" i="3"/>
  <c r="K236" i="3"/>
  <c r="I228" i="3"/>
  <c r="J228" i="3"/>
  <c r="K228" i="3"/>
  <c r="I220" i="3"/>
  <c r="J220" i="3"/>
  <c r="K220" i="3"/>
  <c r="I212" i="3"/>
  <c r="J212" i="3"/>
  <c r="K212" i="3"/>
  <c r="I204" i="3"/>
  <c r="J204" i="3"/>
  <c r="K204" i="3"/>
  <c r="I196" i="3"/>
  <c r="J196" i="3"/>
  <c r="K196" i="3"/>
  <c r="I188" i="3"/>
  <c r="J188" i="3"/>
  <c r="K188" i="3"/>
  <c r="I180" i="3"/>
  <c r="J180" i="3"/>
  <c r="K180" i="3"/>
  <c r="I172" i="3"/>
  <c r="J172" i="3"/>
  <c r="K172" i="3"/>
  <c r="I164" i="3"/>
  <c r="J164" i="3"/>
  <c r="K164" i="3"/>
  <c r="I156" i="3"/>
  <c r="J156" i="3"/>
  <c r="K156" i="3"/>
  <c r="I148" i="3"/>
  <c r="J148" i="3"/>
  <c r="K148" i="3"/>
  <c r="I140" i="3"/>
  <c r="J140" i="3"/>
  <c r="K140" i="3"/>
  <c r="I132" i="3"/>
  <c r="J132" i="3"/>
  <c r="K132" i="3"/>
  <c r="I124" i="3"/>
  <c r="J124" i="3"/>
  <c r="K124" i="3"/>
  <c r="I116" i="3"/>
  <c r="J116" i="3"/>
  <c r="K116" i="3"/>
  <c r="I108" i="3"/>
  <c r="J108" i="3"/>
  <c r="K108" i="3"/>
  <c r="I100" i="3"/>
  <c r="J100" i="3"/>
  <c r="K100" i="3"/>
  <c r="I92" i="3"/>
  <c r="J92" i="3"/>
  <c r="K92" i="3"/>
  <c r="I84" i="3"/>
  <c r="J84" i="3"/>
  <c r="K84" i="3"/>
  <c r="I76" i="3"/>
  <c r="J76" i="3"/>
  <c r="K76" i="3"/>
  <c r="I68" i="3"/>
  <c r="J68" i="3"/>
  <c r="K68" i="3"/>
  <c r="I60" i="3"/>
  <c r="J60" i="3"/>
  <c r="K60" i="3"/>
  <c r="I52" i="3"/>
  <c r="J52" i="3"/>
  <c r="K52" i="3"/>
  <c r="I44" i="3"/>
  <c r="J44" i="3"/>
  <c r="K44" i="3"/>
  <c r="I36" i="3"/>
  <c r="J36" i="3"/>
  <c r="K36" i="3"/>
  <c r="I28" i="3"/>
  <c r="J28" i="3"/>
  <c r="K28" i="3"/>
  <c r="I20" i="3"/>
  <c r="J20" i="3"/>
  <c r="K20" i="3"/>
  <c r="C358" i="3"/>
  <c r="M358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G59" i="3"/>
  <c r="H59" i="3"/>
  <c r="G243" i="3"/>
  <c r="H243" i="3"/>
  <c r="G35" i="3"/>
  <c r="H35" i="3"/>
  <c r="G107" i="3"/>
  <c r="H107" i="3"/>
  <c r="G139" i="3"/>
  <c r="H139" i="3"/>
  <c r="G147" i="3"/>
  <c r="H147" i="3"/>
  <c r="G203" i="3"/>
  <c r="H203" i="3"/>
  <c r="G315" i="3"/>
  <c r="H315" i="3"/>
  <c r="G115" i="3"/>
  <c r="H115" i="3"/>
  <c r="G155" i="3"/>
  <c r="H155" i="3"/>
  <c r="G291" i="3"/>
  <c r="H291" i="3"/>
  <c r="G75" i="3"/>
  <c r="H75" i="3"/>
  <c r="G331" i="3"/>
  <c r="H331" i="3"/>
  <c r="G19" i="3"/>
  <c r="H19" i="3"/>
  <c r="G67" i="3"/>
  <c r="H67" i="3"/>
  <c r="G99" i="3"/>
  <c r="G219" i="3"/>
  <c r="H219" i="3"/>
  <c r="G131" i="3"/>
  <c r="H131" i="3"/>
  <c r="G307" i="3"/>
  <c r="H307" i="3"/>
  <c r="G371" i="3"/>
  <c r="H371" i="3"/>
  <c r="G51" i="3"/>
  <c r="H51" i="3"/>
  <c r="G91" i="3"/>
  <c r="H91" i="3"/>
  <c r="G179" i="3"/>
  <c r="H179" i="3"/>
  <c r="G211" i="3"/>
  <c r="H211" i="3"/>
  <c r="G83" i="3"/>
  <c r="H83" i="3"/>
  <c r="G123" i="3"/>
  <c r="H123" i="3"/>
  <c r="G347" i="3"/>
  <c r="H347" i="3"/>
  <c r="G395" i="3"/>
  <c r="H395" i="3"/>
  <c r="G227" i="3"/>
  <c r="H227" i="3"/>
  <c r="M465" i="3"/>
  <c r="C466" i="3"/>
  <c r="C467" i="3"/>
  <c r="C468" i="3"/>
  <c r="C469" i="3"/>
  <c r="M466" i="3"/>
  <c r="L454" i="3"/>
  <c r="M187" i="3"/>
  <c r="M355" i="3"/>
  <c r="L294" i="3"/>
  <c r="M426" i="3"/>
  <c r="M370" i="3"/>
  <c r="L426" i="3"/>
  <c r="M319" i="3"/>
  <c r="L385" i="3"/>
  <c r="M454" i="3"/>
  <c r="M197" i="3"/>
  <c r="B337" i="3"/>
  <c r="B258" i="3"/>
  <c r="B259" i="3"/>
  <c r="B260" i="3"/>
  <c r="B261" i="3"/>
  <c r="B262" i="3"/>
  <c r="B263" i="3"/>
  <c r="B264" i="3"/>
  <c r="B265" i="3"/>
  <c r="B266" i="3"/>
  <c r="B267" i="3"/>
  <c r="C371" i="3"/>
  <c r="B99" i="3"/>
  <c r="B100" i="3"/>
  <c r="B101" i="3"/>
  <c r="B102" i="3"/>
  <c r="B43" i="3"/>
  <c r="B44" i="3"/>
  <c r="B45" i="3"/>
  <c r="B46" i="3"/>
  <c r="C43" i="3"/>
  <c r="C44" i="3"/>
  <c r="B110" i="3"/>
  <c r="B111" i="3"/>
  <c r="B112" i="3"/>
  <c r="B113" i="3"/>
  <c r="B114" i="3"/>
  <c r="B115" i="3"/>
  <c r="B116" i="3"/>
  <c r="B117" i="3"/>
  <c r="B118" i="3"/>
  <c r="B119" i="3"/>
  <c r="B225" i="3"/>
  <c r="B226" i="3"/>
  <c r="B227" i="3"/>
  <c r="B228" i="3"/>
  <c r="B229" i="3"/>
  <c r="B230" i="3"/>
  <c r="B231" i="3"/>
  <c r="B232" i="3"/>
  <c r="B233" i="3"/>
  <c r="C295" i="3"/>
  <c r="B19" i="3"/>
  <c r="B20" i="3"/>
  <c r="J398" i="3"/>
  <c r="K398" i="3"/>
  <c r="J421" i="3"/>
  <c r="K421" i="3"/>
  <c r="B302" i="3"/>
  <c r="B303" i="3"/>
  <c r="B304" i="3"/>
  <c r="B305" i="3"/>
  <c r="B306" i="3"/>
  <c r="B307" i="3"/>
  <c r="B428" i="3"/>
  <c r="B429" i="3"/>
  <c r="B430" i="3"/>
  <c r="B431" i="3"/>
  <c r="B432" i="3"/>
  <c r="B433" i="3"/>
  <c r="B434" i="3"/>
  <c r="B435" i="3"/>
  <c r="B14" i="3"/>
  <c r="B15" i="3"/>
  <c r="B339" i="3"/>
  <c r="B340" i="3"/>
  <c r="B341" i="3"/>
  <c r="B342" i="3"/>
  <c r="B343" i="3"/>
  <c r="B344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J366" i="3"/>
  <c r="K366" i="3"/>
  <c r="J339" i="3"/>
  <c r="K339" i="3"/>
  <c r="J338" i="3"/>
  <c r="K338" i="3"/>
  <c r="J313" i="3"/>
  <c r="K313" i="3"/>
  <c r="B103" i="3"/>
  <c r="B104" i="3"/>
  <c r="B105" i="3"/>
  <c r="B106" i="3"/>
  <c r="B107" i="3"/>
  <c r="C346" i="3"/>
  <c r="M346" i="3"/>
  <c r="C347" i="3"/>
  <c r="M347" i="3"/>
  <c r="C398" i="3"/>
  <c r="L398" i="3"/>
  <c r="C399" i="3"/>
  <c r="M85" i="3"/>
  <c r="C71" i="3"/>
  <c r="L70" i="3"/>
  <c r="C456" i="3"/>
  <c r="M456" i="3"/>
  <c r="M455" i="3"/>
  <c r="L455" i="3"/>
  <c r="C110" i="3"/>
  <c r="C111" i="3"/>
  <c r="M422" i="3"/>
  <c r="M410" i="3"/>
  <c r="C86" i="3"/>
  <c r="C378" i="3"/>
  <c r="C338" i="3"/>
  <c r="M338" i="3"/>
  <c r="M43" i="3"/>
  <c r="C310" i="3"/>
  <c r="C245" i="3"/>
  <c r="M245" i="3"/>
  <c r="M109" i="3"/>
  <c r="B32" i="3"/>
  <c r="B33" i="3"/>
  <c r="B34" i="3"/>
  <c r="B35" i="3"/>
  <c r="B36" i="3"/>
  <c r="B37" i="3"/>
  <c r="B38" i="3"/>
  <c r="B39" i="3"/>
  <c r="B40" i="3"/>
  <c r="B11" i="10"/>
  <c r="B7" i="10"/>
  <c r="B13" i="10"/>
  <c r="M427" i="3"/>
  <c r="L427" i="3"/>
  <c r="C428" i="3"/>
  <c r="M55" i="3"/>
  <c r="M155" i="3"/>
  <c r="L155" i="3"/>
  <c r="L224" i="3"/>
  <c r="M224" i="3"/>
  <c r="C321" i="3"/>
  <c r="M321" i="3"/>
  <c r="C322" i="3"/>
  <c r="C323" i="3"/>
  <c r="M323" i="3"/>
  <c r="M320" i="3"/>
  <c r="C14" i="3"/>
  <c r="C246" i="3"/>
  <c r="M246" i="3"/>
  <c r="C247" i="3"/>
  <c r="C248" i="3"/>
  <c r="C379" i="3"/>
  <c r="M378" i="3"/>
  <c r="M110" i="3"/>
  <c r="L110" i="3"/>
  <c r="C226" i="3"/>
  <c r="C227" i="3"/>
  <c r="C57" i="3"/>
  <c r="M57" i="3"/>
  <c r="M379" i="3"/>
  <c r="C380" i="3"/>
  <c r="M226" i="3"/>
  <c r="L57" i="3"/>
  <c r="C475" i="3"/>
  <c r="M474" i="3"/>
  <c r="H453" i="3"/>
  <c r="N453" i="3"/>
  <c r="O453" i="3"/>
  <c r="H377" i="3"/>
  <c r="M468" i="3"/>
  <c r="C457" i="3"/>
  <c r="B320" i="3"/>
  <c r="B321" i="3"/>
  <c r="B322" i="3"/>
  <c r="B323" i="3"/>
  <c r="B324" i="3"/>
  <c r="B325" i="3"/>
  <c r="C482" i="3"/>
  <c r="C483" i="3"/>
  <c r="M483" i="3"/>
  <c r="M481" i="3"/>
  <c r="M480" i="3"/>
  <c r="C487" i="3"/>
  <c r="M487" i="3"/>
  <c r="M486" i="3"/>
  <c r="M482" i="3"/>
  <c r="K485" i="3"/>
  <c r="H381" i="3"/>
  <c r="H473" i="3"/>
  <c r="K386" i="3"/>
  <c r="H406" i="3"/>
  <c r="H339" i="3"/>
  <c r="H463" i="3"/>
  <c r="M463" i="3"/>
  <c r="N463" i="3"/>
  <c r="O463" i="3"/>
  <c r="K524" i="3"/>
  <c r="H420" i="3"/>
  <c r="H485" i="3"/>
  <c r="N485" i="3"/>
  <c r="O485" i="3"/>
  <c r="H487" i="3"/>
  <c r="H44" i="3"/>
  <c r="H518" i="3"/>
  <c r="H338" i="3"/>
  <c r="K522" i="3"/>
  <c r="H525" i="3"/>
  <c r="H511" i="3"/>
  <c r="E19" i="13"/>
  <c r="E18" i="13"/>
  <c r="H519" i="3"/>
  <c r="K518" i="3"/>
  <c r="H337" i="3"/>
  <c r="H451" i="3"/>
  <c r="H472" i="3"/>
  <c r="H520" i="3"/>
  <c r="M518" i="3"/>
  <c r="C519" i="3"/>
  <c r="K128" i="3"/>
  <c r="K511" i="3"/>
  <c r="K519" i="3"/>
  <c r="H474" i="3"/>
  <c r="H441" i="3"/>
  <c r="H457" i="3"/>
  <c r="H484" i="3"/>
  <c r="H321" i="3"/>
  <c r="H447" i="3"/>
  <c r="H461" i="3"/>
  <c r="H486" i="3"/>
  <c r="H492" i="3"/>
  <c r="M517" i="3"/>
  <c r="H117" i="3"/>
  <c r="H410" i="3"/>
  <c r="H430" i="3"/>
  <c r="H434" i="3"/>
  <c r="H467" i="3"/>
  <c r="H62" i="3"/>
  <c r="H353" i="3"/>
  <c r="H358" i="3"/>
  <c r="H368" i="3"/>
  <c r="H392" i="3"/>
  <c r="H397" i="3"/>
  <c r="H422" i="3"/>
  <c r="K517" i="3"/>
  <c r="K312" i="3"/>
  <c r="H401" i="3"/>
  <c r="H259" i="3"/>
  <c r="H412" i="3"/>
  <c r="H516" i="3"/>
  <c r="H363" i="3"/>
  <c r="H515" i="3"/>
  <c r="E15" i="13"/>
  <c r="H376" i="3"/>
  <c r="C424" i="3"/>
  <c r="M424" i="3"/>
  <c r="M423" i="3"/>
  <c r="B76" i="3"/>
  <c r="B77" i="3"/>
  <c r="B78" i="3"/>
  <c r="B79" i="3"/>
  <c r="B80" i="3"/>
  <c r="B81" i="3"/>
  <c r="B82" i="3"/>
  <c r="B75" i="3"/>
  <c r="C220" i="3"/>
  <c r="M219" i="3"/>
  <c r="C348" i="3"/>
  <c r="C349" i="3"/>
  <c r="L487" i="3"/>
  <c r="C324" i="3"/>
  <c r="M218" i="3"/>
  <c r="C337" i="3"/>
  <c r="M337" i="3"/>
  <c r="C488" i="3"/>
  <c r="C58" i="3"/>
  <c r="H471" i="3"/>
  <c r="L346" i="3"/>
  <c r="C438" i="3"/>
  <c r="M496" i="3"/>
  <c r="C476" i="3"/>
  <c r="C477" i="3"/>
  <c r="C339" i="3"/>
  <c r="C18" i="3"/>
  <c r="M18" i="3"/>
  <c r="C270" i="3"/>
  <c r="L496" i="3"/>
  <c r="L511" i="3"/>
  <c r="C19" i="3"/>
  <c r="C302" i="3"/>
  <c r="C359" i="3"/>
  <c r="M322" i="3"/>
  <c r="D17" i="13"/>
  <c r="D14" i="13"/>
  <c r="H390" i="3"/>
  <c r="H436" i="3"/>
  <c r="H464" i="3"/>
  <c r="H326" i="3"/>
  <c r="H379" i="3"/>
  <c r="H394" i="3"/>
  <c r="B120" i="3"/>
  <c r="B121" i="3"/>
  <c r="B122" i="3"/>
  <c r="C325" i="3"/>
  <c r="M324" i="3"/>
  <c r="M411" i="3"/>
  <c r="C412" i="3"/>
  <c r="M371" i="3"/>
  <c r="C372" i="3"/>
  <c r="B278" i="3"/>
  <c r="B279" i="3"/>
  <c r="B280" i="3"/>
  <c r="B281" i="3"/>
  <c r="B282" i="3"/>
  <c r="B283" i="3"/>
  <c r="B284" i="3"/>
  <c r="B285" i="3"/>
  <c r="B196" i="3"/>
  <c r="B195" i="3"/>
  <c r="C386" i="3"/>
  <c r="M385" i="3"/>
  <c r="C296" i="3"/>
  <c r="M295" i="3"/>
  <c r="L295" i="3"/>
  <c r="L497" i="3"/>
  <c r="M497" i="3"/>
  <c r="C498" i="3"/>
  <c r="M310" i="3"/>
  <c r="C311" i="3"/>
  <c r="C72" i="3"/>
  <c r="M71" i="3"/>
  <c r="B47" i="3"/>
  <c r="B48" i="3"/>
  <c r="B49" i="3"/>
  <c r="B50" i="3"/>
  <c r="B51" i="3"/>
  <c r="B52" i="3"/>
  <c r="B53" i="3"/>
  <c r="B21" i="10"/>
  <c r="M248" i="3"/>
  <c r="C249" i="3"/>
  <c r="B22" i="10"/>
  <c r="C484" i="3"/>
  <c r="M484" i="3"/>
  <c r="M247" i="3"/>
  <c r="M488" i="3"/>
  <c r="C489" i="3"/>
  <c r="M58" i="3"/>
  <c r="C59" i="3"/>
  <c r="M348" i="3"/>
  <c r="M469" i="3"/>
  <c r="C470" i="3"/>
  <c r="M96" i="3"/>
  <c r="C97" i="3"/>
  <c r="C199" i="3"/>
  <c r="L187" i="3"/>
  <c r="C188" i="3"/>
  <c r="M349" i="3"/>
  <c r="C350" i="3"/>
  <c r="C15" i="3"/>
  <c r="M15" i="3"/>
  <c r="M14" i="3"/>
  <c r="M399" i="3"/>
  <c r="C400" i="3"/>
  <c r="L399" i="3"/>
  <c r="M359" i="3"/>
  <c r="C360" i="3"/>
  <c r="M476" i="3"/>
  <c r="M86" i="3"/>
  <c r="C87" i="3"/>
  <c r="M428" i="3"/>
  <c r="C429" i="3"/>
  <c r="C157" i="3"/>
  <c r="M156" i="3"/>
  <c r="M182" i="3"/>
  <c r="C183" i="3"/>
  <c r="B9" i="10"/>
  <c r="B252" i="3"/>
  <c r="B253" i="3"/>
  <c r="B254" i="3"/>
  <c r="M457" i="3"/>
  <c r="C458" i="3"/>
  <c r="M398" i="3"/>
  <c r="M467" i="3"/>
  <c r="B28" i="10"/>
  <c r="B4" i="10"/>
  <c r="M380" i="3"/>
  <c r="C381" i="3"/>
  <c r="M227" i="3"/>
  <c r="C228" i="3"/>
  <c r="C112" i="3"/>
  <c r="M111" i="3"/>
  <c r="M44" i="3"/>
  <c r="N44" i="3"/>
  <c r="O44" i="3"/>
  <c r="C45" i="3"/>
  <c r="L13" i="3"/>
  <c r="M446" i="3"/>
  <c r="N446" i="3"/>
  <c r="O446" i="3"/>
  <c r="C447" i="3"/>
  <c r="L225" i="3"/>
  <c r="M225" i="3"/>
  <c r="H120" i="3"/>
  <c r="C512" i="3"/>
  <c r="H388" i="3"/>
  <c r="D15" i="13"/>
  <c r="D13" i="13"/>
  <c r="E14" i="13"/>
  <c r="E17" i="13"/>
  <c r="K490" i="3"/>
  <c r="H99" i="3"/>
  <c r="H18" i="3"/>
  <c r="H478" i="3"/>
  <c r="K160" i="3"/>
  <c r="H151" i="3"/>
  <c r="H112" i="3"/>
  <c r="H184" i="3"/>
  <c r="H241" i="3"/>
  <c r="H378" i="3"/>
  <c r="H40" i="3"/>
  <c r="E13" i="13"/>
  <c r="K259" i="3"/>
  <c r="H269" i="3"/>
  <c r="H514" i="3"/>
  <c r="H505" i="3"/>
  <c r="H456" i="3"/>
  <c r="H302" i="3"/>
  <c r="K478" i="3"/>
  <c r="H64" i="3"/>
  <c r="H197" i="3"/>
  <c r="H205" i="3"/>
  <c r="K311" i="3"/>
  <c r="H383" i="3"/>
  <c r="H396" i="3"/>
  <c r="H403" i="3"/>
  <c r="H299" i="3"/>
  <c r="H163" i="3"/>
  <c r="H460" i="3"/>
  <c r="H483" i="3"/>
  <c r="H496" i="3"/>
  <c r="K333" i="3"/>
  <c r="K107" i="3"/>
  <c r="K75" i="3"/>
  <c r="H48" i="3"/>
  <c r="H114" i="3"/>
  <c r="H251" i="3"/>
  <c r="H349" i="3"/>
  <c r="H384" i="3"/>
  <c r="H382" i="3"/>
  <c r="K41" i="3"/>
  <c r="H60" i="3"/>
  <c r="H308" i="3"/>
  <c r="H311" i="3"/>
  <c r="H372" i="3"/>
  <c r="H196" i="3"/>
  <c r="N196" i="3"/>
  <c r="O196" i="3"/>
  <c r="H143" i="3"/>
  <c r="H97" i="3"/>
  <c r="K506" i="3"/>
  <c r="H310" i="3"/>
  <c r="H340" i="3"/>
  <c r="H417" i="3"/>
  <c r="H424" i="3"/>
  <c r="K450" i="3"/>
  <c r="H178" i="3"/>
  <c r="K371" i="3"/>
  <c r="K354" i="3"/>
  <c r="H510" i="3"/>
  <c r="K336" i="3"/>
  <c r="H369" i="3"/>
  <c r="H303" i="3"/>
  <c r="H506" i="3"/>
  <c r="H507" i="3"/>
  <c r="H502" i="3"/>
  <c r="H365" i="3"/>
  <c r="H495" i="3"/>
  <c r="H433" i="3"/>
  <c r="H320" i="3"/>
  <c r="H411" i="3"/>
  <c r="H23" i="3"/>
  <c r="H164" i="3"/>
  <c r="K337" i="3"/>
  <c r="K390" i="3"/>
  <c r="H391" i="3"/>
  <c r="K509" i="3"/>
  <c r="H409" i="3"/>
  <c r="H497" i="3"/>
  <c r="H144" i="3"/>
  <c r="H274" i="3"/>
  <c r="K378" i="3"/>
  <c r="H380" i="3"/>
  <c r="H413" i="3"/>
  <c r="K463" i="3"/>
  <c r="H296" i="3"/>
  <c r="H421" i="3"/>
  <c r="K408" i="3"/>
  <c r="H399" i="3"/>
  <c r="H46" i="3"/>
  <c r="H355" i="3"/>
  <c r="K500" i="3"/>
  <c r="H142" i="3"/>
  <c r="K345" i="3"/>
  <c r="H402" i="3"/>
  <c r="K436" i="3"/>
  <c r="H440" i="3"/>
  <c r="K137" i="3"/>
  <c r="H85" i="3"/>
  <c r="H166" i="3"/>
  <c r="H188" i="3"/>
  <c r="H245" i="3"/>
  <c r="H366" i="3"/>
  <c r="H477" i="3"/>
  <c r="H508" i="3"/>
  <c r="H81" i="3"/>
  <c r="H100" i="3"/>
  <c r="E16" i="13"/>
  <c r="H278" i="3"/>
  <c r="H306" i="3"/>
  <c r="K400" i="3"/>
  <c r="H501" i="3"/>
  <c r="H150" i="3"/>
  <c r="H443" i="3"/>
  <c r="H304" i="3"/>
  <c r="K317" i="3"/>
  <c r="H328" i="3"/>
  <c r="K362" i="3"/>
  <c r="H187" i="3"/>
  <c r="H419" i="3"/>
  <c r="H488" i="3"/>
  <c r="K497" i="3"/>
  <c r="H327" i="3"/>
  <c r="K414" i="3"/>
  <c r="H418" i="3"/>
  <c r="H428" i="3"/>
  <c r="H32" i="3"/>
  <c r="H300" i="3"/>
  <c r="K342" i="3"/>
  <c r="K405" i="3"/>
  <c r="H414" i="3"/>
  <c r="K376" i="3"/>
  <c r="K457" i="3"/>
  <c r="H493" i="3"/>
  <c r="K316" i="3"/>
  <c r="H350" i="3"/>
  <c r="H352" i="3"/>
  <c r="K367" i="3"/>
  <c r="H374" i="3"/>
  <c r="K476" i="3"/>
  <c r="H169" i="3"/>
  <c r="H309" i="3"/>
  <c r="H314" i="3"/>
  <c r="H316" i="3"/>
  <c r="H465" i="3"/>
  <c r="H425" i="3"/>
  <c r="M519" i="3"/>
  <c r="C520" i="3"/>
  <c r="M270" i="3"/>
  <c r="C271" i="3"/>
  <c r="C221" i="3"/>
  <c r="M220" i="3"/>
  <c r="C340" i="3"/>
  <c r="M339" i="3"/>
  <c r="M477" i="3"/>
  <c r="C478" i="3"/>
  <c r="M478" i="3"/>
  <c r="B83" i="3"/>
  <c r="B84" i="3"/>
  <c r="M302" i="3"/>
  <c r="C303" i="3"/>
  <c r="M19" i="3"/>
  <c r="C21" i="3"/>
  <c r="C20" i="3"/>
  <c r="M20" i="3"/>
  <c r="C439" i="3"/>
  <c r="M438" i="3"/>
  <c r="C229" i="3"/>
  <c r="M228" i="3"/>
  <c r="C430" i="3"/>
  <c r="M429" i="3"/>
  <c r="M512" i="3"/>
  <c r="C513" i="3"/>
  <c r="C361" i="3"/>
  <c r="M360" i="3"/>
  <c r="B10" i="10"/>
  <c r="B197" i="3"/>
  <c r="B198" i="3"/>
  <c r="B199" i="3"/>
  <c r="B200" i="3"/>
  <c r="B201" i="3"/>
  <c r="B202" i="3"/>
  <c r="B203" i="3"/>
  <c r="B204" i="3"/>
  <c r="B2" i="10"/>
  <c r="B5" i="10"/>
  <c r="C382" i="3"/>
  <c r="M381" i="3"/>
  <c r="M87" i="3"/>
  <c r="C88" i="3"/>
  <c r="C189" i="3"/>
  <c r="L188" i="3"/>
  <c r="M188" i="3"/>
  <c r="M59" i="3"/>
  <c r="C60" i="3"/>
  <c r="C413" i="3"/>
  <c r="M412" i="3"/>
  <c r="M458" i="3"/>
  <c r="C459" i="3"/>
  <c r="M350" i="3"/>
  <c r="C351" i="3"/>
  <c r="M45" i="3"/>
  <c r="C46" i="3"/>
  <c r="M183" i="3"/>
  <c r="C184" i="3"/>
  <c r="C401" i="3"/>
  <c r="M400" i="3"/>
  <c r="M199" i="3"/>
  <c r="C200" i="3"/>
  <c r="M489" i="3"/>
  <c r="C490" i="3"/>
  <c r="M372" i="3"/>
  <c r="C373" i="3"/>
  <c r="M447" i="3"/>
  <c r="C448" i="3"/>
  <c r="M498" i="3"/>
  <c r="C499" i="3"/>
  <c r="C98" i="3"/>
  <c r="M97" i="3"/>
  <c r="C73" i="3"/>
  <c r="M72" i="3"/>
  <c r="M296" i="3"/>
  <c r="C297" i="3"/>
  <c r="C326" i="3"/>
  <c r="M325" i="3"/>
  <c r="M249" i="3"/>
  <c r="C250" i="3"/>
  <c r="C312" i="3"/>
  <c r="M311" i="3"/>
  <c r="B124" i="3"/>
  <c r="B125" i="3"/>
  <c r="B126" i="3"/>
  <c r="B127" i="3"/>
  <c r="B128" i="3"/>
  <c r="B129" i="3"/>
  <c r="B123" i="3"/>
  <c r="M112" i="3"/>
  <c r="C113" i="3"/>
  <c r="M157" i="3"/>
  <c r="N157" i="3"/>
  <c r="O157" i="3"/>
  <c r="C158" i="3"/>
  <c r="C471" i="3"/>
  <c r="M470" i="3"/>
  <c r="M386" i="3"/>
  <c r="C387" i="3"/>
  <c r="M520" i="3"/>
  <c r="C521" i="3"/>
  <c r="C222" i="3"/>
  <c r="M222" i="3"/>
  <c r="M221" i="3"/>
  <c r="M271" i="3"/>
  <c r="C272" i="3"/>
  <c r="C304" i="3"/>
  <c r="M303" i="3"/>
  <c r="M439" i="3"/>
  <c r="C440" i="3"/>
  <c r="M340" i="3"/>
  <c r="C341" i="3"/>
  <c r="B85" i="3"/>
  <c r="B86" i="3"/>
  <c r="B87" i="3"/>
  <c r="B88" i="3"/>
  <c r="B89" i="3"/>
  <c r="B90" i="3"/>
  <c r="B91" i="3"/>
  <c r="B92" i="3"/>
  <c r="B93" i="3"/>
  <c r="B94" i="3"/>
  <c r="B24" i="10"/>
  <c r="C22" i="3"/>
  <c r="M21" i="3"/>
  <c r="L21" i="3"/>
  <c r="M499" i="3"/>
  <c r="C500" i="3"/>
  <c r="C61" i="3"/>
  <c r="M60" i="3"/>
  <c r="M382" i="3"/>
  <c r="C383" i="3"/>
  <c r="M383" i="3"/>
  <c r="C402" i="3"/>
  <c r="M401" i="3"/>
  <c r="C388" i="3"/>
  <c r="M387" i="3"/>
  <c r="C313" i="3"/>
  <c r="M312" i="3"/>
  <c r="C185" i="3"/>
  <c r="M185" i="3"/>
  <c r="M184" i="3"/>
  <c r="C352" i="3"/>
  <c r="M351" i="3"/>
  <c r="C114" i="3"/>
  <c r="M113" i="3"/>
  <c r="M490" i="3"/>
  <c r="C491" i="3"/>
  <c r="C47" i="3"/>
  <c r="M46" i="3"/>
  <c r="L46" i="3"/>
  <c r="M459" i="3"/>
  <c r="C460" i="3"/>
  <c r="M361" i="3"/>
  <c r="C362" i="3"/>
  <c r="M430" i="3"/>
  <c r="C431" i="3"/>
  <c r="M326" i="3"/>
  <c r="L326" i="3"/>
  <c r="C327" i="3"/>
  <c r="C230" i="3"/>
  <c r="M229" i="3"/>
  <c r="M513" i="3"/>
  <c r="C514" i="3"/>
  <c r="B130" i="3"/>
  <c r="B132" i="3"/>
  <c r="B133" i="3"/>
  <c r="B134" i="3"/>
  <c r="B135" i="3"/>
  <c r="B136" i="3"/>
  <c r="B137" i="3"/>
  <c r="B138" i="3"/>
  <c r="B139" i="3"/>
  <c r="B140" i="3"/>
  <c r="B141" i="3"/>
  <c r="B131" i="3"/>
  <c r="C298" i="3"/>
  <c r="M297" i="3"/>
  <c r="C201" i="3"/>
  <c r="M200" i="3"/>
  <c r="C472" i="3"/>
  <c r="M471" i="3"/>
  <c r="M189" i="3"/>
  <c r="C190" i="3"/>
  <c r="B206" i="3"/>
  <c r="B207" i="3"/>
  <c r="B208" i="3"/>
  <c r="B209" i="3"/>
  <c r="B210" i="3"/>
  <c r="B211" i="3"/>
  <c r="B212" i="3"/>
  <c r="B213" i="3"/>
  <c r="B214" i="3"/>
  <c r="B215" i="3"/>
  <c r="B216" i="3"/>
  <c r="B205" i="3"/>
  <c r="M73" i="3"/>
  <c r="C74" i="3"/>
  <c r="M158" i="3"/>
  <c r="C159" i="3"/>
  <c r="C374" i="3"/>
  <c r="M373" i="3"/>
  <c r="M413" i="3"/>
  <c r="C414" i="3"/>
  <c r="M250" i="3"/>
  <c r="C251" i="3"/>
  <c r="M98" i="3"/>
  <c r="C99" i="3"/>
  <c r="C449" i="3"/>
  <c r="M448" i="3"/>
  <c r="M88" i="3"/>
  <c r="C89" i="3"/>
  <c r="M521" i="3"/>
  <c r="C522" i="3"/>
  <c r="M440" i="3"/>
  <c r="C441" i="3"/>
  <c r="L22" i="3"/>
  <c r="M22" i="3"/>
  <c r="C23" i="3"/>
  <c r="L304" i="3"/>
  <c r="C305" i="3"/>
  <c r="M304" i="3"/>
  <c r="M272" i="3"/>
  <c r="C273" i="3"/>
  <c r="M341" i="3"/>
  <c r="C342" i="3"/>
  <c r="M514" i="3"/>
  <c r="C515" i="3"/>
  <c r="M515" i="3"/>
  <c r="N515" i="3"/>
  <c r="O515" i="3"/>
  <c r="M251" i="3"/>
  <c r="L251" i="3"/>
  <c r="C252" i="3"/>
  <c r="C415" i="3"/>
  <c r="L414" i="3"/>
  <c r="M414" i="3"/>
  <c r="M230" i="3"/>
  <c r="C231" i="3"/>
  <c r="M460" i="3"/>
  <c r="C461" i="3"/>
  <c r="M114" i="3"/>
  <c r="C115" i="3"/>
  <c r="C353" i="3"/>
  <c r="M353" i="3"/>
  <c r="M352" i="3"/>
  <c r="M298" i="3"/>
  <c r="C299" i="3"/>
  <c r="M299" i="3"/>
  <c r="C328" i="3"/>
  <c r="M327" i="3"/>
  <c r="M402" i="3"/>
  <c r="C403" i="3"/>
  <c r="C191" i="3"/>
  <c r="M190" i="3"/>
  <c r="C314" i="3"/>
  <c r="M313" i="3"/>
  <c r="C62" i="3"/>
  <c r="M61" i="3"/>
  <c r="C473" i="3"/>
  <c r="M473" i="3"/>
  <c r="M472" i="3"/>
  <c r="M74" i="3"/>
  <c r="C75" i="3"/>
  <c r="M75" i="3"/>
  <c r="C76" i="3"/>
  <c r="B143" i="3"/>
  <c r="B142" i="3"/>
  <c r="M500" i="3"/>
  <c r="C501" i="3"/>
  <c r="M491" i="3"/>
  <c r="C492" i="3"/>
  <c r="M362" i="3"/>
  <c r="C363" i="3"/>
  <c r="C202" i="3"/>
  <c r="M201" i="3"/>
  <c r="C450" i="3"/>
  <c r="M449" i="3"/>
  <c r="M374" i="3"/>
  <c r="C375" i="3"/>
  <c r="M375" i="3"/>
  <c r="M89" i="3"/>
  <c r="C90" i="3"/>
  <c r="M99" i="3"/>
  <c r="C100" i="3"/>
  <c r="M159" i="3"/>
  <c r="C160" i="3"/>
  <c r="C432" i="3"/>
  <c r="M431" i="3"/>
  <c r="M47" i="3"/>
  <c r="C48" i="3"/>
  <c r="M388" i="3"/>
  <c r="L388" i="3"/>
  <c r="C389" i="3"/>
  <c r="M522" i="3"/>
  <c r="C523" i="3"/>
  <c r="C306" i="3"/>
  <c r="M305" i="3"/>
  <c r="C24" i="3"/>
  <c r="M23" i="3"/>
  <c r="C343" i="3"/>
  <c r="M342" i="3"/>
  <c r="C274" i="3"/>
  <c r="M273" i="3"/>
  <c r="M441" i="3"/>
  <c r="C442" i="3"/>
  <c r="C49" i="3"/>
  <c r="M48" i="3"/>
  <c r="M90" i="3"/>
  <c r="C91" i="3"/>
  <c r="C364" i="3"/>
  <c r="M363" i="3"/>
  <c r="C77" i="3"/>
  <c r="L76" i="3"/>
  <c r="M76" i="3"/>
  <c r="C315" i="3"/>
  <c r="M314" i="3"/>
  <c r="C462" i="3"/>
  <c r="M461" i="3"/>
  <c r="M328" i="3"/>
  <c r="C329" i="3"/>
  <c r="C253" i="3"/>
  <c r="M252" i="3"/>
  <c r="M415" i="3"/>
  <c r="C416" i="3"/>
  <c r="M100" i="3"/>
  <c r="C101" i="3"/>
  <c r="C203" i="3"/>
  <c r="M202" i="3"/>
  <c r="B144" i="3"/>
  <c r="B145" i="3"/>
  <c r="B146" i="3"/>
  <c r="B147" i="3"/>
  <c r="B148" i="3"/>
  <c r="B149" i="3"/>
  <c r="B150" i="3"/>
  <c r="B151" i="3"/>
  <c r="B152" i="3"/>
  <c r="B17" i="10"/>
  <c r="M492" i="3"/>
  <c r="C493" i="3"/>
  <c r="M191" i="3"/>
  <c r="C192" i="3"/>
  <c r="C232" i="3"/>
  <c r="M231" i="3"/>
  <c r="C390" i="3"/>
  <c r="M389" i="3"/>
  <c r="L389" i="3"/>
  <c r="M432" i="3"/>
  <c r="C433" i="3"/>
  <c r="C404" i="3"/>
  <c r="M403" i="3"/>
  <c r="C451" i="3"/>
  <c r="M450" i="3"/>
  <c r="C63" i="3"/>
  <c r="M62" i="3"/>
  <c r="C116" i="3"/>
  <c r="M115" i="3"/>
  <c r="M160" i="3"/>
  <c r="C161" i="3"/>
  <c r="M501" i="3"/>
  <c r="C502" i="3"/>
  <c r="M523" i="3"/>
  <c r="C524" i="3"/>
  <c r="L442" i="3"/>
  <c r="M442" i="3"/>
  <c r="C443" i="3"/>
  <c r="M24" i="3"/>
  <c r="C25" i="3"/>
  <c r="C275" i="3"/>
  <c r="M274" i="3"/>
  <c r="M343" i="3"/>
  <c r="C344" i="3"/>
  <c r="M344" i="3"/>
  <c r="M306" i="3"/>
  <c r="C307" i="3"/>
  <c r="M307" i="3"/>
  <c r="M63" i="3"/>
  <c r="C64" i="3"/>
  <c r="M416" i="3"/>
  <c r="C417" i="3"/>
  <c r="M390" i="3"/>
  <c r="C391" i="3"/>
  <c r="B154" i="3"/>
  <c r="B155" i="3"/>
  <c r="B156" i="3"/>
  <c r="B157" i="3"/>
  <c r="B158" i="3"/>
  <c r="B159" i="3"/>
  <c r="B160" i="3"/>
  <c r="B161" i="3"/>
  <c r="B153" i="3"/>
  <c r="C316" i="3"/>
  <c r="M315" i="3"/>
  <c r="M116" i="3"/>
  <c r="C117" i="3"/>
  <c r="M364" i="3"/>
  <c r="C365" i="3"/>
  <c r="C162" i="3"/>
  <c r="M162" i="3"/>
  <c r="M161" i="3"/>
  <c r="C163" i="3"/>
  <c r="C92" i="3"/>
  <c r="M91" i="3"/>
  <c r="M451" i="3"/>
  <c r="C452" i="3"/>
  <c r="M452" i="3"/>
  <c r="M433" i="3"/>
  <c r="C434" i="3"/>
  <c r="C494" i="3"/>
  <c r="M494" i="3"/>
  <c r="M493" i="3"/>
  <c r="C102" i="3"/>
  <c r="M101" i="3"/>
  <c r="M462" i="3"/>
  <c r="C463" i="3"/>
  <c r="M502" i="3"/>
  <c r="C503" i="3"/>
  <c r="C50" i="3"/>
  <c r="M49" i="3"/>
  <c r="M232" i="3"/>
  <c r="C234" i="3"/>
  <c r="C233" i="3"/>
  <c r="M233" i="3"/>
  <c r="N233" i="3"/>
  <c r="O233" i="3"/>
  <c r="C204" i="3"/>
  <c r="M203" i="3"/>
  <c r="M253" i="3"/>
  <c r="C254" i="3"/>
  <c r="M404" i="3"/>
  <c r="C405" i="3"/>
  <c r="M192" i="3"/>
  <c r="C193" i="3"/>
  <c r="M329" i="3"/>
  <c r="C330" i="3"/>
  <c r="C78" i="3"/>
  <c r="M77" i="3"/>
  <c r="L77" i="3"/>
  <c r="M524" i="3"/>
  <c r="C525" i="3"/>
  <c r="M275" i="3"/>
  <c r="C276" i="3"/>
  <c r="M25" i="3"/>
  <c r="C26" i="3"/>
  <c r="C444" i="3"/>
  <c r="M444" i="3"/>
  <c r="M443" i="3"/>
  <c r="M434" i="3"/>
  <c r="C435" i="3"/>
  <c r="M435" i="3"/>
  <c r="B163" i="3"/>
  <c r="B164" i="3"/>
  <c r="B165" i="3"/>
  <c r="B166" i="3"/>
  <c r="B167" i="3"/>
  <c r="B168" i="3"/>
  <c r="B169" i="3"/>
  <c r="B170" i="3"/>
  <c r="B162" i="3"/>
  <c r="C406" i="3"/>
  <c r="M405" i="3"/>
  <c r="C206" i="3"/>
  <c r="M204" i="3"/>
  <c r="C205" i="3"/>
  <c r="M205" i="3"/>
  <c r="C366" i="3"/>
  <c r="M365" i="3"/>
  <c r="C392" i="3"/>
  <c r="M391" i="3"/>
  <c r="C194" i="3"/>
  <c r="M193" i="3"/>
  <c r="C235" i="3"/>
  <c r="L234" i="3"/>
  <c r="M234" i="3"/>
  <c r="M117" i="3"/>
  <c r="C118" i="3"/>
  <c r="M417" i="3"/>
  <c r="C418" i="3"/>
  <c r="C79" i="3"/>
  <c r="M78" i="3"/>
  <c r="C331" i="3"/>
  <c r="M330" i="3"/>
  <c r="C103" i="3"/>
  <c r="M102" i="3"/>
  <c r="C93" i="3"/>
  <c r="M92" i="3"/>
  <c r="M64" i="3"/>
  <c r="C65" i="3"/>
  <c r="M503" i="3"/>
  <c r="C504" i="3"/>
  <c r="C255" i="3"/>
  <c r="M254" i="3"/>
  <c r="C51" i="3"/>
  <c r="M50" i="3"/>
  <c r="C164" i="3"/>
  <c r="M163" i="3"/>
  <c r="L163" i="3"/>
  <c r="C317" i="3"/>
  <c r="M317" i="3"/>
  <c r="M316" i="3"/>
  <c r="C526" i="3"/>
  <c r="M525" i="3"/>
  <c r="C27" i="3"/>
  <c r="M26" i="3"/>
  <c r="C277" i="3"/>
  <c r="M276" i="3"/>
  <c r="M406" i="3"/>
  <c r="C407" i="3"/>
  <c r="C119" i="3"/>
  <c r="M118" i="3"/>
  <c r="C393" i="3"/>
  <c r="M392" i="3"/>
  <c r="C104" i="3"/>
  <c r="M103" i="3"/>
  <c r="M504" i="3"/>
  <c r="C505" i="3"/>
  <c r="C367" i="3"/>
  <c r="M366" i="3"/>
  <c r="C195" i="3"/>
  <c r="M195" i="3"/>
  <c r="M194" i="3"/>
  <c r="B171" i="3"/>
  <c r="B172" i="3"/>
  <c r="B173" i="3"/>
  <c r="B174" i="3"/>
  <c r="B175" i="3"/>
  <c r="B176" i="3"/>
  <c r="B177" i="3"/>
  <c r="B178" i="3"/>
  <c r="B179" i="3"/>
  <c r="B180" i="3"/>
  <c r="M418" i="3"/>
  <c r="C419" i="3"/>
  <c r="C94" i="3"/>
  <c r="M94" i="3"/>
  <c r="M93" i="3"/>
  <c r="C165" i="3"/>
  <c r="M164" i="3"/>
  <c r="L164" i="3"/>
  <c r="C66" i="3"/>
  <c r="L65" i="3"/>
  <c r="M65" i="3"/>
  <c r="C236" i="3"/>
  <c r="M235" i="3"/>
  <c r="C256" i="3"/>
  <c r="M255" i="3"/>
  <c r="C332" i="3"/>
  <c r="M331" i="3"/>
  <c r="M51" i="3"/>
  <c r="C52" i="3"/>
  <c r="C80" i="3"/>
  <c r="M79" i="3"/>
  <c r="C207" i="3"/>
  <c r="L206" i="3"/>
  <c r="M206" i="3"/>
  <c r="L526" i="3"/>
  <c r="M526" i="3"/>
  <c r="M277" i="3"/>
  <c r="N277" i="3"/>
  <c r="O277" i="3"/>
  <c r="C279" i="3"/>
  <c r="C278" i="3"/>
  <c r="M278" i="3"/>
  <c r="C28" i="3"/>
  <c r="M27" i="3"/>
  <c r="C237" i="3"/>
  <c r="M236" i="3"/>
  <c r="C368" i="3"/>
  <c r="M368" i="3"/>
  <c r="M367" i="3"/>
  <c r="M393" i="3"/>
  <c r="C394" i="3"/>
  <c r="M80" i="3"/>
  <c r="C81" i="3"/>
  <c r="C67" i="3"/>
  <c r="M66" i="3"/>
  <c r="M505" i="3"/>
  <c r="C506" i="3"/>
  <c r="C120" i="3"/>
  <c r="M120" i="3"/>
  <c r="M119" i="3"/>
  <c r="C121" i="3"/>
  <c r="L207" i="3"/>
  <c r="M207" i="3"/>
  <c r="C208" i="3"/>
  <c r="M256" i="3"/>
  <c r="L256" i="3"/>
  <c r="C257" i="3"/>
  <c r="C166" i="3"/>
  <c r="M165" i="3"/>
  <c r="C105" i="3"/>
  <c r="M104" i="3"/>
  <c r="C408" i="3"/>
  <c r="M408" i="3"/>
  <c r="M407" i="3"/>
  <c r="M52" i="3"/>
  <c r="C53" i="3"/>
  <c r="M53" i="3"/>
  <c r="M419" i="3"/>
  <c r="C420" i="3"/>
  <c r="M420" i="3"/>
  <c r="M332" i="3"/>
  <c r="C333" i="3"/>
  <c r="M28" i="3"/>
  <c r="C29" i="3"/>
  <c r="C280" i="3"/>
  <c r="M279" i="3"/>
  <c r="L279" i="3"/>
  <c r="M257" i="3"/>
  <c r="L257" i="3"/>
  <c r="C258" i="3"/>
  <c r="M506" i="3"/>
  <c r="C507" i="3"/>
  <c r="M208" i="3"/>
  <c r="C209" i="3"/>
  <c r="C395" i="3"/>
  <c r="M394" i="3"/>
  <c r="M333" i="3"/>
  <c r="C334" i="3"/>
  <c r="M334" i="3"/>
  <c r="C167" i="3"/>
  <c r="M166" i="3"/>
  <c r="L121" i="3"/>
  <c r="M121" i="3"/>
  <c r="C122" i="3"/>
  <c r="M105" i="3"/>
  <c r="C106" i="3"/>
  <c r="M67" i="3"/>
  <c r="C68" i="3"/>
  <c r="M68" i="3"/>
  <c r="C82" i="3"/>
  <c r="M81" i="3"/>
  <c r="C238" i="3"/>
  <c r="M237" i="3"/>
  <c r="C281" i="3"/>
  <c r="M280" i="3"/>
  <c r="C31" i="3"/>
  <c r="M29" i="3"/>
  <c r="C30" i="3"/>
  <c r="M30" i="3"/>
  <c r="M167" i="3"/>
  <c r="C168" i="3"/>
  <c r="M106" i="3"/>
  <c r="C107" i="3"/>
  <c r="M107" i="3"/>
  <c r="M258" i="3"/>
  <c r="C259" i="3"/>
  <c r="C210" i="3"/>
  <c r="M209" i="3"/>
  <c r="M507" i="3"/>
  <c r="C508" i="3"/>
  <c r="C239" i="3"/>
  <c r="M238" i="3"/>
  <c r="M122" i="3"/>
  <c r="C124" i="3"/>
  <c r="L122" i="3"/>
  <c r="C123" i="3"/>
  <c r="M123" i="3"/>
  <c r="C396" i="3"/>
  <c r="M396" i="3"/>
  <c r="M395" i="3"/>
  <c r="C83" i="3"/>
  <c r="M83" i="3"/>
  <c r="M82" i="3"/>
  <c r="C32" i="3"/>
  <c r="M31" i="3"/>
  <c r="L31" i="3"/>
  <c r="M281" i="3"/>
  <c r="C282" i="3"/>
  <c r="C211" i="3"/>
  <c r="M210" i="3"/>
  <c r="C240" i="3"/>
  <c r="M239" i="3"/>
  <c r="C260" i="3"/>
  <c r="M259" i="3"/>
  <c r="M508" i="3"/>
  <c r="C509" i="3"/>
  <c r="M509" i="3"/>
  <c r="C125" i="3"/>
  <c r="M124" i="3"/>
  <c r="M168" i="3"/>
  <c r="C169" i="3"/>
  <c r="C283" i="3"/>
  <c r="M282" i="3"/>
  <c r="C33" i="3"/>
  <c r="M32" i="3"/>
  <c r="C170" i="3"/>
  <c r="M169" i="3"/>
  <c r="M260" i="3"/>
  <c r="C261" i="3"/>
  <c r="M240" i="3"/>
  <c r="C241" i="3"/>
  <c r="C126" i="3"/>
  <c r="M125" i="3"/>
  <c r="C212" i="3"/>
  <c r="M211" i="3"/>
  <c r="C34" i="3"/>
  <c r="M33" i="3"/>
  <c r="C284" i="3"/>
  <c r="M283" i="3"/>
  <c r="C172" i="3"/>
  <c r="C171" i="3"/>
  <c r="M171" i="3"/>
  <c r="M170" i="3"/>
  <c r="C213" i="3"/>
  <c r="M212" i="3"/>
  <c r="C262" i="3"/>
  <c r="M261" i="3"/>
  <c r="C127" i="3"/>
  <c r="M126" i="3"/>
  <c r="C242" i="3"/>
  <c r="M242" i="3"/>
  <c r="M241" i="3"/>
  <c r="M284" i="3"/>
  <c r="C286" i="3"/>
  <c r="C285" i="3"/>
  <c r="M285" i="3"/>
  <c r="C35" i="3"/>
  <c r="M34" i="3"/>
  <c r="L172" i="3"/>
  <c r="M172" i="3"/>
  <c r="C173" i="3"/>
  <c r="M262" i="3"/>
  <c r="C263" i="3"/>
  <c r="C214" i="3"/>
  <c r="M213" i="3"/>
  <c r="M127" i="3"/>
  <c r="C128" i="3"/>
  <c r="C36" i="3"/>
  <c r="M35" i="3"/>
  <c r="C287" i="3"/>
  <c r="L286" i="3"/>
  <c r="M286" i="3"/>
  <c r="M128" i="3"/>
  <c r="C129" i="3"/>
  <c r="M214" i="3"/>
  <c r="C215" i="3"/>
  <c r="C174" i="3"/>
  <c r="M173" i="3"/>
  <c r="C264" i="3"/>
  <c r="M263" i="3"/>
  <c r="M287" i="3"/>
  <c r="C288" i="3"/>
  <c r="L287" i="3"/>
  <c r="M36" i="3"/>
  <c r="C37" i="3"/>
  <c r="C175" i="3"/>
  <c r="M174" i="3"/>
  <c r="M264" i="3"/>
  <c r="C265" i="3"/>
  <c r="M215" i="3"/>
  <c r="C216" i="3"/>
  <c r="M216" i="3"/>
  <c r="C130" i="3"/>
  <c r="M130" i="3"/>
  <c r="N130" i="3"/>
  <c r="O130" i="3"/>
  <c r="M129" i="3"/>
  <c r="C131" i="3"/>
  <c r="M131" i="3"/>
  <c r="C132" i="3"/>
  <c r="M37" i="3"/>
  <c r="C38" i="3"/>
  <c r="M288" i="3"/>
  <c r="C289" i="3"/>
  <c r="M132" i="3"/>
  <c r="L132" i="3"/>
  <c r="C133" i="3"/>
  <c r="M265" i="3"/>
  <c r="C266" i="3"/>
  <c r="C176" i="3"/>
  <c r="M175" i="3"/>
  <c r="C290" i="3"/>
  <c r="M289" i="3"/>
  <c r="C39" i="3"/>
  <c r="M38" i="3"/>
  <c r="M176" i="3"/>
  <c r="C177" i="3"/>
  <c r="C267" i="3"/>
  <c r="M267" i="3"/>
  <c r="M266" i="3"/>
  <c r="L133" i="3"/>
  <c r="C134" i="3"/>
  <c r="M133" i="3"/>
  <c r="C40" i="3"/>
  <c r="M40" i="3"/>
  <c r="M39" i="3"/>
  <c r="C291" i="3"/>
  <c r="M290" i="3"/>
  <c r="M134" i="3"/>
  <c r="C135" i="3"/>
  <c r="L134" i="3"/>
  <c r="C178" i="3"/>
  <c r="M177" i="3"/>
  <c r="C292" i="3"/>
  <c r="M292" i="3"/>
  <c r="M291" i="3"/>
  <c r="M178" i="3"/>
  <c r="C179" i="3"/>
  <c r="M135" i="3"/>
  <c r="C136" i="3"/>
  <c r="M136" i="3"/>
  <c r="C137" i="3"/>
  <c r="C180" i="3"/>
  <c r="M180" i="3"/>
  <c r="M179" i="3"/>
  <c r="M137" i="3"/>
  <c r="C138" i="3"/>
  <c r="M138" i="3"/>
  <c r="C139" i="3"/>
  <c r="C140" i="3"/>
  <c r="M139" i="3"/>
  <c r="M140" i="3"/>
  <c r="C141" i="3"/>
  <c r="C142" i="3"/>
  <c r="M142" i="3"/>
  <c r="C143" i="3"/>
  <c r="M141" i="3"/>
  <c r="C144" i="3"/>
  <c r="M143" i="3"/>
  <c r="L143" i="3"/>
  <c r="C145" i="3"/>
  <c r="L144" i="3"/>
  <c r="M144" i="3"/>
  <c r="M145" i="3"/>
  <c r="C146" i="3"/>
  <c r="M146" i="3"/>
  <c r="C147" i="3"/>
  <c r="C148" i="3"/>
  <c r="M147" i="3"/>
  <c r="C149" i="3"/>
  <c r="M148" i="3"/>
  <c r="C150" i="3"/>
  <c r="M149" i="3"/>
  <c r="M150" i="3"/>
  <c r="C151" i="3"/>
  <c r="C152" i="3"/>
  <c r="M151" i="3"/>
  <c r="M152" i="3"/>
  <c r="C153" i="3"/>
  <c r="M153" i="3"/>
  <c r="N135" i="3"/>
  <c r="O135" i="3"/>
  <c r="N418" i="3"/>
  <c r="O418" i="3"/>
  <c r="N102" i="3"/>
  <c r="O102" i="3"/>
  <c r="N510" i="3"/>
  <c r="O510" i="3"/>
  <c r="N533" i="3"/>
  <c r="O533" i="3"/>
  <c r="N276" i="3"/>
  <c r="O276" i="3"/>
  <c r="N181" i="3"/>
  <c r="O181" i="3"/>
  <c r="N12" i="3"/>
  <c r="O12" i="3"/>
  <c r="N300" i="3"/>
  <c r="O300" i="3"/>
  <c r="N79" i="3"/>
  <c r="O79" i="3"/>
  <c r="K481" i="3"/>
  <c r="N505" i="3"/>
  <c r="O505" i="3"/>
  <c r="N64" i="3"/>
  <c r="O64" i="3"/>
  <c r="N204" i="3"/>
  <c r="O204" i="3"/>
  <c r="N522" i="3"/>
  <c r="O522" i="3"/>
  <c r="N491" i="3"/>
  <c r="O491" i="3"/>
  <c r="N383" i="3"/>
  <c r="O383" i="3"/>
  <c r="N309" i="3"/>
  <c r="O309" i="3"/>
  <c r="N13" i="3"/>
  <c r="O13" i="3"/>
  <c r="K352" i="3"/>
  <c r="N301" i="3"/>
  <c r="O301" i="3"/>
  <c r="D5" i="13"/>
  <c r="E10" i="13"/>
  <c r="D7" i="13"/>
  <c r="B3" i="13"/>
  <c r="D3" i="13"/>
  <c r="E9" i="13"/>
  <c r="E7" i="13"/>
  <c r="D12" i="13"/>
  <c r="D9" i="13"/>
  <c r="E11" i="13"/>
  <c r="N397" i="3"/>
  <c r="O397" i="3"/>
  <c r="N95" i="3"/>
  <c r="O95" i="3"/>
  <c r="N336" i="3"/>
  <c r="O336" i="3"/>
  <c r="N345" i="3"/>
  <c r="O345" i="3"/>
  <c r="N148" i="3"/>
  <c r="O148" i="3"/>
  <c r="N331" i="3"/>
  <c r="O331" i="3"/>
  <c r="N451" i="3"/>
  <c r="O451" i="3"/>
  <c r="N490" i="3"/>
  <c r="O490" i="3"/>
  <c r="N372" i="3"/>
  <c r="O372" i="3"/>
  <c r="N381" i="3"/>
  <c r="O381" i="3"/>
  <c r="N365" i="3"/>
  <c r="O365" i="3"/>
  <c r="N493" i="3"/>
  <c r="O493" i="3"/>
  <c r="N16" i="3"/>
  <c r="O16" i="3"/>
  <c r="N209" i="3"/>
  <c r="O209" i="3"/>
  <c r="N523" i="3"/>
  <c r="O523" i="3"/>
  <c r="N387" i="3"/>
  <c r="O387" i="3"/>
  <c r="N59" i="3"/>
  <c r="O59" i="3"/>
  <c r="N339" i="3"/>
  <c r="O339" i="3"/>
  <c r="N155" i="3"/>
  <c r="O155" i="3"/>
  <c r="N416" i="3"/>
  <c r="O416" i="3"/>
  <c r="N532" i="3"/>
  <c r="O532" i="3"/>
  <c r="N293" i="3"/>
  <c r="O293" i="3"/>
  <c r="N483" i="3"/>
  <c r="O483" i="3"/>
  <c r="N492" i="3"/>
  <c r="O492" i="3"/>
  <c r="N338" i="3"/>
  <c r="O338" i="3"/>
  <c r="N33" i="3"/>
  <c r="O33" i="3"/>
  <c r="N392" i="3"/>
  <c r="O392" i="3"/>
  <c r="N202" i="3"/>
  <c r="O202" i="3"/>
  <c r="N27" i="3"/>
  <c r="O27" i="3"/>
  <c r="N217" i="3"/>
  <c r="O217" i="3"/>
  <c r="N335" i="3"/>
  <c r="O335" i="3"/>
  <c r="N141" i="3"/>
  <c r="O141" i="3"/>
  <c r="N340" i="3"/>
  <c r="O340" i="3"/>
  <c r="N215" i="3"/>
  <c r="O215" i="3"/>
  <c r="N210" i="3"/>
  <c r="O210" i="3"/>
  <c r="N51" i="3"/>
  <c r="O51" i="3"/>
  <c r="N404" i="3"/>
  <c r="O404" i="3"/>
  <c r="N328" i="3"/>
  <c r="O328" i="3"/>
  <c r="N399" i="3"/>
  <c r="O399" i="3"/>
  <c r="N320" i="3"/>
  <c r="O320" i="3"/>
  <c r="N460" i="3"/>
  <c r="O460" i="3"/>
  <c r="N111" i="3"/>
  <c r="O111" i="3"/>
  <c r="N116" i="3"/>
  <c r="O116" i="3"/>
  <c r="N151" i="3"/>
  <c r="O151" i="3"/>
  <c r="N179" i="3"/>
  <c r="O179" i="3"/>
  <c r="N388" i="3"/>
  <c r="O388" i="3"/>
  <c r="N414" i="3"/>
  <c r="O414" i="3"/>
  <c r="N48" i="3"/>
  <c r="O48" i="3"/>
  <c r="N448" i="3"/>
  <c r="O448" i="3"/>
  <c r="N376" i="3"/>
  <c r="O376" i="3"/>
  <c r="N395" i="3"/>
  <c r="O395" i="3"/>
  <c r="N237" i="3"/>
  <c r="O237" i="3"/>
  <c r="N470" i="3"/>
  <c r="O470" i="3"/>
  <c r="N409" i="3"/>
  <c r="O409" i="3"/>
  <c r="N471" i="3"/>
  <c r="O471" i="3"/>
  <c r="N531" i="3"/>
  <c r="O531" i="3"/>
  <c r="N270" i="3"/>
  <c r="O270" i="3"/>
  <c r="N205" i="3"/>
  <c r="O205" i="3"/>
  <c r="N519" i="3"/>
  <c r="O519" i="3"/>
  <c r="N36" i="3"/>
  <c r="O36" i="3"/>
  <c r="N172" i="3"/>
  <c r="O172" i="3"/>
  <c r="N260" i="3"/>
  <c r="O260" i="3"/>
  <c r="N167" i="3"/>
  <c r="O167" i="3"/>
  <c r="N368" i="3"/>
  <c r="O368" i="3"/>
  <c r="N192" i="3"/>
  <c r="O192" i="3"/>
  <c r="N459" i="3"/>
  <c r="O459" i="3"/>
  <c r="N228" i="3"/>
  <c r="O228" i="3"/>
  <c r="N310" i="3"/>
  <c r="O310" i="3"/>
  <c r="N349" i="3"/>
  <c r="O349" i="3"/>
  <c r="N496" i="3"/>
  <c r="O496" i="3"/>
  <c r="N394" i="3"/>
  <c r="O394" i="3"/>
  <c r="N145" i="3"/>
  <c r="O145" i="3"/>
  <c r="N182" i="3"/>
  <c r="O182" i="3"/>
  <c r="N266" i="3"/>
  <c r="O266" i="3"/>
  <c r="N30" i="3"/>
  <c r="O30" i="3"/>
  <c r="N318" i="3"/>
  <c r="O318" i="3"/>
  <c r="N517" i="3"/>
  <c r="O517" i="3"/>
  <c r="N39" i="3"/>
  <c r="O39" i="3"/>
  <c r="N267" i="3"/>
  <c r="O267" i="3"/>
  <c r="N175" i="3"/>
  <c r="O175" i="3"/>
  <c r="N212" i="3"/>
  <c r="O212" i="3"/>
  <c r="N367" i="3"/>
  <c r="O367" i="3"/>
  <c r="N503" i="3"/>
  <c r="O503" i="3"/>
  <c r="N329" i="3"/>
  <c r="O329" i="3"/>
  <c r="N461" i="3"/>
  <c r="O461" i="3"/>
  <c r="N251" i="3"/>
  <c r="O251" i="3"/>
  <c r="N421" i="3"/>
  <c r="O421" i="3"/>
  <c r="N377" i="3"/>
  <c r="O377" i="3"/>
  <c r="N437" i="3"/>
  <c r="O437" i="3"/>
  <c r="N509" i="3"/>
  <c r="O509" i="3"/>
  <c r="N256" i="3"/>
  <c r="O256" i="3"/>
  <c r="N71" i="3"/>
  <c r="O71" i="3"/>
  <c r="N43" i="3"/>
  <c r="O43" i="3"/>
  <c r="N469" i="3"/>
  <c r="O469" i="3"/>
  <c r="N472" i="3"/>
  <c r="O472" i="3"/>
  <c r="N218" i="3"/>
  <c r="O218" i="3"/>
  <c r="N324" i="3"/>
  <c r="O324" i="3"/>
  <c r="N344" i="3"/>
  <c r="O344" i="3"/>
  <c r="N393" i="3"/>
  <c r="O393" i="3"/>
  <c r="N241" i="3"/>
  <c r="O241" i="3"/>
  <c r="N239" i="3"/>
  <c r="O239" i="3"/>
  <c r="N138" i="3"/>
  <c r="O138" i="3"/>
  <c r="N162" i="3"/>
  <c r="O162" i="3"/>
  <c r="N81" i="3"/>
  <c r="O81" i="3"/>
  <c r="N156" i="3"/>
  <c r="O156" i="3"/>
  <c r="N112" i="3"/>
  <c r="O112" i="3"/>
  <c r="N238" i="3"/>
  <c r="O238" i="3"/>
  <c r="N84" i="3"/>
  <c r="O84" i="3"/>
  <c r="N94" i="3"/>
  <c r="O94" i="3"/>
  <c r="N62" i="3"/>
  <c r="O62" i="3"/>
  <c r="N137" i="3"/>
  <c r="O137" i="3"/>
  <c r="N307" i="3"/>
  <c r="O307" i="3"/>
  <c r="N76" i="3"/>
  <c r="O76" i="3"/>
  <c r="N23" i="3"/>
  <c r="O23" i="3"/>
  <c r="N378" i="3"/>
  <c r="O378" i="3"/>
  <c r="N191" i="3"/>
  <c r="O191" i="3"/>
  <c r="N216" i="3"/>
  <c r="O216" i="3"/>
  <c r="N159" i="3"/>
  <c r="O159" i="3"/>
  <c r="N147" i="3"/>
  <c r="O147" i="3"/>
  <c r="N525" i="3"/>
  <c r="O525" i="3"/>
  <c r="N38" i="3"/>
  <c r="O38" i="3"/>
  <c r="N287" i="3"/>
  <c r="O287" i="3"/>
  <c r="N126" i="3"/>
  <c r="O126" i="3"/>
  <c r="N150" i="3"/>
  <c r="O150" i="3"/>
  <c r="N264" i="3"/>
  <c r="O264" i="3"/>
  <c r="N107" i="3"/>
  <c r="O107" i="3"/>
  <c r="N386" i="3"/>
  <c r="O386" i="3"/>
  <c r="N369" i="3"/>
  <c r="O369" i="3"/>
  <c r="N364" i="3"/>
  <c r="O364" i="3"/>
  <c r="N467" i="3"/>
  <c r="O467" i="3"/>
  <c r="N518" i="3"/>
  <c r="O518" i="3"/>
  <c r="N124" i="3"/>
  <c r="O124" i="3"/>
  <c r="N24" i="3"/>
  <c r="O24" i="3"/>
  <c r="N529" i="3"/>
  <c r="O529" i="3"/>
  <c r="N530" i="3"/>
  <c r="O530" i="3"/>
  <c r="N193" i="3"/>
  <c r="O193" i="3"/>
  <c r="N443" i="3"/>
  <c r="O443" i="3"/>
  <c r="N450" i="3"/>
  <c r="O450" i="3"/>
  <c r="N52" i="3"/>
  <c r="O52" i="3"/>
  <c r="N120" i="3"/>
  <c r="O120" i="3"/>
  <c r="N441" i="3"/>
  <c r="O441" i="3"/>
  <c r="N362" i="3"/>
  <c r="O362" i="3"/>
  <c r="N373" i="3"/>
  <c r="O373" i="3"/>
  <c r="N142" i="3"/>
  <c r="O142" i="3"/>
  <c r="N133" i="3"/>
  <c r="O133" i="3"/>
  <c r="N214" i="3"/>
  <c r="O214" i="3"/>
  <c r="N242" i="3"/>
  <c r="O242" i="3"/>
  <c r="N123" i="3"/>
  <c r="O123" i="3"/>
  <c r="N506" i="3"/>
  <c r="O506" i="3"/>
  <c r="N119" i="3"/>
  <c r="O119" i="3"/>
  <c r="N80" i="3"/>
  <c r="O80" i="3"/>
  <c r="N366" i="3"/>
  <c r="O366" i="3"/>
  <c r="N78" i="3"/>
  <c r="O78" i="3"/>
  <c r="N90" i="3"/>
  <c r="O90" i="3"/>
  <c r="N429" i="3"/>
  <c r="O429" i="3"/>
  <c r="N117" i="3"/>
  <c r="O117" i="3"/>
  <c r="N211" i="3"/>
  <c r="O211" i="3"/>
  <c r="N243" i="3"/>
  <c r="O243" i="3"/>
  <c r="N358" i="3"/>
  <c r="O358" i="3"/>
  <c r="N271" i="3"/>
  <c r="O271" i="3"/>
  <c r="N481" i="3"/>
  <c r="O481" i="3"/>
  <c r="N41" i="3"/>
  <c r="O41" i="3"/>
  <c r="N244" i="3"/>
  <c r="O244" i="3"/>
  <c r="N131" i="3"/>
  <c r="O131" i="3"/>
  <c r="N247" i="3"/>
  <c r="O247" i="3"/>
  <c r="N226" i="3"/>
  <c r="O226" i="3"/>
  <c r="N263" i="3"/>
  <c r="O263" i="3"/>
  <c r="N168" i="3"/>
  <c r="O168" i="3"/>
  <c r="N106" i="3"/>
  <c r="O106" i="3"/>
  <c r="N452" i="3"/>
  <c r="O452" i="3"/>
  <c r="N347" i="3"/>
  <c r="O347" i="3"/>
  <c r="N284" i="3"/>
  <c r="O284" i="3"/>
  <c r="N259" i="3"/>
  <c r="O259" i="3"/>
  <c r="N240" i="3"/>
  <c r="O240" i="3"/>
  <c r="N231" i="3"/>
  <c r="O231" i="3"/>
  <c r="N221" i="3"/>
  <c r="O221" i="3"/>
  <c r="N149" i="3"/>
  <c r="O149" i="3"/>
  <c r="N92" i="3"/>
  <c r="O92" i="3"/>
  <c r="N83" i="3"/>
  <c r="O83" i="3"/>
  <c r="N268" i="3"/>
  <c r="O268" i="3"/>
  <c r="N476" i="3"/>
  <c r="O476" i="3"/>
  <c r="N34" i="3"/>
  <c r="O34" i="3"/>
  <c r="N495" i="3"/>
  <c r="O495" i="3"/>
  <c r="N420" i="3"/>
  <c r="O420" i="3"/>
  <c r="N255" i="3"/>
  <c r="O255" i="3"/>
  <c r="N316" i="3"/>
  <c r="O316" i="3"/>
  <c r="N430" i="3"/>
  <c r="O430" i="3"/>
  <c r="N498" i="3"/>
  <c r="O498" i="3"/>
  <c r="N199" i="3"/>
  <c r="O199" i="3"/>
  <c r="N350" i="3"/>
  <c r="O350" i="3"/>
  <c r="N407" i="3"/>
  <c r="O407" i="3"/>
  <c r="N484" i="3"/>
  <c r="O484" i="3"/>
  <c r="N406" i="3"/>
  <c r="O406" i="3"/>
  <c r="N398" i="3"/>
  <c r="O398" i="3"/>
  <c r="N198" i="3"/>
  <c r="O198" i="3"/>
  <c r="N290" i="3"/>
  <c r="O290" i="3"/>
  <c r="N294" i="3"/>
  <c r="O294" i="3"/>
  <c r="N348" i="3"/>
  <c r="O348" i="3"/>
  <c r="N351" i="3"/>
  <c r="O351" i="3"/>
  <c r="N235" i="3"/>
  <c r="O235" i="3"/>
  <c r="N127" i="3"/>
  <c r="O127" i="3"/>
  <c r="N252" i="3"/>
  <c r="O252" i="3"/>
  <c r="N500" i="3"/>
  <c r="O500" i="3"/>
  <c r="N289" i="3"/>
  <c r="O289" i="3"/>
  <c r="N125" i="3"/>
  <c r="O125" i="3"/>
  <c r="N504" i="3"/>
  <c r="O504" i="3"/>
  <c r="N254" i="3"/>
  <c r="O254" i="3"/>
  <c r="N292" i="3"/>
  <c r="O292" i="3"/>
  <c r="N129" i="3"/>
  <c r="O129" i="3"/>
  <c r="N261" i="3"/>
  <c r="O261" i="3"/>
  <c r="N279" i="3"/>
  <c r="O279" i="3"/>
  <c r="N103" i="3"/>
  <c r="O103" i="3"/>
  <c r="N317" i="3"/>
  <c r="O317" i="3"/>
  <c r="N405" i="3"/>
  <c r="O405" i="3"/>
  <c r="N433" i="3"/>
  <c r="O433" i="3"/>
  <c r="N303" i="3"/>
  <c r="O303" i="3"/>
  <c r="N384" i="3"/>
  <c r="O384" i="3"/>
  <c r="N225" i="3"/>
  <c r="O225" i="3"/>
  <c r="N74" i="3"/>
  <c r="O74" i="3"/>
  <c r="N121" i="3"/>
  <c r="O121" i="3"/>
  <c r="N140" i="3"/>
  <c r="O140" i="3"/>
  <c r="N322" i="3"/>
  <c r="O322" i="3"/>
  <c r="N319" i="3"/>
  <c r="O319" i="3"/>
  <c r="N187" i="3"/>
  <c r="O187" i="3"/>
  <c r="N477" i="3"/>
  <c r="O477" i="3"/>
  <c r="N282" i="3"/>
  <c r="O282" i="3"/>
  <c r="N419" i="3"/>
  <c r="O419" i="3"/>
  <c r="N104" i="3"/>
  <c r="O104" i="3"/>
  <c r="N93" i="3"/>
  <c r="O93" i="3"/>
  <c r="N194" i="3"/>
  <c r="O194" i="3"/>
  <c r="N253" i="3"/>
  <c r="O253" i="3"/>
  <c r="N232" i="3"/>
  <c r="O232" i="3"/>
  <c r="N315" i="3"/>
  <c r="O315" i="3"/>
  <c r="N343" i="3"/>
  <c r="O343" i="3"/>
  <c r="N114" i="3"/>
  <c r="O114" i="3"/>
  <c r="N169" i="3"/>
  <c r="O169" i="3"/>
  <c r="N176" i="3"/>
  <c r="O176" i="3"/>
  <c r="N311" i="3"/>
  <c r="O311" i="3"/>
  <c r="N359" i="3"/>
  <c r="O359" i="3"/>
  <c r="N497" i="3"/>
  <c r="O497" i="3"/>
  <c r="N474" i="3"/>
  <c r="O474" i="3"/>
  <c r="N56" i="3"/>
  <c r="O56" i="3"/>
  <c r="N82" i="3"/>
  <c r="O82" i="3"/>
  <c r="N86" i="3"/>
  <c r="O86" i="3"/>
  <c r="N170" i="3"/>
  <c r="O170" i="3"/>
  <c r="N494" i="3"/>
  <c r="O494" i="3"/>
  <c r="N415" i="3"/>
  <c r="O415" i="3"/>
  <c r="N411" i="3"/>
  <c r="O411" i="3"/>
  <c r="N105" i="3"/>
  <c r="O105" i="3"/>
  <c r="N91" i="3"/>
  <c r="O91" i="3"/>
  <c r="N152" i="3"/>
  <c r="O152" i="3"/>
  <c r="N136" i="3"/>
  <c r="O136" i="3"/>
  <c r="N508" i="3"/>
  <c r="O508" i="3"/>
  <c r="N68" i="3"/>
  <c r="O68" i="3"/>
  <c r="N166" i="3"/>
  <c r="O166" i="3"/>
  <c r="N208" i="3"/>
  <c r="O208" i="3"/>
  <c r="N53" i="3"/>
  <c r="O53" i="3"/>
  <c r="N26" i="3"/>
  <c r="O26" i="3"/>
  <c r="N49" i="3"/>
  <c r="O49" i="3"/>
  <c r="N432" i="3"/>
  <c r="O432" i="3"/>
  <c r="N412" i="3"/>
  <c r="O412" i="3"/>
  <c r="N87" i="3"/>
  <c r="O87" i="3"/>
  <c r="N186" i="3"/>
  <c r="O186" i="3"/>
  <c r="N308" i="3"/>
  <c r="O308" i="3"/>
  <c r="N403" i="3"/>
  <c r="O403" i="3"/>
  <c r="N55" i="3"/>
  <c r="O55" i="3"/>
  <c r="N445" i="3"/>
  <c r="O445" i="3"/>
  <c r="N177" i="3"/>
  <c r="O177" i="3"/>
  <c r="N374" i="3"/>
  <c r="O374" i="3"/>
  <c r="N60" i="3"/>
  <c r="O60" i="3"/>
  <c r="N400" i="3"/>
  <c r="O400" i="3"/>
  <c r="N274" i="3"/>
  <c r="O274" i="3"/>
  <c r="N203" i="3"/>
  <c r="O203" i="3"/>
  <c r="N262" i="3"/>
  <c r="O262" i="3"/>
  <c r="N424" i="3"/>
  <c r="O424" i="3"/>
  <c r="N438" i="3"/>
  <c r="O438" i="3"/>
  <c r="N390" i="3"/>
  <c r="O390" i="3"/>
  <c r="N401" i="3"/>
  <c r="O401" i="3"/>
  <c r="N417" i="3"/>
  <c r="O417" i="3"/>
  <c r="N14" i="3"/>
  <c r="O14" i="3"/>
  <c r="N304" i="3"/>
  <c r="O304" i="3"/>
  <c r="N425" i="3"/>
  <c r="O425" i="3"/>
  <c r="N164" i="3"/>
  <c r="O164" i="3"/>
  <c r="N302" i="3"/>
  <c r="O302" i="3"/>
  <c r="N65" i="3"/>
  <c r="O65" i="3"/>
  <c r="N58" i="3"/>
  <c r="O58" i="3"/>
  <c r="N118" i="3"/>
  <c r="O118" i="3"/>
  <c r="N281" i="3"/>
  <c r="O281" i="3"/>
  <c r="N444" i="3"/>
  <c r="O444" i="3"/>
  <c r="N100" i="3"/>
  <c r="O100" i="3"/>
  <c r="N25" i="3"/>
  <c r="O25" i="3"/>
  <c r="N128" i="3"/>
  <c r="O128" i="3"/>
  <c r="N195" i="3"/>
  <c r="O195" i="3"/>
  <c r="N355" i="3"/>
  <c r="O355" i="3"/>
  <c r="N330" i="3"/>
  <c r="O330" i="3"/>
  <c r="N342" i="3"/>
  <c r="O342" i="3"/>
  <c r="N115" i="3"/>
  <c r="O115" i="3"/>
  <c r="N40" i="3"/>
  <c r="O40" i="3"/>
  <c r="N283" i="3"/>
  <c r="O283" i="3"/>
  <c r="N32" i="3"/>
  <c r="O32" i="3"/>
  <c r="N258" i="3"/>
  <c r="O258" i="3"/>
  <c r="N334" i="3"/>
  <c r="O334" i="3"/>
  <c r="N278" i="3"/>
  <c r="O278" i="3"/>
  <c r="N201" i="3"/>
  <c r="O201" i="3"/>
  <c r="N521" i="3"/>
  <c r="O521" i="3"/>
  <c r="N73" i="3"/>
  <c r="O73" i="3"/>
  <c r="N171" i="3"/>
  <c r="O171" i="3"/>
  <c r="N428" i="3"/>
  <c r="O428" i="3"/>
  <c r="N321" i="3"/>
  <c r="O321" i="3"/>
  <c r="N72" i="3"/>
  <c r="O72" i="3"/>
  <c r="N371" i="3"/>
  <c r="O371" i="3"/>
  <c r="N50" i="3"/>
  <c r="O50" i="3"/>
  <c r="N54" i="3"/>
  <c r="O54" i="3"/>
  <c r="N213" i="3"/>
  <c r="O213" i="3"/>
  <c r="N273" i="3"/>
  <c r="O273" i="3"/>
  <c r="N96" i="3"/>
  <c r="O96" i="3"/>
  <c r="N385" i="3"/>
  <c r="O385" i="3"/>
  <c r="N109" i="3"/>
  <c r="O109" i="3"/>
  <c r="N29" i="3"/>
  <c r="O29" i="3"/>
  <c r="N161" i="3"/>
  <c r="O161" i="3"/>
  <c r="N501" i="3"/>
  <c r="O501" i="3"/>
  <c r="N305" i="3"/>
  <c r="O305" i="3"/>
  <c r="N499" i="3"/>
  <c r="O499" i="3"/>
  <c r="N143" i="3"/>
  <c r="O143" i="3"/>
  <c r="N180" i="3"/>
  <c r="O180" i="3"/>
  <c r="N332" i="3"/>
  <c r="O332" i="3"/>
  <c r="N434" i="3"/>
  <c r="O434" i="3"/>
  <c r="N275" i="3"/>
  <c r="O275" i="3"/>
  <c r="N375" i="3"/>
  <c r="O375" i="3"/>
  <c r="N488" i="3"/>
  <c r="O488" i="3"/>
  <c r="N99" i="3"/>
  <c r="O99" i="3"/>
  <c r="N464" i="3"/>
  <c r="O464" i="3"/>
  <c r="N516" i="3"/>
  <c r="O516" i="3"/>
  <c r="N410" i="3"/>
  <c r="O410" i="3"/>
  <c r="N265" i="3"/>
  <c r="O265" i="3"/>
  <c r="N17" i="3"/>
  <c r="O17" i="3"/>
  <c r="N370" i="3"/>
  <c r="O370" i="3"/>
  <c r="N482" i="3"/>
  <c r="O482" i="3"/>
  <c r="N487" i="3"/>
  <c r="O487" i="3"/>
  <c r="N288" i="3"/>
  <c r="O288" i="3"/>
  <c r="N333" i="3"/>
  <c r="O333" i="3"/>
  <c r="N462" i="3"/>
  <c r="O462" i="3"/>
  <c r="N47" i="3"/>
  <c r="O47" i="3"/>
  <c r="N327" i="3"/>
  <c r="O327" i="3"/>
  <c r="N185" i="3"/>
  <c r="O185" i="3"/>
  <c r="N478" i="3"/>
  <c r="O478" i="3"/>
  <c r="N465" i="3"/>
  <c r="O465" i="3"/>
  <c r="N153" i="3"/>
  <c r="O153" i="3"/>
  <c r="N146" i="3"/>
  <c r="O146" i="3"/>
  <c r="N178" i="3"/>
  <c r="O178" i="3"/>
  <c r="N286" i="3"/>
  <c r="O286" i="3"/>
  <c r="N285" i="3"/>
  <c r="O285" i="3"/>
  <c r="N257" i="3"/>
  <c r="O257" i="3"/>
  <c r="N236" i="3"/>
  <c r="O236" i="3"/>
  <c r="N139" i="3"/>
  <c r="O139" i="3"/>
  <c r="N291" i="3"/>
  <c r="O291" i="3"/>
  <c r="N37" i="3"/>
  <c r="O37" i="3"/>
  <c r="N280" i="3"/>
  <c r="O280" i="3"/>
  <c r="N75" i="3"/>
  <c r="O75" i="3"/>
  <c r="N341" i="3"/>
  <c r="O341" i="3"/>
  <c r="N229" i="3"/>
  <c r="O229" i="3"/>
  <c r="N458" i="3"/>
  <c r="O458" i="3"/>
  <c r="N360" i="3"/>
  <c r="O360" i="3"/>
  <c r="N19" i="3"/>
  <c r="O19" i="3"/>
  <c r="N297" i="3"/>
  <c r="O297" i="3"/>
  <c r="N18" i="3"/>
  <c r="O18" i="3"/>
  <c r="N22" i="3"/>
  <c r="O22" i="3"/>
  <c r="N224" i="3"/>
  <c r="O224" i="3"/>
  <c r="N436" i="3"/>
  <c r="O436" i="3"/>
  <c r="N486" i="3"/>
  <c r="O486" i="3"/>
  <c r="N246" i="3"/>
  <c r="O246" i="3"/>
  <c r="N132" i="3"/>
  <c r="O132" i="3"/>
  <c r="N173" i="3"/>
  <c r="O173" i="3"/>
  <c r="N426" i="3"/>
  <c r="O426" i="3"/>
  <c r="N456" i="3"/>
  <c r="O456" i="3"/>
  <c r="N357" i="3"/>
  <c r="O357" i="3"/>
  <c r="N528" i="3"/>
  <c r="O528" i="3"/>
  <c r="N67" i="3"/>
  <c r="O67" i="3"/>
  <c r="N408" i="3"/>
  <c r="O408" i="3"/>
  <c r="N77" i="3"/>
  <c r="O77" i="3"/>
  <c r="N502" i="3"/>
  <c r="O502" i="3"/>
  <c r="N63" i="3"/>
  <c r="O63" i="3"/>
  <c r="N449" i="3"/>
  <c r="O449" i="3"/>
  <c r="N440" i="3"/>
  <c r="O440" i="3"/>
  <c r="N520" i="3"/>
  <c r="O520" i="3"/>
  <c r="N296" i="3"/>
  <c r="O296" i="3"/>
  <c r="N455" i="3"/>
  <c r="O455" i="3"/>
  <c r="N457" i="3"/>
  <c r="O457" i="3"/>
  <c r="N511" i="3"/>
  <c r="O511" i="3"/>
  <c r="N337" i="3"/>
  <c r="O337" i="3"/>
  <c r="N200" i="3"/>
  <c r="O200" i="3"/>
  <c r="N230" i="3"/>
  <c r="O230" i="3"/>
  <c r="N165" i="3"/>
  <c r="O165" i="3"/>
  <c r="N66" i="3"/>
  <c r="O66" i="3"/>
  <c r="N160" i="3"/>
  <c r="O160" i="3"/>
  <c r="N326" i="3"/>
  <c r="O326" i="3"/>
  <c r="N184" i="3"/>
  <c r="O184" i="3"/>
  <c r="N188" i="3"/>
  <c r="O188" i="3"/>
  <c r="N89" i="3"/>
  <c r="O89" i="3"/>
  <c r="N20" i="3"/>
  <c r="O20" i="3"/>
  <c r="N85" i="3"/>
  <c r="O85" i="3"/>
  <c r="N361" i="3"/>
  <c r="O361" i="3"/>
  <c r="N454" i="3"/>
  <c r="O454" i="3"/>
  <c r="N468" i="3"/>
  <c r="O468" i="3"/>
  <c r="N144" i="3"/>
  <c r="O144" i="3"/>
  <c r="N122" i="3"/>
  <c r="O122" i="3"/>
  <c r="N507" i="3"/>
  <c r="O507" i="3"/>
  <c r="N524" i="3"/>
  <c r="O524" i="3"/>
  <c r="N363" i="3"/>
  <c r="O363" i="3"/>
  <c r="N513" i="3"/>
  <c r="O513" i="3"/>
  <c r="N21" i="3"/>
  <c r="O21" i="3"/>
  <c r="N447" i="3"/>
  <c r="O447" i="3"/>
  <c r="N352" i="3"/>
  <c r="O352" i="3"/>
  <c r="N423" i="3"/>
  <c r="O423" i="3"/>
  <c r="N220" i="3"/>
  <c r="O220" i="3"/>
  <c r="N35" i="3"/>
  <c r="O35" i="3"/>
  <c r="N28" i="3"/>
  <c r="O28" i="3"/>
  <c r="N113" i="3"/>
  <c r="O113" i="3"/>
  <c r="N380" i="3"/>
  <c r="O380" i="3"/>
  <c r="N439" i="3"/>
  <c r="O439" i="3"/>
  <c r="N70" i="3"/>
  <c r="O70" i="3"/>
  <c r="N15" i="3"/>
  <c r="O15" i="3"/>
  <c r="N174" i="3"/>
  <c r="O174" i="3"/>
  <c r="N435" i="3"/>
  <c r="O435" i="3"/>
  <c r="N313" i="3"/>
  <c r="O313" i="3"/>
  <c r="N110" i="3"/>
  <c r="O110" i="3"/>
  <c r="N402" i="3"/>
  <c r="O402" i="3"/>
  <c r="N134" i="3"/>
  <c r="O134" i="3"/>
  <c r="N206" i="3"/>
  <c r="O206" i="3"/>
  <c r="N391" i="3"/>
  <c r="O391" i="3"/>
  <c r="N98" i="3"/>
  <c r="O98" i="3"/>
  <c r="N323" i="3"/>
  <c r="O323" i="3"/>
  <c r="N314" i="3"/>
  <c r="O314" i="3"/>
  <c r="N183" i="3"/>
  <c r="O183" i="3"/>
  <c r="N396" i="3"/>
  <c r="O396" i="3"/>
  <c r="N207" i="3"/>
  <c r="O207" i="3"/>
  <c r="N163" i="3"/>
  <c r="O163" i="3"/>
  <c r="N101" i="3"/>
  <c r="O101" i="3"/>
  <c r="N389" i="3"/>
  <c r="O389" i="3"/>
  <c r="N298" i="3"/>
  <c r="O298" i="3"/>
  <c r="N249" i="3"/>
  <c r="O249" i="3"/>
  <c r="N245" i="3"/>
  <c r="O245" i="3"/>
  <c r="N379" i="3"/>
  <c r="O379" i="3"/>
  <c r="N427" i="3"/>
  <c r="O427" i="3"/>
  <c r="N197" i="3"/>
  <c r="O197" i="3"/>
  <c r="N248" i="3"/>
  <c r="O248" i="3"/>
  <c r="N466" i="3"/>
  <c r="O466" i="3"/>
  <c r="N431" i="3"/>
  <c r="O431" i="3"/>
  <c r="N353" i="3"/>
  <c r="O353" i="3"/>
  <c r="N250" i="3"/>
  <c r="O250" i="3"/>
  <c r="N189" i="3"/>
  <c r="O189" i="3"/>
  <c r="N97" i="3"/>
  <c r="O97" i="3"/>
  <c r="N223" i="3"/>
  <c r="O223" i="3"/>
  <c r="N527" i="3"/>
  <c r="O527" i="3"/>
  <c r="N356" i="3"/>
  <c r="O356" i="3"/>
  <c r="N269" i="3"/>
  <c r="O269" i="3"/>
  <c r="N42" i="3"/>
  <c r="O42" i="3"/>
  <c r="N325" i="3"/>
  <c r="O325" i="3"/>
  <c r="D4" i="13"/>
  <c r="E4" i="13"/>
  <c r="D11" i="13"/>
  <c r="E5" i="13"/>
  <c r="E12" i="13"/>
  <c r="E6" i="13"/>
  <c r="D10" i="13"/>
  <c r="E3" i="13"/>
  <c r="N31" i="3"/>
  <c r="O31" i="3"/>
  <c r="N526" i="3"/>
  <c r="O526" i="3"/>
  <c r="N234" i="3"/>
  <c r="O234" i="3"/>
  <c r="N442" i="3"/>
  <c r="O442" i="3"/>
  <c r="N222" i="3"/>
  <c r="O222" i="3"/>
  <c r="N61" i="3"/>
  <c r="O61" i="3"/>
  <c r="N413" i="3"/>
  <c r="O413" i="3"/>
  <c r="N312" i="3"/>
  <c r="O312" i="3"/>
  <c r="N382" i="3"/>
  <c r="O382" i="3"/>
  <c r="N45" i="3"/>
  <c r="O45" i="3"/>
  <c r="N190" i="3"/>
  <c r="O190" i="3"/>
  <c r="N46" i="3"/>
  <c r="O46" i="3"/>
  <c r="N473" i="3"/>
  <c r="O473" i="3"/>
  <c r="N158" i="3"/>
  <c r="O158" i="3"/>
  <c r="N514" i="3"/>
  <c r="O514" i="3"/>
  <c r="N489" i="3"/>
  <c r="O489" i="3"/>
  <c r="N57" i="3"/>
  <c r="O57" i="3"/>
  <c r="N346" i="3"/>
  <c r="O346" i="3"/>
  <c r="N88" i="3"/>
  <c r="O88" i="3"/>
  <c r="N306" i="3"/>
  <c r="O306" i="3"/>
  <c r="N512" i="3"/>
  <c r="O512" i="3"/>
  <c r="N299" i="3"/>
  <c r="O299" i="3"/>
  <c r="N272" i="3"/>
  <c r="O272" i="3"/>
  <c r="N295" i="3"/>
  <c r="O295" i="3"/>
  <c r="N480" i="3"/>
  <c r="O480" i="3"/>
  <c r="N422" i="3"/>
  <c r="O422" i="3"/>
  <c r="N227" i="3"/>
  <c r="O227" i="3"/>
  <c r="N219" i="3"/>
  <c r="O219" i="3"/>
  <c r="D8" i="13"/>
  <c r="E8" i="13"/>
  <c r="E1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Дмитрий Доготарь</author>
    <author>Dmitry Dogotar</author>
  </authors>
  <commentList>
    <comment ref="G36" authorId="0" shapeId="0" xr:uid="{A67F25C2-1F37-4383-9B2A-6C7F3560045C}">
      <text>
        <r>
          <rPr>
            <b/>
            <sz val="9"/>
            <color indexed="81"/>
            <rFont val="Tahoma"/>
            <family val="2"/>
            <charset val="204"/>
          </rPr>
          <t>Дмитрий Доготарь:</t>
        </r>
        <r>
          <rPr>
            <sz val="9"/>
            <color indexed="81"/>
            <rFont val="Tahoma"/>
            <family val="2"/>
            <charset val="204"/>
          </rPr>
          <t xml:space="preserve">
Это масса 30 шт. С1</t>
        </r>
      </text>
    </comment>
    <comment ref="A102" authorId="0" shapeId="0" xr:uid="{20C663EA-D0A3-447F-BCEB-78695DE92828}">
      <text>
        <r>
          <rPr>
            <b/>
            <sz val="9"/>
            <color indexed="81"/>
            <rFont val="Tahoma"/>
            <charset val="1"/>
          </rPr>
          <t>Дмитрий Доготарь:</t>
        </r>
        <r>
          <rPr>
            <sz val="9"/>
            <color indexed="81"/>
            <rFont val="Tahoma"/>
            <charset val="1"/>
          </rPr>
          <t xml:space="preserve">
0,91 м на 1 кг</t>
        </r>
      </text>
    </comment>
    <comment ref="A103" authorId="0" shapeId="0" xr:uid="{A86E05EA-0494-404C-B7DD-BFB932472D93}">
      <text>
        <r>
          <rPr>
            <b/>
            <sz val="9"/>
            <color indexed="81"/>
            <rFont val="Tahoma"/>
            <family val="2"/>
            <charset val="204"/>
          </rPr>
          <t>Дмитрий Доготарь:</t>
        </r>
        <r>
          <rPr>
            <sz val="9"/>
            <color indexed="81"/>
            <rFont val="Tahoma"/>
            <family val="2"/>
            <charset val="204"/>
          </rPr>
          <t xml:space="preserve">
0,47 м на 1 кг</t>
        </r>
      </text>
    </comment>
    <comment ref="A104" authorId="0" shapeId="0" xr:uid="{E20D1347-D588-4D03-B26E-C363C36E3733}">
      <text>
        <r>
          <rPr>
            <b/>
            <sz val="9"/>
            <color indexed="81"/>
            <rFont val="Tahoma"/>
            <charset val="1"/>
          </rPr>
          <t>Дмитрий Доготарь:</t>
        </r>
        <r>
          <rPr>
            <sz val="9"/>
            <color indexed="81"/>
            <rFont val="Tahoma"/>
            <charset val="1"/>
          </rPr>
          <t xml:space="preserve">
0,67 м на 1 кг</t>
        </r>
      </text>
    </comment>
    <comment ref="A105" authorId="0" shapeId="0" xr:uid="{FABB9909-73CE-4595-A665-D5ECB762BF1A}">
      <text>
        <r>
          <rPr>
            <b/>
            <sz val="9"/>
            <color indexed="81"/>
            <rFont val="Tahoma"/>
            <family val="2"/>
            <charset val="204"/>
          </rPr>
          <t>Дмитрий Доготарь:</t>
        </r>
        <r>
          <rPr>
            <sz val="9"/>
            <color indexed="81"/>
            <rFont val="Tahoma"/>
            <family val="2"/>
            <charset val="204"/>
          </rPr>
          <t xml:space="preserve">
0,294 м на 1 кг</t>
        </r>
      </text>
    </comment>
    <comment ref="A106" authorId="0" shapeId="0" xr:uid="{C8D00DA3-24DE-416B-A40A-DEE653161D3D}">
      <text>
        <r>
          <rPr>
            <b/>
            <sz val="9"/>
            <color indexed="81"/>
            <rFont val="Tahoma"/>
            <family val="2"/>
            <charset val="204"/>
          </rPr>
          <t>Дмитрий Доготарь:</t>
        </r>
        <r>
          <rPr>
            <sz val="9"/>
            <color indexed="81"/>
            <rFont val="Tahoma"/>
            <family val="2"/>
            <charset val="204"/>
          </rPr>
          <t xml:space="preserve">
0,9 м на 1 кг</t>
        </r>
      </text>
    </comment>
    <comment ref="A107" authorId="0" shapeId="0" xr:uid="{EE5FB963-48DE-4842-8021-1BA2FEB741DD}">
      <text>
        <r>
          <rPr>
            <b/>
            <sz val="9"/>
            <color indexed="81"/>
            <rFont val="Tahoma"/>
            <family val="2"/>
            <charset val="204"/>
          </rPr>
          <t>Дмитрий Доготарь:</t>
        </r>
        <r>
          <rPr>
            <sz val="9"/>
            <color indexed="81"/>
            <rFont val="Tahoma"/>
            <family val="2"/>
            <charset val="204"/>
          </rPr>
          <t xml:space="preserve">
1,25 м на 1 кг</t>
        </r>
      </text>
    </comment>
    <comment ref="A108" authorId="0" shapeId="0" xr:uid="{95D59254-E8D4-4D5B-BA85-9F35A944CFFC}">
      <text>
        <r>
          <rPr>
            <b/>
            <sz val="9"/>
            <color indexed="81"/>
            <rFont val="Tahoma"/>
            <family val="2"/>
            <charset val="204"/>
          </rPr>
          <t>Дмитрий Доготарь:</t>
        </r>
        <r>
          <rPr>
            <sz val="9"/>
            <color indexed="81"/>
            <rFont val="Tahoma"/>
            <family val="2"/>
            <charset val="204"/>
          </rPr>
          <t xml:space="preserve">
2 м на 1 кг</t>
        </r>
      </text>
    </comment>
    <comment ref="A109" authorId="1" shapeId="0" xr:uid="{07533358-CB94-4CB3-82B9-0CAC1BE7C61F}">
      <text>
        <r>
          <rPr>
            <b/>
            <sz val="9"/>
            <color indexed="81"/>
            <rFont val="Tahoma"/>
            <charset val="1"/>
          </rPr>
          <t>Dmitry Dogotar:</t>
        </r>
        <r>
          <rPr>
            <sz val="9"/>
            <color indexed="81"/>
            <rFont val="Tahoma"/>
            <charset val="1"/>
          </rPr>
          <t xml:space="preserve">
2,22222 м на 1 кг</t>
        </r>
      </text>
    </comment>
    <comment ref="A110" authorId="0" shapeId="0" xr:uid="{B4D280A8-A2F5-421B-B8E2-92CB36B09591}">
      <text>
        <r>
          <rPr>
            <b/>
            <sz val="9"/>
            <color indexed="81"/>
            <rFont val="Tahoma"/>
            <family val="2"/>
            <charset val="204"/>
          </rPr>
          <t>Дмитрий Доготарь:</t>
        </r>
        <r>
          <rPr>
            <sz val="9"/>
            <color indexed="81"/>
            <rFont val="Tahoma"/>
            <family val="2"/>
            <charset val="204"/>
          </rPr>
          <t xml:space="preserve">
2,22 м на 1 кг</t>
        </r>
      </text>
    </comment>
    <comment ref="A111" authorId="0" shapeId="0" xr:uid="{E0842BD8-50CC-48EF-B02E-93CDCAC8B155}">
      <text>
        <r>
          <rPr>
            <b/>
            <sz val="9"/>
            <color indexed="81"/>
            <rFont val="Tahoma"/>
            <family val="2"/>
            <charset val="204"/>
          </rPr>
          <t>Дмитрий Доготарь:</t>
        </r>
        <r>
          <rPr>
            <sz val="9"/>
            <color indexed="81"/>
            <rFont val="Tahoma"/>
            <family val="2"/>
            <charset val="204"/>
          </rPr>
          <t xml:space="preserve">
0,91 м на 1 кг</t>
        </r>
      </text>
    </comment>
    <comment ref="A112" authorId="0" shapeId="0" xr:uid="{14F6D740-C397-4A49-AECD-A7EB63CF3E8C}">
      <text>
        <r>
          <rPr>
            <b/>
            <sz val="9"/>
            <color indexed="81"/>
            <rFont val="Tahoma"/>
            <family val="2"/>
            <charset val="204"/>
          </rPr>
          <t>Дмитрий Доготарь:</t>
        </r>
        <r>
          <rPr>
            <sz val="9"/>
            <color indexed="81"/>
            <rFont val="Tahoma"/>
            <family val="2"/>
            <charset val="204"/>
          </rPr>
          <t xml:space="preserve">
0,6666 м на 1 кг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РК.xlsx!Ингредиенты" type="102" refreshedVersion="8" minRefreshableVersion="5">
    <extLst>
      <ext xmlns:x15="http://schemas.microsoft.com/office/spreadsheetml/2010/11/main" uri="{DE250136-89BD-433C-8126-D09CA5730AF9}">
        <x15:connection id="Ингредиенты">
          <x15:rangePr sourceName="_xlcn.WorksheetConnection_РК.xlsxИнгредиенты"/>
        </x15:connection>
      </ext>
    </extLst>
  </connection>
  <connection id="3" xr16:uid="{00000000-0015-0000-FFFF-FFFF02000000}" name="WorksheetConnection_РК.xlsx!Рецепты" type="102" refreshedVersion="8" minRefreshableVersion="5">
    <extLst>
      <ext xmlns:x15="http://schemas.microsoft.com/office/spreadsheetml/2010/11/main" uri="{DE250136-89BD-433C-8126-D09CA5730AF9}">
        <x15:connection id="Рецепты">
          <x15:rangePr sourceName="_xlcn.WorksheetConnection_РК.xlsxРецепты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<sst xmlns="http://schemas.openxmlformats.org/spreadsheetml/2006/main" count="2991" uniqueCount="661">
  <si>
    <t>Сырье</t>
  </si>
  <si>
    <t>Вид изделия</t>
  </si>
  <si>
    <t>Способ приготовления</t>
  </si>
  <si>
    <t>Потери</t>
  </si>
  <si>
    <t>Маржа</t>
  </si>
  <si>
    <t>ГК</t>
  </si>
  <si>
    <t>ХК</t>
  </si>
  <si>
    <t>Баранина</t>
  </si>
  <si>
    <t>Колбаса</t>
  </si>
  <si>
    <t>Вареное</t>
  </si>
  <si>
    <t>Сушка при +20 до потери веса 10%</t>
  </si>
  <si>
    <t>Солим</t>
  </si>
  <si>
    <t>Говядина</t>
  </si>
  <si>
    <t>Рыба</t>
  </si>
  <si>
    <t>Отепление при +35 до +22 внутри</t>
  </si>
  <si>
    <t>...Вымачиваем...</t>
  </si>
  <si>
    <t>Добавки</t>
  </si>
  <si>
    <t>Цельное</t>
  </si>
  <si>
    <t>Соленое</t>
  </si>
  <si>
    <t>Сушка при +60 до +40 внутри</t>
  </si>
  <si>
    <t>Оболочка</t>
  </si>
  <si>
    <t>Сосиски</t>
  </si>
  <si>
    <t>Сырокопченое</t>
  </si>
  <si>
    <t>Коптим без статики при +80 в течение 1 часа</t>
  </si>
  <si>
    <t>Копчение при +20 с электростатикой 1 час</t>
  </si>
  <si>
    <t>Птица</t>
  </si>
  <si>
    <t>Сыр</t>
  </si>
  <si>
    <t>Сыровяленное</t>
  </si>
  <si>
    <t>Варка при +90 - +110 до +70 внутри</t>
  </si>
  <si>
    <t>В холодильник на сутки</t>
  </si>
  <si>
    <t>Еда</t>
  </si>
  <si>
    <t>Душируем в ледяной воде до +20 внутри</t>
  </si>
  <si>
    <t>Свинина</t>
  </si>
  <si>
    <t>Провесная</t>
  </si>
  <si>
    <t>Специи</t>
  </si>
  <si>
    <t>Рецепты для Москит от Строгой</t>
  </si>
  <si>
    <t>Название ингредиента</t>
  </si>
  <si>
    <t>Цена</t>
  </si>
  <si>
    <t>Тип сырья</t>
  </si>
  <si>
    <t>Где покупать</t>
  </si>
  <si>
    <t>Ссылка</t>
  </si>
  <si>
    <t>Обьем</t>
  </si>
  <si>
    <t>Цена/Обьем</t>
  </si>
  <si>
    <t>Наличие</t>
  </si>
  <si>
    <t>Выход</t>
  </si>
  <si>
    <t>Карбонад свиной</t>
  </si>
  <si>
    <t>Основа</t>
  </si>
  <si>
    <t>Европа</t>
  </si>
  <si>
    <t>Нет</t>
  </si>
  <si>
    <t>Окорок свиной</t>
  </si>
  <si>
    <t>Обуховский</t>
  </si>
  <si>
    <t>Да</t>
  </si>
  <si>
    <t>Лопатка свиная</t>
  </si>
  <si>
    <t>Шея свиная</t>
  </si>
  <si>
    <t>Грудинка свиная</t>
  </si>
  <si>
    <t>Ребра свиные</t>
  </si>
  <si>
    <t>Рулька свиная</t>
  </si>
  <si>
    <t>Свинина рулька собственное производство - купить онлайн с доставкой по цене 239.99 в интернет-магазине ЕВРОПА</t>
  </si>
  <si>
    <t>Сало свиное</t>
  </si>
  <si>
    <t>Авито</t>
  </si>
  <si>
    <t>Шпик</t>
  </si>
  <si>
    <t>Швартенблок</t>
  </si>
  <si>
    <t>Сам делаю</t>
  </si>
  <si>
    <t>Шкуры, голова, обрезь</t>
  </si>
  <si>
    <t>Язык говяжий</t>
  </si>
  <si>
    <t>Жир говяжий</t>
  </si>
  <si>
    <t>Обрезки</t>
  </si>
  <si>
    <t>Курица целая</t>
  </si>
  <si>
    <t>Тушка ц/б 1 кат охл - купить онлайн с доставкой по цене 179.99 в интернет-магазине ЕВРОПА</t>
  </si>
  <si>
    <t>Грудка куриная</t>
  </si>
  <si>
    <t>Бедра куриные</t>
  </si>
  <si>
    <t>Индейка</t>
  </si>
  <si>
    <t>Скумбрия</t>
  </si>
  <si>
    <t>Горбуша</t>
  </si>
  <si>
    <t>Сельдь</t>
  </si>
  <si>
    <t>Карп</t>
  </si>
  <si>
    <t>Белый амур</t>
  </si>
  <si>
    <t>Карась</t>
  </si>
  <si>
    <t>Щука</t>
  </si>
  <si>
    <t>Форель</t>
  </si>
  <si>
    <t>Форель с\м б/г крупная - купить онлайн с доставкой по цене 1099.99 в интернет-магазине ЕВРОПА</t>
  </si>
  <si>
    <t>Перловка</t>
  </si>
  <si>
    <t>Крупа перловая Европа 800г - купить онлайн с доставкой по цене 33 в интернет-магазине ЕВРОПА (europa-market.ru)</t>
  </si>
  <si>
    <t>Картофель</t>
  </si>
  <si>
    <t>Картофель вес - купить онлайн с доставкой по цене 39.99 в интернет-магазине ЕВРОПА (europa-market.ru)</t>
  </si>
  <si>
    <t>Молоко</t>
  </si>
  <si>
    <t>Панарин</t>
  </si>
  <si>
    <t>Морковь</t>
  </si>
  <si>
    <t>Добавка</t>
  </si>
  <si>
    <t>Морковь вес - купить онлайн с доставкой по цене 29.99 в интернет-магазине ЕВРОПА (europa-market.ru)</t>
  </si>
  <si>
    <t>Сливочное масло</t>
  </si>
  <si>
    <t>Масло сливочное традиционное 180 г 82, 5% фольга курскмаслопром - купить онлайн с доставкой по цене 165 в интернет-магазине ЕВРОПА (europa-market.ru)</t>
  </si>
  <si>
    <t>Яйцо</t>
  </si>
  <si>
    <t>Вода</t>
  </si>
  <si>
    <t>Мука пшеничная</t>
  </si>
  <si>
    <t>Мука пшеничная Европа хлебопекарная высший сорт 1кг - купить онлайн с доставкой по цене 48.4 в интернет-магазине ЕВРОПА (europa-market.ru)</t>
  </si>
  <si>
    <t>Уксус 9%</t>
  </si>
  <si>
    <t>Озон</t>
  </si>
  <si>
    <t>Уксус столовый 9% 1 л - купить с доставкой по выгодным ценам в интернет-магазине OZON (1194373193)</t>
  </si>
  <si>
    <t>Лимонная кислота</t>
  </si>
  <si>
    <t>Лимонная кислота пищевая 3 кг - регулятор кислотности, антиокислитель - купить с доставкой по выгодным ценам в интернет-магазине OZON (787154197)</t>
  </si>
  <si>
    <t>Подсолнечное масло</t>
  </si>
  <si>
    <t>Вино красное сухое</t>
  </si>
  <si>
    <t>Вино густо 1л 10-12% красное сух тетра-пак - купить онлайн с доставкой по цене 429 в интернет-магазине ЕВРОПА (europa-market.ru)</t>
  </si>
  <si>
    <t>Вино белое сухое</t>
  </si>
  <si>
    <t>Вино густо 1л 10-12% белое сух тетра-пак - купить онлайн с доставкой по цене 539 в интернет-магазине ЕВРОПА (europa-market.ru)</t>
  </si>
  <si>
    <t>Коньяк</t>
  </si>
  <si>
    <t>Крахмал картофельный</t>
  </si>
  <si>
    <t>Крахмал картофельный, ГОСТ 3шт по 1 кг Роспланта, Без глютена Высший сорт - купить с доставкой по выгодным ценам в интернет-магазине OZON (838789167)</t>
  </si>
  <si>
    <t>Сухое молоко</t>
  </si>
  <si>
    <t>Сухое молоко для выпечки сп - купить онлайн с доставкой по цене 549.9 в интернет-магазине ЕВРОПА (europa-market.ru)</t>
  </si>
  <si>
    <t>Фисташки</t>
  </si>
  <si>
    <t>Фисташки 500 г жареные соленые - купить онлайн с доставкой по цене 847 в интернет-магазине ЕВРОПА (europa-market.ru)</t>
  </si>
  <si>
    <t>Сыр российский</t>
  </si>
  <si>
    <t>Сыр российский 50% беларусь - купить онлайн с доставкой по цене 599.99 в интернет-магазине ЕВРОПА (europa-market.ru)</t>
  </si>
  <si>
    <t>Краситель пищевой</t>
  </si>
  <si>
    <t>Краситель пищевой Красный бархат ART COLOR BASE для выпечки, десертов, кондитерских изделий, гелевый водорастворимый, 10 мл - купить с доставкой по выгодным ценам в интернет-магазине OZON (311527017)</t>
  </si>
  <si>
    <t>Альбумин пищевой (кровь)</t>
  </si>
  <si>
    <t>Альбумин (сухая кровь), 500 г - купить с доставкой по выгодным ценам в интернет-магазине OZON (1322993999)</t>
  </si>
  <si>
    <t>Аспик, 220 блюм</t>
  </si>
  <si>
    <t>Желатин Гала Аспик с ароматом говядины, 100 гр - 5 пакетов - купить с доставкой по выгодным ценам в интернет-магазине OZON (1328180818)</t>
  </si>
  <si>
    <t>Сливки</t>
  </si>
  <si>
    <t>Сливки Свитлогорье 500г 20% ультрапастеризованные - купить онлайн с доставкой по цене 253 в интернет-магазине ЕВРОПА (europa-market.ru)</t>
  </si>
  <si>
    <t>Дрожжи</t>
  </si>
  <si>
    <t>Дрожжи спиртовые турбо Bragman Industrial 200L, 520 г (Брагман Индастриал 200 литров для самогона) купить на OZON по низкой цене (170040789)</t>
  </si>
  <si>
    <t>Соль нитритная</t>
  </si>
  <si>
    <t>Емколбаски</t>
  </si>
  <si>
    <t>ОПТ - НИТРИТНАЯ соль, AKZO NOBEL (Дания) - 25 кг (emkolbaski.ru)</t>
  </si>
  <si>
    <t>Соль пищевая</t>
  </si>
  <si>
    <t>Соль 1кг пищевая в пачке - купить онлайн с доставкой по цене 38.5 в интернет-магазине ЕВРОПА (europa-market.ru)</t>
  </si>
  <si>
    <t>Соль рассол</t>
  </si>
  <si>
    <t>Сахар</t>
  </si>
  <si>
    <t>Сахар-песок Европа 1,7кг - купить онлайн с доставкой по цене 137.5 в интернет-магазине ЕВРОПА (europa-market.ru)</t>
  </si>
  <si>
    <t>Перец черный молотый</t>
  </si>
  <si>
    <t>Перец черный молотый Индана 550 гр./1 000 мл., с дозатором - купить с доставкой по выгодным ценам в интернет-магазине OZON (828189366)</t>
  </si>
  <si>
    <t>Перец белый молотый</t>
  </si>
  <si>
    <t>Перец белый горошек, перец горошком NOYER 250 гр. - купить с доставкой по выгодным ценам в интернет-магазине OZON (202659590)</t>
  </si>
  <si>
    <t>Перец душистый горошек</t>
  </si>
  <si>
    <t>Перец душистый Индана, горошек, 180 гр./500 мл. - купить с доставкой по выгодным ценам в интернет-магазине OZON (246968553)</t>
  </si>
  <si>
    <t>Перец чили молотый</t>
  </si>
  <si>
    <t>Перец красный чили (сильножгучий) молотый Индана 550 г./ 1000 мл. , с дозатором - купить с доставкой по выгодным ценам в интернет-магазине OZON (246969889)</t>
  </si>
  <si>
    <t>Перец черный горошек</t>
  </si>
  <si>
    <t>Перец черный горошек горошком ТМ Индана 1 000 мл./ 500 гр. - купить с доставкой по выгодным ценам в интернет-магазине OZON (756635104)</t>
  </si>
  <si>
    <t>Тмин</t>
  </si>
  <si>
    <t>Тмин молотый Индана, 250 г./ 500 мл., с дозатором - купить с доставкой по выгодным ценам в интернет-магазине OZON (246968539)</t>
  </si>
  <si>
    <t>Паприка красная молотая</t>
  </si>
  <si>
    <t>Паприка красная молотая, ИСПАНИЯ, перец сладкий красный, Индана 550 гр./1000 мл., с дозатором - купить с доставкой по выгодным ценам в интернет-магазине OZON (246970010)</t>
  </si>
  <si>
    <t>Паприка копченая молотая</t>
  </si>
  <si>
    <t>Паприка красная копченая молотая Испания. Универсальная приправа(специя) для мясных, рыбных блюд NOYER 500 гр. - купить с доставкой по выгодным ценам в интернет-магазине OZON (1178746141)</t>
  </si>
  <si>
    <t>Мускатный орех</t>
  </si>
  <si>
    <t>Мускатный орех молотый Индана 220 г./ 500 мл., с дозатором - купить с доставкой по выгодным ценам в интернет-магазине OZON (233676928)</t>
  </si>
  <si>
    <t>Чеснок сушеный</t>
  </si>
  <si>
    <t>Чеснок сушеный гранулированный Индана 600 г./1000 мл., с дозатором - купить с доставкой по выгодным ценам в интернет-магазине OZON (214345648)</t>
  </si>
  <si>
    <t>Кардамон</t>
  </si>
  <si>
    <t>Кардамон молотый высший сорт, 300 г, Курагово - купить с доставкой по выгодным ценам в интернет-магазине OZON (1072075710)</t>
  </si>
  <si>
    <t>Кориандр</t>
  </si>
  <si>
    <t>Кориандр молотый Индана, 450 г./1000 мл. с дозатором - купить с доставкой по выгодным ценам в интернет-магазине OZON (213559863)</t>
  </si>
  <si>
    <t>Фосфат</t>
  </si>
  <si>
    <t>Фосфат пищевой для колбасы, сосисок, сарделек - купить с доставкой по выгодным ценам в интернет-магазине OZON (1002521417)</t>
  </si>
  <si>
    <t>Аскорбиновая кислота</t>
  </si>
  <si>
    <t>Аскорбинат (аскорбат) натрия - 1 кг (emkolbaski.ru)</t>
  </si>
  <si>
    <t>Глютамат натрия</t>
  </si>
  <si>
    <t>Глутамат натрия натуральный, 1 000 мл./ 800 гр., приправа, усилитель вкуса и аромата, пищевая добавка, ТМ "Индана". - купить с доставкой по выгодным ценам в интернет-магазине OZON (529935601)</t>
  </si>
  <si>
    <t>Цитрат натрия E331</t>
  </si>
  <si>
    <t>Цитрат натрия, пищевая добавка Е331, натрий лимоннокислый / 2 кг (4*500 гр) - купить с доставкой по выгодным ценам в интернет-магазине OZON (755454232)</t>
  </si>
  <si>
    <t>Анис</t>
  </si>
  <si>
    <t>Анис семена ТМ Индана 200 гр./500 мл. - купить с доставкой по выгодным ценам в интернет-магазине OZON (497986659)</t>
  </si>
  <si>
    <t>Гвоздика</t>
  </si>
  <si>
    <t>Гвоздика целая (целые сушеные семена гвоздики, натуральная специя и приправа, травы) Индана 300 г./ 1 000 мл., - купить с доставкой по выгодным ценам в интернет-магазине OZON (828189508)</t>
  </si>
  <si>
    <t>Бадьян</t>
  </si>
  <si>
    <t>Бадьян (Анис звездчатый)/ натуральные звездочки цельные семена бадьяна / пряность приправа для кофе, десертов, глинтвейна / специи для пряников, ТМ Индана, 500 мл./ 100 г. - купить с доставкой по выгодным ценам в интернет-магазине OZON (214344546)</t>
  </si>
  <si>
    <t>Фенхель</t>
  </si>
  <si>
    <t>Фенхель семена Индана 190 г., с дозатором - купить с доставкой по выгодным ценам в интернет-магазине OZON (233678714)</t>
  </si>
  <si>
    <t>Стартовые культуры</t>
  </si>
  <si>
    <t>Стартовые культуры T-SP для с/в, с/к колбас Классический ЕВРОПЕЙСКИЙ вкус - 5 г и 50 г (emkolbaski.ru)</t>
  </si>
  <si>
    <t>Моносахара</t>
  </si>
  <si>
    <t>Моносахара для сыровяления – 30гр и 100гр (emkolbaski.ru)</t>
  </si>
  <si>
    <t>Майоран</t>
  </si>
  <si>
    <t>Майоран сушеный "Хомяково", 230 гр. / Зелень сушеная / Натуральная приправа - купить с доставкой по выгодным ценам в интернет-магазине OZON (535927630)</t>
  </si>
  <si>
    <t>Петрушка зеленая</t>
  </si>
  <si>
    <t>Петрушка весовая - купить онлайн с доставкой по цене 699.99 в интернет-магазине ЕВРОПА (europa-market.ru)</t>
  </si>
  <si>
    <t>Куркума</t>
  </si>
  <si>
    <t>Куркума HOBBYHELPER молотая (350г) - купить с доставкой по выгодным ценам в интернет-магазине OZON (207400581)</t>
  </si>
  <si>
    <t>Зира</t>
  </si>
  <si>
    <t>Кумин (Зира) семена "Индана", 500 гр./1 000 мл. - купить с доставкой по выгодным ценам в интернет-магазине OZON (273772989)</t>
  </si>
  <si>
    <t>Тимьян</t>
  </si>
  <si>
    <t>Тимьян / чабрец лист горный"Индана" 90 гр./500 мл. с дозатором - купить с доставкой по выгодным ценам в интернет-магазине OZON (262894422)</t>
  </si>
  <si>
    <t xml:space="preserve">Сельдерей порошок </t>
  </si>
  <si>
    <t>Сельдерей Зелень сушеная ПРЕМИУМ - купить с доставкой по выгодным ценам в интернет-магазине OZON (768342160)</t>
  </si>
  <si>
    <t>Лавровый лист</t>
  </si>
  <si>
    <t>Лавровый лист целый сушеный Индана 50 г., 1000 мл. - купить с доставкой по выгодным ценам в интернет-магазине OZON (754886890)</t>
  </si>
  <si>
    <t>Лук репчатый</t>
  </si>
  <si>
    <t>Лук репчатый имп вес - купить онлайн с доставкой по цене 49.99 в интернет-магазине ЕВРОПА (europa-market.ru)</t>
  </si>
  <si>
    <t>Корица молотая</t>
  </si>
  <si>
    <t>Корица молотая натуральная "Индана", 450 г./1000 мл., с дозатором - купить с доставкой по выгодным ценам в интернет-магазине OZON (754952582)</t>
  </si>
  <si>
    <t>Мята сухая</t>
  </si>
  <si>
    <t>Мята перечная сушеная ПРЕМИУМ - купить с доставкой по выгодным ценам в интернет-магазине OZON (768746378)</t>
  </si>
  <si>
    <t>Горчица семена</t>
  </si>
  <si>
    <t>Семена горчицы ПРЕМИУМ специи приправы пряность оптом - купить с доставкой по выгодным ценам в интернет-магазине OZON (768587997)</t>
  </si>
  <si>
    <t>Перец чили целый</t>
  </si>
  <si>
    <t>Перец Чили стручковый целый 1 кг / Приправа, специя - купить с доставкой по выгодным ценам в интернет-магазине OZON (788691363)</t>
  </si>
  <si>
    <t>Имбирь молотый</t>
  </si>
  <si>
    <t>Смесь приправ «Молочные сосиски»</t>
  </si>
  <si>
    <t>ОПТ - Сосиски Молочные, смесь приправ - 1 кг (emkolbaski.ru)</t>
  </si>
  <si>
    <t>Смесь приправ Мортаделла</t>
  </si>
  <si>
    <t>ОПТ - Мортаделла - 1 кг - смесь приправ (emkolbaski.ru)</t>
  </si>
  <si>
    <t>Смесь приправ «Луканка»</t>
  </si>
  <si>
    <t>Смесь для Луканки - 1 кг (emkolbaski.ru)</t>
  </si>
  <si>
    <t>АйЦел 40</t>
  </si>
  <si>
    <t>Айцел для сыровяления 40 мм - 25 метров (полимерная) (emkolbaski.ru)</t>
  </si>
  <si>
    <t>Полиамидная 60</t>
  </si>
  <si>
    <t>ОПТ - 50м, калибр 60мм. Полиамидная для Вареных колбас и Ветчин (emkolbaski.ru)</t>
  </si>
  <si>
    <t>Фиброузная 50</t>
  </si>
  <si>
    <t>ОПТ - Фиброузная оболочка для сервелатов ,цвет копчение, калибр 50мм, 56мм, 65мм - 50м. (emkolbaski.ru)</t>
  </si>
  <si>
    <t>Полиамидная 80</t>
  </si>
  <si>
    <t>ОПТ - 50м, калибр 80 мм. Полиамидная для Вареных колбас и Ветчин (emkolbaski.ru)</t>
  </si>
  <si>
    <t>Мембрин кольцевой 42 мм</t>
  </si>
  <si>
    <t>МЕМБРИН 42 мм, гофра, кольцевая универсальная оболочка - 31 метра (emkolbaski.ru)</t>
  </si>
  <si>
    <t>Свиная черева 38/40</t>
  </si>
  <si>
    <t>ОПТ - Свиная черева 38/40 - 91,44м (пучок) (emkolbaski.ru)</t>
  </si>
  <si>
    <t>Свиная черева 32/34</t>
  </si>
  <si>
    <t>ОПТ - Свиная черева 32/34 – 91,44м (пучок) (emkolbaski.ru)</t>
  </si>
  <si>
    <t>Полиамидная сосисочная</t>
  </si>
  <si>
    <t>Сосисочная полиамидная - 33м, гильза. (emkolbaski.ru)</t>
  </si>
  <si>
    <t>100/2,22м</t>
  </si>
  <si>
    <t>Нало Ферм 45/50</t>
  </si>
  <si>
    <t>ОПТ - Полимерная для Вяления Нало Ферм 50 метров (emkolbaski.ru)</t>
  </si>
  <si>
    <t>Коллагеновая 45/50</t>
  </si>
  <si>
    <t>ОПТ- Коллагеновая, цвет КАРАМЕЛЬ, калибр 45мм и 50 мм - 50 метров (emkolbaski.ru)</t>
  </si>
  <si>
    <t>Сетка формовочная 220 мм</t>
  </si>
  <si>
    <t>ОПТ - 50м, калибр 220 мм. Сетка формовочная.</t>
  </si>
  <si>
    <t>Итог</t>
  </si>
  <si>
    <t>Название</t>
  </si>
  <si>
    <t>Вид</t>
  </si>
  <si>
    <t>Способ</t>
  </si>
  <si>
    <t>Состав</t>
  </si>
  <si>
    <t>Тип</t>
  </si>
  <si>
    <t>%</t>
  </si>
  <si>
    <t>г</t>
  </si>
  <si>
    <t>р</t>
  </si>
  <si>
    <t>Масса</t>
  </si>
  <si>
    <t>Вес ингр-тов</t>
  </si>
  <si>
    <t>Траты всего</t>
  </si>
  <si>
    <t>Потери, %</t>
  </si>
  <si>
    <t>Цена за 1 кг</t>
  </si>
  <si>
    <t>ЧП</t>
  </si>
  <si>
    <t>Ссылка интернет</t>
  </si>
  <si>
    <t>Ссылка ПК</t>
  </si>
  <si>
    <t>Докторская</t>
  </si>
  <si>
    <t>https://www.youtube.com/watch?v=5gWsIsh4dpM</t>
  </si>
  <si>
    <t>D:\Video\Колбаса_рецепты\Докторская колбаса ГОСТ 23670-79 в домашних условиях.mp12</t>
  </si>
  <si>
    <t>D:\Video\Колбаса_рецепты\Докторская колбаса ГОСТ 23670-79 в домашних условиях.mp13</t>
  </si>
  <si>
    <t>D:\Video\Колбаса_рецепты\Докторская колбаса ГОСТ 23670-79 в домашних условиях.mp14</t>
  </si>
  <si>
    <t>D:\Video\Колбаса_рецепты\Докторская колбаса ГОСТ 23670-79 в домашних условиях.mp15</t>
  </si>
  <si>
    <t>D:\Video\Колбаса_рецепты\Докторская колбаса ГОСТ 23670-79 в домашних условиях.mp17</t>
  </si>
  <si>
    <t>D:\Video\Колбаса_рецепты\Докторская колбаса ГОСТ 23670-79 в домашних условиях.mp18</t>
  </si>
  <si>
    <t>D:\Video\Колбаса_рецепты\Докторская колбаса ГОСТ 23670-79 в домашних условиях.mp19</t>
  </si>
  <si>
    <t>D:\Video\Колбаса_рецепты\Докторская колбаса ГОСТ 23670-79 в домашних условиях.mp20</t>
  </si>
  <si>
    <t>Куриные Сырные</t>
  </si>
  <si>
    <t>https://www.youtube.com/watch?v=WJ2KT_frzos&amp;t=16s</t>
  </si>
  <si>
    <t>D:\Video\Колбаса_рецепты\Домашние куриные сосиски с твердым сыром.mp4</t>
  </si>
  <si>
    <t>D:\Video\Колбаса_рецепты\Домашние куриные сосиски с твердым сыром.mp5</t>
  </si>
  <si>
    <t>D:\Video\Колбаса_рецепты\Домашние куриные сосиски с твердым сыром.mp6</t>
  </si>
  <si>
    <t>D:\Video\Колбаса_рецепты\Домашние куриные сосиски с твердым сыром.mp7</t>
  </si>
  <si>
    <t>D:\Video\Колбаса_рецепты\Домашние куриные сосиски с твердым сыром.mp8</t>
  </si>
  <si>
    <t>D:\Video\Колбаса_рецепты\Домашние куриные сосиски с твердым сыром.mp9</t>
  </si>
  <si>
    <t>D:\Video\Колбаса_рецепты\Домашние куриные сосиски с твердым сыром.mp10</t>
  </si>
  <si>
    <t>D:\Video\Колбаса_рецепты\Домашние куриные сосиски с твердым сыром.mp11</t>
  </si>
  <si>
    <t>D:\Video\Колбаса_рецепты\Домашние куриные сосиски с твердым сыром.mp12</t>
  </si>
  <si>
    <t>D:\Video\Колбаса_рецепты\Домашние куриные сосиски с твердым сыром.mp13</t>
  </si>
  <si>
    <t>Сардельки Свиные</t>
  </si>
  <si>
    <t>https://www.youtube.com/watch?v=Mu_glCpe-Y8</t>
  </si>
  <si>
    <t>D:\Video\Колбаса_рецепты\Сочные домашние сардельки Кнакеры.  Как сделать корочку, чтобы сардельки ''хрупали'' при укусе..mp4</t>
  </si>
  <si>
    <t>D:\Video\Колбаса_рецепты\Сочные домашние сардельки Кнакеры.  Как сделать корочку, чтобы сардельки ''хрупали'' при укусе..mp6</t>
  </si>
  <si>
    <t>D:\Video\Колбаса_рецепты\Сочные домашние сардельки Кнакеры.  Как сделать корочку, чтобы сардельки ''хрупали'' при укусе..mp7</t>
  </si>
  <si>
    <t>D:\Video\Колбаса_рецепты\Сочные домашние сардельки Кнакеры.  Как сделать корочку, чтобы сардельки ''хрупали'' при укусе..mp8</t>
  </si>
  <si>
    <t>D:\Video\Колбаса_рецепты\Сочные домашние сардельки Кнакеры.  Как сделать корочку, чтобы сардельки ''хрупали'' при укусе..mp9</t>
  </si>
  <si>
    <t>D:\Video\Колбаса_рецепты\Сочные домашние сардельки Кнакеры.  Как сделать корочку, чтобы сардельки ''хрупали'' при укусе..mp10</t>
  </si>
  <si>
    <t>D:\Video\Колбаса_рецепты\Сочные домашние сардельки Кнакеры.  Как сделать корочку, чтобы сардельки ''хрупали'' при укусе..mp11</t>
  </si>
  <si>
    <t>D:\Video\Колбаса_рецепты\Сочные домашние сардельки Кнакеры.  Как сделать корочку, чтобы сардельки ''хрупали'' при укусе..mp12</t>
  </si>
  <si>
    <t>D:\Video\Колбаса_рецепты\Сочные домашние сардельки Кнакеры.  Как сделать корочку, чтобы сардельки ''хрупали'' при укусе..mp13</t>
  </si>
  <si>
    <t>D:\Video\Колбаса_рецепты\Сочные домашние сардельки Кнакеры.  Как сделать корочку, чтобы сардельки ''хрупали'' при укусе..mp14</t>
  </si>
  <si>
    <t>Курица ГК</t>
  </si>
  <si>
    <t>https://www.youtube.com/watch?v=bwqN7FZs5Ds</t>
  </si>
  <si>
    <t>D:\Video\Колбаса_рецепты\КУРИЦА горячего копчения в коптильне уэк москит.mp4</t>
  </si>
  <si>
    <t>https://www.youtube.com/watch?v=AyC9SVj43Sg</t>
  </si>
  <si>
    <t>D:\Video\Колбаса_рецепты\ХИТ!!! Курица копчено-вареная. Как правильно шприцевать и коптить. Как сделать золотистую корочку.mp4</t>
  </si>
  <si>
    <t>D:\Video\Колбаса_рецепты\ХИТ!!! Курица копчено-вареная. Как правильно шприцевать и коптить. Как сделать золотистую корочку.mp5</t>
  </si>
  <si>
    <t>D:\Video\Колбаса_рецепты\ХИТ!!! Курица копчено-вареная. Как правильно шприцевать и коптить. Как сделать золотистую корочку.mp6</t>
  </si>
  <si>
    <t>D:\Video\Колбаса_рецепты\ХИТ!!! Курица копчено-вареная. Как правильно шприцевать и коптить. Как сделать золотистую корочку.mp7</t>
  </si>
  <si>
    <t>Грудинка свиная ГК</t>
  </si>
  <si>
    <t>https://www.youtube.com/watch?v=VJPh2ER-Zuw</t>
  </si>
  <si>
    <t>D:\Video\Колбаса_рецепты\ГРУДИНКА ЩЕКОВИНА ГОРЯЧЕГО КОПЧЕНИЯ В моските.mp4</t>
  </si>
  <si>
    <t>D:\Video\Колбаса_рецепты\ГРУДИНКА ЩЕКОВИНА ГОРЯЧЕГО КОПЧЕНИЯ В моските.mp5</t>
  </si>
  <si>
    <t>D:\Video\Колбаса_рецепты\ГРУДИНКА ЩЕКОВИНА ГОРЯЧЕГО КОПЧЕНИЯ В моските.mp6</t>
  </si>
  <si>
    <t>D:\Video\Колбаса_рецепты\ГРУДИНКА ЩЕКОВИНА ГОРЯЧЕГО КОПЧЕНИЯ В моските.mp7</t>
  </si>
  <si>
    <t>D:\Video\Колбаса_рецепты\ГРУДИНКА ЩЕКОВИНА ГОРЯЧЕГО КОПЧЕНИЯ В моските.mp8</t>
  </si>
  <si>
    <t>D:\Video\Колбаса_рецепты\ГРУДИНКА ЩЕКОВИНА ГОРЯЧЕГО КОПЧЕНИЯ В моските.mp9</t>
  </si>
  <si>
    <t>D:\Video\Колбаса_рецепты\ГРУДИНКА ЩЕКОВИНА ГОРЯЧЕГО КОПЧЕНИЯ В моските.mp10</t>
  </si>
  <si>
    <t>D:\Video\Колбаса_рецепты\ГРУДИНКА ЩЕКОВИНА ГОРЯЧЕГО КОПЧЕНИЯ В моските.mp11</t>
  </si>
  <si>
    <t>Скумбрия ХК</t>
  </si>
  <si>
    <t>Карась ХК</t>
  </si>
  <si>
    <t>https://www.youtube.com/watch?v=74iIMezDsSk</t>
  </si>
  <si>
    <t>D:\Video\Колбаса_рецепты\КАРАСЬ холодного копчения по казахски от ИГОРЯ в коптильне москит.mp4</t>
  </si>
  <si>
    <t>D:\Video\Колбаса_рецепты\КАРАСЬ холодного копчения по казахски от ИГОРЯ в коптильне москит.mp5</t>
  </si>
  <si>
    <t>D:\Video\Колбаса_рецепты\КАРАСЬ холодного копчения по казахски от ИГОРЯ в коптильне москит.mp6</t>
  </si>
  <si>
    <t>D:\Video\Колбаса_рецепты\КАРАСЬ холодного копчения по казахски от ИГОРЯ в коптильне москит.mp7</t>
  </si>
  <si>
    <t>D:\Video\Колбаса_рецепты\КАРАСЬ холодного копчения по казахски от ИГОРЯ в коптильне москит.mp8</t>
  </si>
  <si>
    <t>D:\Video\Колбаса_рецепты\КАРАСЬ холодного копчения по казахски от ИГОРЯ в коптильне москит.mp9</t>
  </si>
  <si>
    <t>D:\Video\Колбаса_рецепты\КАРАСЬ холодного копчения по казахски от ИГОРЯ в коптильне москит.mp10</t>
  </si>
  <si>
    <t>D:\Video\Колбаса_рецепты\КАРАСЬ холодного копчения по казахски от ИГОРЯ в коптильне москит.mp11</t>
  </si>
  <si>
    <t>Горбуша ХК</t>
  </si>
  <si>
    <t>https://www.youtube.com/watch?v=ynKD-Uz8MzQ</t>
  </si>
  <si>
    <t>D:\Video\Колбаса_рецепты\горбуша холодного копчения в коптильне москит.mp4</t>
  </si>
  <si>
    <t>D:\Video\Колбаса_рецепты\горбуша холодного копчения в коптильне москит.mp5</t>
  </si>
  <si>
    <t>D:\Video\Колбаса_рецепты\горбуша холодного копчения в коптильне москит.mp6</t>
  </si>
  <si>
    <t>D:\Video\Колбаса_рецепты\горбуша холодного копчения в коптильне москит.mp7</t>
  </si>
  <si>
    <t>Еврейская</t>
  </si>
  <si>
    <t>D:\Video\Колбаса_рецепты\Еврейская копчёная колбаса в домашних условиях. Стандарт 1938г.mp4</t>
  </si>
  <si>
    <t>D:\Video\Колбаса_рецепты\Еврейская копчёная колбаса в домашних условиях. Стандарт 1938г.mp5</t>
  </si>
  <si>
    <t>D:\Video\Колбаса_рецепты\Еврейская копчёная колбаса в домашних условиях. Стандарт 1938г.mp6</t>
  </si>
  <si>
    <t>D:\Video\Колбаса_рецепты\Еврейская копчёная колбаса в домашних условиях. Стандарт 1938г.mp7</t>
  </si>
  <si>
    <t>D:\Video\Колбаса_рецепты\Еврейская копчёная колбаса в домашних условиях. Стандарт 1938г.mp8</t>
  </si>
  <si>
    <t>D:\Video\Колбаса_рецепты\Еврейская копчёная колбаса в домашних условиях. Стандарт 1938г.mp9</t>
  </si>
  <si>
    <t>D:\Video\Колбаса_рецепты\Еврейская копчёная колбаса в домашних условиях. Стандарт 1938г.mp10</t>
  </si>
  <si>
    <t>Московская</t>
  </si>
  <si>
    <t>D:\Video\Колбаса_рецепты\МОСКОВСКАЯ КОПЧЕНАЯ домашняя колбаса ГОСТ 1938.mp4</t>
  </si>
  <si>
    <t>D:\Video\Колбаса_рецепты\МОСКОВСКАЯ КОПЧЕНАЯ домашняя колбаса ГОСТ 1938.mp5</t>
  </si>
  <si>
    <t>D:\Video\Колбаса_рецепты\МОСКОВСКАЯ КОПЧЕНАЯ домашняя колбаса ГОСТ 1938.mp6</t>
  </si>
  <si>
    <t>D:\Video\Колбаса_рецепты\МОСКОВСКАЯ КОПЧЕНАЯ домашняя колбаса ГОСТ 1938.mp7</t>
  </si>
  <si>
    <t>D:\Video\Колбаса_рецепты\МОСКОВСКАЯ КОПЧЕНАЯ домашняя колбаса ГОСТ 1938.mp8</t>
  </si>
  <si>
    <t>D:\Video\Колбаса_рецепты\МОСКОВСКАЯ КОПЧЕНАЯ домашняя колбаса ГОСТ 1938.mp9</t>
  </si>
  <si>
    <t>D:\Video\Колбаса_рецепты\МОСКОВСКАЯ КОПЧЕНАЯ домашняя колбаса ГОСТ 1938.mp10</t>
  </si>
  <si>
    <t>D:\Video\Колбаса_рецепты\МОСКОВСКАЯ КОПЧЕНАЯ домашняя колбаса ГОСТ 1938.mp11</t>
  </si>
  <si>
    <t>Салями Милано</t>
  </si>
  <si>
    <t>D:\Video\Колбаса_рецепты\Салями Милано со стартовыми культурами.mp4</t>
  </si>
  <si>
    <t>D:\Video\Колбаса_рецепты\Салями Милано со стартовыми культурами.mp5</t>
  </si>
  <si>
    <t>D:\Video\Колбаса_рецепты\Салями Милано со стартовыми культурами.mp6</t>
  </si>
  <si>
    <t>D:\Video\Колбаса_рецепты\Салями Милано со стартовыми культурами.mp7</t>
  </si>
  <si>
    <t>D:\Video\Колбаса_рецепты\Салями Милано со стартовыми культурами.mp8</t>
  </si>
  <si>
    <t>D:\Video\Колбаса_рецепты\Салями Милано со стартовыми культурами.mp9</t>
  </si>
  <si>
    <t>D:\Video\Колбаса_рецепты\Салями Милано со стартовыми культурами.mp10</t>
  </si>
  <si>
    <t>D:\Video\Колбаса_рецепты\Салями Милано со стартовыми культурами.mp11</t>
  </si>
  <si>
    <t>D:\Video\Колбаса_рецепты\Салями Милано со стартовыми культурами.mp12</t>
  </si>
  <si>
    <t>D:\Video\Колбаса_рецепты\Салями Милано со стартовыми культурами.mp13</t>
  </si>
  <si>
    <t>D:\Video\Колбаса_рецепты\Салями Милано со стартовыми культурами.mp14</t>
  </si>
  <si>
    <t>Сельдь пряная</t>
  </si>
  <si>
    <t>D:\Video\Колбаса_рецепты\Сельдь пряного посола. Рецептура для рассола. Отделение филе от костей.mp4</t>
  </si>
  <si>
    <t>D:\Video\Колбаса_рецепты\Сельдь пряного посола. Рецептура для рассола. Отделение филе от костей.mp5</t>
  </si>
  <si>
    <t>D:\Video\Колбаса_рецепты\Сельдь пряного посола. Рецептура для рассола. Отделение филе от костей.mp6</t>
  </si>
  <si>
    <t>D:\Video\Колбаса_рецепты\Сельдь пряного посола. Рецептура для рассола. Отделение филе от костей.mp7</t>
  </si>
  <si>
    <t>D:\Video\Колбаса_рецепты\Сельдь пряного посола. Рецептура для рассола. Отделение филе от костей.mp8</t>
  </si>
  <si>
    <t>D:\Video\Колбаса_рецепты\Сельдь пряного посола. Рецептура для рассола. Отделение филе от костей.mp9</t>
  </si>
  <si>
    <t>D:\Video\Колбаса_рецепты\Сельдь пряного посола. Рецептура для рассола. Отделение филе от костей.mp10</t>
  </si>
  <si>
    <t>D:\Video\Колбаса_рецепты\Сельдь пряного посола. Рецептура для рассола. Отделение филе от костей.mp11</t>
  </si>
  <si>
    <t>D:\Video\Колбаса_рецепты\Сельдь пряного посола. Рецептура для рассола. Отделение филе от костей.mp12</t>
  </si>
  <si>
    <t>D:\Video\Колбаса_рецепты\Сельдь пряного посола. Рецептура для рассола. Отделение филе от костей.mp13</t>
  </si>
  <si>
    <t>D:\Video\Колбаса_рецепты\Сельдь пряного посола. Рецептура для рассола. Отделение филе от костей.mp14</t>
  </si>
  <si>
    <t>D:\Video\Колбаса_рецепты\Сельдь пряного посола. Рецептура для рассола. Отделение филе от костей.mp15</t>
  </si>
  <si>
    <t>D:\Video\Колбаса_рецепты\Сельдь пряного посола. Рецептура для рассола. Отделение филе от костей.mp16</t>
  </si>
  <si>
    <t>Языковая кровяная</t>
  </si>
  <si>
    <t>САМАЯ ВКУСНАЯ КРОВЯНКА - Языковая кровяная колбаса! РОЗЫГРЫШ ПРИЗОВ. - YouTube</t>
  </si>
  <si>
    <t>D:\Video\Колбаса_рецепты\САМАЯ ВКУСНАЯ КРОВЯНКА - Языковая кровяная колбаса! РОЗЫГРЫШ ПРИЗОВ.mp4</t>
  </si>
  <si>
    <t>D:\Video\Колбаса_рецепты\САМАЯ ВКУСНАЯ КРОВЯНКА - Языковая кровяная колбаса! РОЗЫГРЫШ ПРИЗОВ.mp5</t>
  </si>
  <si>
    <t>D:\Video\Колбаса_рецепты\САМАЯ ВКУСНАЯ КРОВЯНКА - Языковая кровяная колбаса! РОЗЫГРЫШ ПРИЗОВ.mp6</t>
  </si>
  <si>
    <t>D:\Video\Колбаса_рецепты\САМАЯ ВКУСНАЯ КРОВЯНКА - Языковая кровяная колбаса! РОЗЫГРЫШ ПРИЗОВ.mp7</t>
  </si>
  <si>
    <t>D:\Video\Колбаса_рецепты\САМАЯ ВКУСНАЯ КРОВЯНКА - Языковая кровяная колбаса! РОЗЫГРЫШ ПРИЗОВ.mp8</t>
  </si>
  <si>
    <t>D:\Video\Колбаса_рецепты\САМАЯ ВКУСНАЯ КРОВЯНКА - Языковая кровяная колбаса! РОЗЫГРЫШ ПРИЗОВ.mp9</t>
  </si>
  <si>
    <t>D:\Video\Колбаса_рецепты\САМАЯ ВКУСНАЯ КРОВЯНКА - Языковая кровяная колбаса! РОЗЫГРЫШ ПРИЗОВ.mp10</t>
  </si>
  <si>
    <t>D:\Video\Колбаса_рецепты\САМАЯ ВКУСНАЯ КРОВЯНКА - Языковая кровяная колбаса! РОЗЫГРЫШ ПРИЗОВ.mp11</t>
  </si>
  <si>
    <t>D:\Video\Колбаса_рецепты\САМАЯ ВКУСНАЯ КРОВЯНКА - Языковая кровяная колбаса! РОЗЫГРЫШ ПРИЗОВ.mp12</t>
  </si>
  <si>
    <t>D:\Video\Колбаса_рецепты\САМАЯ ВКУСНАЯ КРОВЯНКА - Языковая кровяная колбаса! РОЗЫГРЫШ ПРИЗОВ.mp13</t>
  </si>
  <si>
    <t>D:\Video\Колбаса_рецепты\САМАЯ ВКУСНАЯ КРОВЯНКА - Языковая кровяная колбаса! РОЗЫГРЫШ ПРИЗОВ.mp14</t>
  </si>
  <si>
    <t>D:\Video\Колбаса_рецепты\САМАЯ ВКУСНАЯ КРОВЯНКА - Языковая кровяная колбаса! РОЗЫГРЫШ ПРИЗОВ.mp15</t>
  </si>
  <si>
    <t>D:\Video\Колбаса_рецепты\САМАЯ ВКУСНАЯ КРОВЯНКА - Языковая кровяная колбаса! РОЗЫГРЫШ ПРИЗОВ.mp16</t>
  </si>
  <si>
    <t>Ветчинно-рубленная</t>
  </si>
  <si>
    <t>ВЕТЧИННО-РУБЛЕНАЯ вареная домашняя. ГОСТ СССР - YouTube</t>
  </si>
  <si>
    <t>D:\Video\Колбаса_рецепты\ВЕТЧИННО-РУБЛЕНАЯ вареная домашняя. ГОСТ СССР.mp4</t>
  </si>
  <si>
    <t xml:space="preserve">Любительская </t>
  </si>
  <si>
    <t>ЛЮБИТЕЛЬСКАЯ КОЛБАСА домашняя, СОВЕТСКИЙ ГОСТ (youtube.com)</t>
  </si>
  <si>
    <t>D:\Video\Колбаса_рецепты\ЛЮБИТЕЛЬСКАЯ КОЛБАСА домашняя, СОВЕТСКИЙ ГОСТ.mp4</t>
  </si>
  <si>
    <t>D:\Video\Колбаса_рецепты\ЛЮБИТЕЛЬСКАЯ КОЛБАСА домашняя, СОВЕТСКИЙ ГОСТ.mp5</t>
  </si>
  <si>
    <t>D:\Video\Колбаса_рецепты\ЛЮБИТЕЛЬСКАЯ КОЛБАСА домашняя, СОВЕТСКИЙ ГОСТ.mp6</t>
  </si>
  <si>
    <t>D:\Video\Колбаса_рецепты\ЛЮБИТЕЛЬСКАЯ КОЛБАСА домашняя, СОВЕТСКИЙ ГОСТ.mp7</t>
  </si>
  <si>
    <t>D:\Video\Колбаса_рецепты\ЛЮБИТЕЛЬСКАЯ КОЛБАСА домашняя, СОВЕТСКИЙ ГОСТ.mp8</t>
  </si>
  <si>
    <t>D:\Video\Колбаса_рецепты\ЛЮБИТЕЛЬСКАЯ КОЛБАСА домашняя, СОВЕТСКИЙ ГОСТ.mp9</t>
  </si>
  <si>
    <t>D:\Video\Колбаса_рецепты\ЛЮБИТЕЛЬСКАЯ КОЛБАСА домашняя, СОВЕТСКИЙ ГОСТ.mp10</t>
  </si>
  <si>
    <t>D:\Video\Колбаса_рецепты\ЛЮБИТЕЛЬСКАЯ КОЛБАСА домашняя, СОВЕТСКИЙ ГОСТ.mp11</t>
  </si>
  <si>
    <t>D:\Video\Колбаса_рецепты\ЛЮБИТЕЛЬСКАЯ КОЛБАСА домашняя, СОВЕТСКИЙ ГОСТ.mp12</t>
  </si>
  <si>
    <t>D:\Video\Колбаса_рецепты\ЛЮБИТЕЛЬСКАЯ КОЛБАСА домашняя, СОВЕТСКИЙ ГОСТ.mp13</t>
  </si>
  <si>
    <t>D:\Video\Колбаса_рецепты\ЛЮБИТЕЛЬСКАЯ КОЛБАСА домашняя, СОВЕТСКИЙ ГОСТ.mp14</t>
  </si>
  <si>
    <t>Ветчина Мраморная</t>
  </si>
  <si>
    <t>ВЕТЧИНА МРАМОРНАЯ НАСТОЯЩАЯ в домашних условиях (youtube.com)</t>
  </si>
  <si>
    <t>D:\Video\Колбаса_рецепты\ВЕТЧИНА МРАМОРНАЯ НАСТОЯЩАЯ в домашних условиях.mp4</t>
  </si>
  <si>
    <t>D:\Video\Колбаса_рецепты\ВЕТЧИНА МРАМОРНАЯ НАСТОЯЩАЯ в домашних условиях.mp5</t>
  </si>
  <si>
    <t>D:\Video\Колбаса_рецепты\ВЕТЧИНА МРАМОРНАЯ НАСТОЯЩАЯ в домашних условиях.mp6</t>
  </si>
  <si>
    <t>D:\Video\Колбаса_рецепты\ВЕТЧИНА МРАМОРНАЯ НАСТОЯЩАЯ в домашних условиях.mp7</t>
  </si>
  <si>
    <t>D:\Video\Колбаса_рецепты\ВЕТЧИНА МРАМОРНАЯ НАСТОЯЩАЯ в домашних условиях.mp8</t>
  </si>
  <si>
    <t>D:\Video\Колбаса_рецепты\ВЕТЧИНА МРАМОРНАЯ НАСТОЯЩАЯ в домашних условиях.mp9</t>
  </si>
  <si>
    <t>D:\Video\Колбаса_рецепты\ВЕТЧИНА МРАМОРНАЯ НАСТОЯЩАЯ в домашних условиях.mp10</t>
  </si>
  <si>
    <t>D:\Video\Колбаса_рецепты\ВЕТЧИНА МРАМОРНАЯ НАСТОЯЩАЯ в домашних условиях.mp11</t>
  </si>
  <si>
    <t>D:\Video\Колбаса_рецепты\ВЕТЧИНА МРАМОРНАЯ НАСТОЯЩАЯ в домашних условиях.mp12</t>
  </si>
  <si>
    <t>D:\Video\Колбаса_рецепты\ВЕТЧИНА МРАМОРНАЯ НАСТОЯЩАЯ в домашних условиях.mp13</t>
  </si>
  <si>
    <t>D:\Video\Колбаса_рецепты\ВЕТЧИНА МРАМОРНАЯ НАСТОЯЩАЯ в домашних условиях.mp14</t>
  </si>
  <si>
    <t>Фуэт</t>
  </si>
  <si>
    <t>Делаем ФУЭТ — испанская сыровяленая колбаса в плесени. FUET - YouTube</t>
  </si>
  <si>
    <t>D:\Video\Колбаса_рецепты\Делаем ФУЭТ — испанская сыровяленая колбаса в плесени. FUET.mp4</t>
  </si>
  <si>
    <t>D:\Video\Колбаса_рецепты\Делаем ФУЭТ — испанская сыровяленая колбаса в плесени. FUET.mp5</t>
  </si>
  <si>
    <t>D:\Video\Колбаса_рецепты\Делаем ФУЭТ — испанская сыровяленая колбаса в плесени. FUET.mp6</t>
  </si>
  <si>
    <t>D:\Video\Колбаса_рецепты\Делаем ФУЭТ — испанская сыровяленая колбаса в плесени. FUET.mp7</t>
  </si>
  <si>
    <t>D:\Video\Колбаса_рецепты\Делаем ФУЭТ — испанская сыровяленая колбаса в плесени. FUET.mp8</t>
  </si>
  <si>
    <t>D:\Video\Колбаса_рецепты\Делаем ФУЭТ — испанская сыровяленая колбаса в плесени. FUET.mp9</t>
  </si>
  <si>
    <t>D:\Video\Колбаса_рецепты\Делаем ФУЭТ — испанская сыровяленая колбаса в плесени. FUET.mp10</t>
  </si>
  <si>
    <t>D:\Video\Колбаса_рецепты\Делаем ФУЭТ — испанская сыровяленая колбаса в плесени. FUET.mp11</t>
  </si>
  <si>
    <t>D:\Video\Колбаса_рецепты\Делаем ФУЭТ — испанская сыровяленая колбаса в плесени. FUET.mp12</t>
  </si>
  <si>
    <t>Чоризо</t>
  </si>
  <si>
    <t>Испанская колбаса Чоризо в домашних условиях - YouTube</t>
  </si>
  <si>
    <t>D:\Video\Колбаса_рецепты\Испанская колбаса Чоризо в домашних условиях.mp4</t>
  </si>
  <si>
    <t>D:\Video\Колбаса_рецепты\Испанская колбаса Чоризо в домашних условиях.mp5</t>
  </si>
  <si>
    <t>D:\Video\Колбаса_рецепты\Испанская колбаса Чоризо в домашних условиях.mp6</t>
  </si>
  <si>
    <t>D:\Video\Колбаса_рецепты\Испанская колбаса Чоризо в домашних условиях.mp7</t>
  </si>
  <si>
    <t>D:\Video\Колбаса_рецепты\Испанская колбаса Чоризо в домашних условиях.mp8</t>
  </si>
  <si>
    <t>D:\Video\Колбаса_рецепты\Испанская колбаса Чоризо в домашних условиях.mp9</t>
  </si>
  <si>
    <t>D:\Video\Колбаса_рецепты\Испанская колбаса Чоризо в домашних условиях.mp10</t>
  </si>
  <si>
    <t>D:\Video\Колбаса_рецепты\Испанская колбаса Чоризо в домашних условиях.mp11</t>
  </si>
  <si>
    <t>D:\Video\Колбаса_рецепты\Испанская колбаса Чоризо в домашних условиях.mp12</t>
  </si>
  <si>
    <t>Финоккьона</t>
  </si>
  <si>
    <t>Итальянская сыровяленая колбаса Финоккьона в домашних условиях (youtube.com)</t>
  </si>
  <si>
    <t>D:\Video\Колбаса_рецепты\Итальянская сыровяленая колбаса Финоккьона в домашних условиях.mp4</t>
  </si>
  <si>
    <t>D:\Video\Колбаса_рецепты\Итальянская сыровяленая колбаса Финоккьона в домашних условиях.mp5</t>
  </si>
  <si>
    <t>D:\Video\Колбаса_рецепты\Итальянская сыровяленая колбаса Финоккьона в домашних условиях.mp6</t>
  </si>
  <si>
    <t>D:\Video\Колбаса_рецепты\Итальянская сыровяленая колбаса Финоккьона в домашних условиях.mp7</t>
  </si>
  <si>
    <t>D:\Video\Колбаса_рецепты\Итальянская сыровяленая колбаса Финоккьона в домашних условиях.mp8</t>
  </si>
  <si>
    <t>D:\Video\Колбаса_рецепты\Итальянская сыровяленая колбаса Финоккьона в домашних условиях.mp9</t>
  </si>
  <si>
    <t>D:\Video\Колбаса_рецепты\Итальянская сыровяленая колбаса Финоккьона в домашних условиях.mp10</t>
  </si>
  <si>
    <t>D:\Video\Колбаса_рецепты\Итальянская сыровяленая колбаса Финоккьона в домашних условиях.mp11</t>
  </si>
  <si>
    <t>D:\Video\Колбаса_рецепты\Итальянская сыровяленая колбаса Финоккьона в домашних условиях.mp12</t>
  </si>
  <si>
    <t>Сало ГОСТ</t>
  </si>
  <si>
    <t>Лучший рецепт засолки сала!! Готовим по ГОСТу 1938г (youtube.com)</t>
  </si>
  <si>
    <t>D:\Video\Колбаса_рецепты\Лучший рецепт засолки сала!! Готовим по ГОСТу 1938г.mp4</t>
  </si>
  <si>
    <t>D:\Video\Колбаса_рецепты\Лучший рецепт засолки сала!! Готовим по ГОСТу 1938г.mp5</t>
  </si>
  <si>
    <t>D:\Video\Колбаса_рецепты\Лучший рецепт засолки сала!! Готовим по ГОСТу 1938г.mp6</t>
  </si>
  <si>
    <t>D:\Video\Колбаса_рецепты\Лучший рецепт засолки сала!! Готовим по ГОСТу 1938г.mp7</t>
  </si>
  <si>
    <t>D:\Video\Колбаса_рецепты\Лучший рецепт засолки сала!! Готовим по ГОСТу 1938г.mp8</t>
  </si>
  <si>
    <t xml:space="preserve">Краковская </t>
  </si>
  <si>
    <t>Классическая Краковская колбаса полукопченая своими руками - YouTube</t>
  </si>
  <si>
    <t>D:\Video\Колбаса_рецепты\Классическая Краковская колбаса полукопченая своими руками.mp4</t>
  </si>
  <si>
    <t xml:space="preserve">Дрогобычская </t>
  </si>
  <si>
    <t>Очень вкусная домашняя колбаса - Дрогобычская. Просто, дома, своими руками - YouTube</t>
  </si>
  <si>
    <t>D:\Video\Колбаса_рецепты\Очень вкусная домашняя колбаса - Дрогобычская. Просто, дома, своими руками.mp4</t>
  </si>
  <si>
    <t>Ветчина Семейная</t>
  </si>
  <si>
    <t>Ветчина куриная в духовке по семейному рецепту (youtube.com)</t>
  </si>
  <si>
    <t>D:\Video\Колбаса_рецепты\Ветчина куриная в духовке по семейному рецепту.mp4</t>
  </si>
  <si>
    <t>Панчетта Арротолатта</t>
  </si>
  <si>
    <t>Панчетта арротолата - сыровяленный итальянский бекон в ДОМАШНИХ условиях (youtube.com)</t>
  </si>
  <si>
    <t>D:\Video\Колбаса_рецепты\Панчетта арротолата - сыровяленный итальянский бекон в ДОМАШНИХ условиях.mp4</t>
  </si>
  <si>
    <t>Домашняя панчетта. Итальянский бекон, вяленая свиная грудинка. Приготовление панчетты дома. (youtube.com)</t>
  </si>
  <si>
    <t>D:\Video\Колбаса_рецепты\Pancetta Artesanal.mp4</t>
  </si>
  <si>
    <t>D:\Video\Колбаса_рецепты\Pancetta Artesanal.mp5</t>
  </si>
  <si>
    <t>D:\Video\Колбаса_рецепты\Pancetta Artesanal.mp6</t>
  </si>
  <si>
    <t>D:\Video\Колбаса_рецепты\Pancetta Artesanal.mp7</t>
  </si>
  <si>
    <t>D:\Video\Колбаса_рецепты\Pancetta Artesanal.mp8</t>
  </si>
  <si>
    <t>Мортаделла</t>
  </si>
  <si>
    <t>🇮🇹🔥🍽️ Классическая Итальянская МОРТАДЕЛЛА в Духовке! 🍞👨‍🍳👩‍🍳🇮🇹🍖👌 - YouTube</t>
  </si>
  <si>
    <t>D:\Video\Колбаса_рецепты\🇮🇹🔥🍽️ Классическая Итальянская МОРТАДЕЛЛА в Духовке! 🍞👨‍🍳👩‍🍳🇮🇹🍖👌.mp4</t>
  </si>
  <si>
    <t>D:\Video\Колбаса_рецепты\🇮🇹🔥🍽️ Классическая Итальянская МОРТАДЕЛЛА в Духовке! 🍞👨‍🍳👩‍🍳🇮🇹🍖👌.mp5</t>
  </si>
  <si>
    <t>D:\Video\Колбаса_рецепты\🇮🇹🔥🍽️ Классическая Итальянская МОРТАДЕЛЛА в Духовке! 🍞👨‍🍳👩‍🍳🇮🇹🍖👌.mp6</t>
  </si>
  <si>
    <t>D:\Video\Колбаса_рецепты\🇮🇹🔥🍽️ Классическая Итальянская МОРТАДЕЛЛА в Духовке! 🍞👨‍🍳👩‍🍳🇮🇹🍖👌.mp7</t>
  </si>
  <si>
    <t>D:\Video\Колбаса_рецепты\🇮🇹🔥🍽️ Классическая Итальянская МОРТАДЕЛЛА в Духовке! 🍞👨‍🍳👩‍🍳🇮🇹🍖👌.mp8</t>
  </si>
  <si>
    <t>D:\Video\Колбаса_рецепты\🇮🇹🔥🍽️ Классическая Итальянская МОРТАДЕЛЛА в Духовке! 🍞👨‍🍳👩‍🍳🇮🇹🍖👌.mp9</t>
  </si>
  <si>
    <t>D:\Video\Колбаса_рецепты\🇮🇹🔥🍽️ Классическая Итальянская МОРТАДЕЛЛА в Духовке! 🍞👨‍🍳👩‍🍳🇮🇹🍖👌.mp10</t>
  </si>
  <si>
    <t>D:\Video\Колбаса_рецепты\🇮🇹🔥🍽️ Классическая Итальянская МОРТАДЕЛЛА в Духовке! 🍞👨‍🍳👩‍🍳🇮🇹🍖👌.mp11</t>
  </si>
  <si>
    <t>D:\Video\Колбаса_рецепты\🇮🇹🔥🍽️ Классическая Итальянская МОРТАДЕЛЛА в Духовке! 🍞👨‍🍳👩‍🍳🇮🇹🍖👌.mp12</t>
  </si>
  <si>
    <t>D:\Video\Колбаса_рецепты\🇮🇹🔥🍽️ Классическая Итальянская МОРТАДЕЛЛА в Духовке! 🍞👨‍🍳👩‍🍳🇮🇹🍖👌.mp13</t>
  </si>
  <si>
    <t>D:\Video\Колбаса_рецепты\🇮🇹🔥🍽️ Классическая Итальянская МОРТАДЕЛЛА в Духовке! 🍞👨‍🍳👩‍🍳🇮🇹🍖👌.mp14</t>
  </si>
  <si>
    <t>Детские Молочные</t>
  </si>
  <si>
    <t>Сосиски детские молочные БЕЗ НИТРИТНОЙ СОЛИ - YouTube</t>
  </si>
  <si>
    <t>D:\Video\Колбаса_рецепты\Сосиски детские молочные БЕЗ НИТРИТНОЙ СОЛИ.mp4</t>
  </si>
  <si>
    <t>D:\Video\Колбаса_рецепты\Сосиски детские молочные БЕЗ НИТРИТНОЙ СОЛИ.mp5</t>
  </si>
  <si>
    <t>D:\Video\Колбаса_рецепты\Сосиски детские молочные БЕЗ НИТРИТНОЙ СОЛИ.mp6</t>
  </si>
  <si>
    <t>D:\Video\Колбаса_рецепты\Сосиски детские молочные БЕЗ НИТРИТНОЙ СОЛИ.mp7</t>
  </si>
  <si>
    <t>D:\Video\Колбаса_рецепты\Сосиски детские молочные БЕЗ НИТРИТНОЙ СОЛИ.mp8</t>
  </si>
  <si>
    <t>D:\Video\Колбаса_рецепты\Сосиски детские молочные БЕЗ НИТРИТНОЙ СОЛИ.mp9</t>
  </si>
  <si>
    <t>D:\Video\Колбаса_рецепты\Сосиски детские молочные БЕЗ НИТРИТНОЙ СОЛИ.mp10</t>
  </si>
  <si>
    <t>D:\Video\Колбаса_рецепты\Сосиски детские молочные БЕЗ НИТРИТНОЙ СОЛИ.mp11</t>
  </si>
  <si>
    <t>D:\Video\Колбаса_рецепты\Сосиски детские молочные БЕЗ НИТРИТНОЙ СОЛИ.mp12</t>
  </si>
  <si>
    <t>Свиные ребра ГК</t>
  </si>
  <si>
    <t>Корейка ГК</t>
  </si>
  <si>
    <t>Сколько соли нужно для рассола, которым шприцуют мясо. Карбонад (балык) варено-копченый. - YouTube</t>
  </si>
  <si>
    <t>D:\Video\Колбаса_рецепты\Сколько соли нужно для рассола, которым шприцуют мясо. Карбонад (балык) варено-копченый.mp4</t>
  </si>
  <si>
    <t>D:\Video\Колбаса_рецепты\Сколько соли нужно для рассола, которым шприцуют мясо. Карбонад (балык) варено-копченый.mp5</t>
  </si>
  <si>
    <t>D:\Video\Колбаса_рецепты\Сколько соли нужно для рассола, которым шприцуют мясо. Карбонад (балык) варено-копченый.mp6</t>
  </si>
  <si>
    <t>D:\Video\Колбаса_рецепты\Сколько соли нужно для рассола, которым шприцуют мясо. Карбонад (балык) варено-копченый.mp7</t>
  </si>
  <si>
    <t>D:\Video\Колбаса_рецепты\Сколько соли нужно для рассола, которым шприцуют мясо. Карбонад (балык) варено-копченый.mp8</t>
  </si>
  <si>
    <t>Кабаносси</t>
  </si>
  <si>
    <t>Кабаносы (Kabanosy) в домашних условиях - YouTube</t>
  </si>
  <si>
    <t>D:\Video\Колбаса_рецепты\Кабаносы (Kabanosy) в домашних условиях.mp4</t>
  </si>
  <si>
    <t>D:\Video\Колбаса_рецепты\Кабаносы (Kabanosy) в домашних условиях.mp5</t>
  </si>
  <si>
    <t>D:\Video\Колбаса_рецепты\Кабаносы (Kabanosy) в домашних условиях.mp6</t>
  </si>
  <si>
    <t>D:\Video\Колбаса_рецепты\Кабаносы (Kabanosy) в домашних условиях.mp7</t>
  </si>
  <si>
    <t>D:\Video\Колбаса_рецепты\Кабаносы (Kabanosy) в домашних условиях.mp8</t>
  </si>
  <si>
    <t>D:\Video\Колбаса_рецепты\Кабаносы (Kabanosy) в домашних условиях.mp9</t>
  </si>
  <si>
    <t>D:\Video\Колбаса_рецепты\Кабаносы (Kabanosy) в домашних условиях.mp10</t>
  </si>
  <si>
    <t>D:\Video\Колбаса_рецепты\Кабаносы (Kabanosy) в домашних условиях.mp11</t>
  </si>
  <si>
    <t>D:\Video\Колбаса_рецепты\Кабаносы (Kabanosy) в домашних условиях.mp12</t>
  </si>
  <si>
    <t>D:\Video\Колбаса_рецепты\Кабаносы (Kabanosy) в домашних условиях.mp13</t>
  </si>
  <si>
    <t>D:\Video\Колбаса_рецепты\Кабаносы (Kabanosy) в домашних условиях.mp14</t>
  </si>
  <si>
    <t>D:\Video\Колбаса_рецепты\Кабаносы (Kabanosy) в домашних условиях.mp15</t>
  </si>
  <si>
    <t>Хотдожные к пиву</t>
  </si>
  <si>
    <t>Рецепт колбасок из МОЕЙ ХОТДОЖНОЙ в Питере! - YouTube</t>
  </si>
  <si>
    <t>D:\Video\Колбаса_рецепты\Рецепт колбасок из МОЕЙ ХОТДОЖНОЙ в Питере!.mp4</t>
  </si>
  <si>
    <t>D:\Video\Колбаса_рецепты\Рецепт колбасок из МОЕЙ ХОТДОЖНОЙ в Питере!.mp5</t>
  </si>
  <si>
    <t>D:\Video\Колбаса_рецепты\Рецепт колбасок из МОЕЙ ХОТДОЖНОЙ в Питере!.mp6</t>
  </si>
  <si>
    <t>D:\Video\Колбаса_рецепты\Рецепт колбасок из МОЕЙ ХОТДОЖНОЙ в Питере!.mp7</t>
  </si>
  <si>
    <t>D:\Video\Колбаса_рецепты\Рецепт колбасок из МОЕЙ ХОТДОЖНОЙ в Питере!.mp8</t>
  </si>
  <si>
    <t>D:\Video\Колбаса_рецепты\Рецепт колбасок из МОЕЙ ХОТДОЖНОЙ в Питере!.mp9</t>
  </si>
  <si>
    <t>D:\Video\Колбаса_рецепты\Рецепт колбасок из МОЕЙ ХОТДОЖНОЙ в Питере!.mp10</t>
  </si>
  <si>
    <t>D:\Video\Колбаса_рецепты\Рецепт колбасок из МОЕЙ ХОТДОЖНОЙ в Питере!.mp11</t>
  </si>
  <si>
    <t>D:\Video\Колбаса_рецепты\Рецепт колбасок из МОЕЙ ХОТДОЖНОЙ в Питере!.mp12</t>
  </si>
  <si>
    <t>D:\Video\Колбаса_рецепты\Рецепт колбасок из МОЕЙ ХОТДОЖНОЙ в Питере!.mp13</t>
  </si>
  <si>
    <t>D:\Video\Колбаса_рецепты\Рецепт колбасок из МОЕЙ ХОТДОЖНОЙ в Питере!.mp14</t>
  </si>
  <si>
    <t>Крепыш</t>
  </si>
  <si>
    <t>Сосиски Крепыш, без нитритной соли. Сравнение рецептур с фосфатом и цитратом - консистенция и вкус. - YouTube</t>
  </si>
  <si>
    <t>D:\Video\Колбаса_рецепты\Сосиски Крепыш, без нитритной соли. Сравнение рецептур с фосфатом и цитратом - консистенция и вкус.mp4</t>
  </si>
  <si>
    <t>D:\Video\Колбаса_рецепты\Сосиски Крепыш, без нитритной соли. Сравнение рецептур с фосфатом и цитратом - консистенция и вкус.mp5</t>
  </si>
  <si>
    <t>D:\Video\Колбаса_рецепты\Сосиски Крепыш, без нитритной соли. Сравнение рецептур с фосфатом и цитратом - консистенция и вкус.mp6</t>
  </si>
  <si>
    <t>D:\Video\Колбаса_рецепты\Сосиски Крепыш, без нитритной соли. Сравнение рецептур с фосфатом и цитратом - консистенция и вкус.mp7</t>
  </si>
  <si>
    <t>D:\Video\Колбаса_рецепты\Сосиски Крепыш, без нитритной соли. Сравнение рецептур с фосфатом и цитратом - консистенция и вкус.mp8</t>
  </si>
  <si>
    <t>D:\Video\Колбаса_рецепты\Сосиски Крепыш, без нитритной соли. Сравнение рецептур с фосфатом и цитратом - консистенция и вкус.mp9</t>
  </si>
  <si>
    <t>D:\Video\Колбаса_рецепты\Сосиски Крепыш, без нитритной соли. Сравнение рецептур с фосфатом и цитратом - консистенция и вкус.mp10</t>
  </si>
  <si>
    <t>Мортаделла Фисташка</t>
  </si>
  <si>
    <t>РОЗЫГРЫШ и АКЦИЯ. Мортаделла в духовке + рецептура сыровяленой Луканки, вялим в холодильнике - YouTube</t>
  </si>
  <si>
    <t>D:\Video\Колбаса_рецепты\РОЗЫГРЫШ и АКЦИЯ. Мортаделла в духовке + рецептура сыровяленой Луканки, вялим в холодильнике.mp4</t>
  </si>
  <si>
    <t>D:\Video\Колбаса_рецепты\РОЗЫГРЫШ и АКЦИЯ. Мортаделла в духовке + рецептура сыровяленой Луканки, вялим в холодильнике.mp5</t>
  </si>
  <si>
    <t>D:\Video\Колбаса_рецепты\РОЗЫГРЫШ и АКЦИЯ. Мортаделла в духовке + рецептура сыровяленой Луканки, вялим в холодильнике.mp6</t>
  </si>
  <si>
    <t>D:\Video\Колбаса_рецепты\РОЗЫГРЫШ и АКЦИЯ. Мортаделла в духовке + рецептура сыровяленой Луканки, вялим в холодильнике.mp7</t>
  </si>
  <si>
    <t>D:\Video\Колбаса_рецепты\РОЗЫГРЫШ и АКЦИЯ. Мортаделла в духовке + рецептура сыровяленой Луканки, вялим в холодильнике.mp8</t>
  </si>
  <si>
    <t>D:\Video\Колбаса_рецепты\РОЗЫГРЫШ и АКЦИЯ. Мортаделла в духовке + рецептура сыровяленой Луканки, вялим в холодильнике.mp9</t>
  </si>
  <si>
    <t>D:\Video\Колбаса_рецепты\РОЗЫГРЫШ и АКЦИЯ. Мортаделла в духовке + рецептура сыровяленой Луканки, вялим в холодильнике.mp10</t>
  </si>
  <si>
    <t>Луканка</t>
  </si>
  <si>
    <t>Луканка болгарская. Адаптированный рецепт для начинающих. - YouTube</t>
  </si>
  <si>
    <t>D:\Video\Колбаса_рецепты\Луканка болгарская. Адаптированный рецепт для начинающих.mp4</t>
  </si>
  <si>
    <t>D:\Video\Колбаса_рецепты\Луканка болгарская. Адаптированный рецепт для начинающих.mp5</t>
  </si>
  <si>
    <t>D:\Video\Колбаса_рецепты\Луканка болгарская. Адаптированный рецепт для начинающих.mp6</t>
  </si>
  <si>
    <t>D:\Video\Колбаса_рецепты\Луканка болгарская. Адаптированный рецепт для начинающих.mp7</t>
  </si>
  <si>
    <t>D:\Video\Колбаса_рецепты\Луканка болгарская. Адаптированный рецепт для начинающих.mp8</t>
  </si>
  <si>
    <t>D:\Video\Колбаса_рецепты\Луканка болгарская. Адаптированный рецепт для начинающих.mp9</t>
  </si>
  <si>
    <t>D:\Video\Колбаса_рецепты\Луканка болгарская. Адаптированный рецепт для начинающих.mp10</t>
  </si>
  <si>
    <t>Чечил косичка</t>
  </si>
  <si>
    <t>ВСЕГО ДВА ИНГРЕДИЕНТА! КАК ПРИГОТОВИТЬ СЫР КОСИЧКУ (ЧЕЧИЛ) В ДОМАШНИХ УСЛОВИЯХ - YouTube</t>
  </si>
  <si>
    <t>D:\Video\Колбаса_рецепты\ВСЕГО ДВА ИНГРЕДИЕНТА! КАК ПРИГОТОВИТЬ СЫР КОСИЧКУ (ЧЕЧИЛ) В ДОМАШНИХ УСЛОВИЯХ.mp4</t>
  </si>
  <si>
    <t>Панир</t>
  </si>
  <si>
    <t>ДОМАШНИЙ СЫР ПАНИР - рецепт сыра, который можно жарить, как тофу ☆ Как сделать сыр из молока дома? - YouTube</t>
  </si>
  <si>
    <t>D:\Video\Колбаса_рецепты\ДОМАШНИЙ СЫР ПАНИР - рецепт сыра, который можно жарить, как тофу ☆ Как сделать сыр из молока дома_.mp4</t>
  </si>
  <si>
    <t>Щучья</t>
  </si>
  <si>
    <t>Колбаса рыбная (щука) (youtube.com)</t>
  </si>
  <si>
    <t>D:\Video\Колбаса_рецепты\Колбаса рыбная (щука).mp4</t>
  </si>
  <si>
    <t>Зельц</t>
  </si>
  <si>
    <t>Немецкий холодец - Зельц. Как приготовить Зельц правильно. (youtube.com)</t>
  </si>
  <si>
    <t>D:\Video\Колбаса_рецепты\Немецкий холодец - Зельц. Как приготовить Зельц правильно..mp4</t>
  </si>
  <si>
    <t>Немецкий холодец - Зельц. Как приготовить Зельц правильно. - YouTube</t>
  </si>
  <si>
    <t>Куриные сливочные</t>
  </si>
  <si>
    <t>🍗 Сосиски Сливочные Куриные 🌭🔥🥣 Делаем Дома! Просто и Вкусно! 🤤✨ (youtube.com)</t>
  </si>
  <si>
    <t>D:\Video\Колбаса_рецепты\🍗 Сосиски Сливочные Куриные 🌭🔥🥣 Делаем Дома! Просто и Вкусно! 🤤✨.mp4</t>
  </si>
  <si>
    <t>Шашлык свиной</t>
  </si>
  <si>
    <t>как сделать ШАШЛЫК максимально СОЧНЫМ наглядный эксперимент (youtube.com)</t>
  </si>
  <si>
    <t>D:\Video\Колбаса_рецепты\как сделать ШАШЛЫК максимально СОЧНЫМ наглядный эксперимент.mkv</t>
  </si>
  <si>
    <t>Пельмени свин/гов</t>
  </si>
  <si>
    <t>Пельмени домашние классические рецепт фото пошагово и видео - 1000.menu</t>
  </si>
  <si>
    <t>Белый амур вяленый</t>
  </si>
  <si>
    <t>D:\Video\Колбаса_рецепты\БЕЛЫЙ АМУР ,свежий , холодного копчения в коптилтне москит.mkv</t>
  </si>
  <si>
    <t>Сельдь провесная</t>
  </si>
  <si>
    <t>https://www.youtube.com/watch?v=21IM6up08eo</t>
  </si>
  <si>
    <t>D:\Video\Колбаса_рецепты\СЕЛЬДЬ ПРОВЕСНАЯ(скумбрия).mkv</t>
  </si>
  <si>
    <t>Сельдь вяленая "Киперс"</t>
  </si>
  <si>
    <t>https://www.youtube.com/watch?v=i3ucJSd3mXw</t>
  </si>
  <si>
    <t>D:\Video\Колбаса_рецепты\СЕЛЬДЬ ВЯЛЕНАЯ.mkv</t>
  </si>
  <si>
    <t>Скумбрия провесная</t>
  </si>
  <si>
    <t>https://www.youtube.com/watch?v=zrSgFE-1bv8</t>
  </si>
  <si>
    <t>D:\Video\Колбаса_рецепты\СКУМБРИЯ провесная.mkv</t>
  </si>
  <si>
    <t>Суп Э Джо</t>
  </si>
  <si>
    <t>https://ok.ru/video/7956048710222</t>
  </si>
  <si>
    <t>Полтавская</t>
  </si>
  <si>
    <t>https://youtu.be/v_f7e7lrYPs</t>
  </si>
  <si>
    <t>D:\Video\Колбаса_рецепты\Колбаса  ПОЛТАВСКАЯ  в домашних условиях РЕЦЕПТ БОМБИЧЕСКИЙ.mkv</t>
  </si>
  <si>
    <t>Бекон сухой посол</t>
  </si>
  <si>
    <t>https://youtu.be/RRuVvfGx9NM</t>
  </si>
  <si>
    <t>D:\Video\Колбаса_рецепты\Грудинка домашняя сырокопченая.mkv</t>
  </si>
  <si>
    <t>Бекон мокрый посол</t>
  </si>
  <si>
    <t>https://youtu.be/rmGrO4jc7l8</t>
  </si>
  <si>
    <t>D:\Video\Колбаса_рецепты\Бекон сырокопченый. Мягкий. Нежный. Мировой закусон..mkv</t>
  </si>
  <si>
    <t>Рулька</t>
  </si>
  <si>
    <t>https://youtu.be/vLZQk2CnogI</t>
  </si>
  <si>
    <t>D:\Video\Колбаса_рецепты\Вместо колбасы! Рулька варено-копченая  - Подробный рецепт и весь процесс от А до Я.mkv</t>
  </si>
  <si>
    <t>Пеперони</t>
  </si>
  <si>
    <t>https://youtu.be/F2N03CRy5SI</t>
  </si>
  <si>
    <t>Пицца тесто</t>
  </si>
  <si>
    <t>Бешамель</t>
  </si>
  <si>
    <t>https://klopotenko.com/ru/beshamel-prostoj-i-bystryj-retsept/</t>
  </si>
  <si>
    <t>Морковь по-корейски</t>
  </si>
  <si>
    <t>Мясной хлеб</t>
  </si>
  <si>
    <t>https://youtu.be/R24IKFBSIgo</t>
  </si>
  <si>
    <t>D:\Video\Колбаса_рецепты\Мясной хлеб. Просто МЯСНОЙ ХЛЕБ - COOLинарная ПРОпаганда (1080p, h264, youtube).mp4</t>
  </si>
  <si>
    <t>Холодец</t>
  </si>
  <si>
    <t>https://food.ru/recipes/204116-holodec-klassicheskii</t>
  </si>
  <si>
    <t>Форель слабосолёная</t>
  </si>
  <si>
    <t>Блины на молоке</t>
  </si>
  <si>
    <t>Брауншвейгская</t>
  </si>
  <si>
    <t>https://youtu.be/2509npgU6YM</t>
  </si>
  <si>
    <t>Названия строк</t>
  </si>
  <si>
    <t>Вес</t>
  </si>
  <si>
    <t>Общий итог</t>
  </si>
  <si>
    <t>Затраты</t>
  </si>
  <si>
    <t>Наценка</t>
  </si>
  <si>
    <t>Прибыль</t>
  </si>
  <si>
    <t>Цена/кг</t>
  </si>
  <si>
    <t>Дата</t>
  </si>
  <si>
    <t>Масса готов</t>
  </si>
  <si>
    <t>Потери факт</t>
  </si>
  <si>
    <t>Потери прогноз</t>
  </si>
  <si>
    <t>Траты/кг</t>
  </si>
  <si>
    <t>Заработок</t>
  </si>
  <si>
    <t>Цена всего</t>
  </si>
  <si>
    <t>Прим</t>
  </si>
  <si>
    <t>Окорок свин</t>
  </si>
  <si>
    <t>Крылышки</t>
  </si>
  <si>
    <t>Грудка</t>
  </si>
  <si>
    <t>Заказала Наташа кому-то на подарок 7 колбас</t>
  </si>
  <si>
    <t>Грудинка бескостная, либо пашина 1кг
Рассол 800-1000г
Пропорции рассола плотностью 1,087г/см3 из расчета на 1кг
Вода 878мл
Соль нитритная (содержание НН 0,5%) 100г
Соль поваренная 21г
Сахар 50г
Смесь для натирания (из расчета 4% к весу сырья) - 40г
Пропорции смеси:
Соль поваренная 38,8г
Сахар 1,2г
Приготовить рассол. Кусок бекона нашприцевать рассолом из расчета 40-50%  от веса сырья.
Смешать смесь для натирания, кусок натереть со всех сторон, уложить в пакет и убрать на сутки в холодильник при температуре +2…+4 градуса.
Через сутки кусок залить рассолом из расчета 40-50% от веса сырья и оставить на просолку при +2…+4 градусов на 5-7 суток.
Просоленый бекон тщательно промыть прохладной воде, оставить на созревание и сушку на сутки при температуре +10…+12 градусов и влажности 70-75%.
Подсохший бекон прогреть при 35 +/-3 градуса по Цельсию в течение часа, затем коптить дымом деревьев лиственных пород (дуб, ольха, бук, яблоня, и т.п.).
При использовании пассивного дымогенератора копчение 10-12 часов, затем 10-24 часа отдыха, затем 10-12 часов повторного копчения.
При использовании дымогенератора с нагнетанием дыма время копчения сократить до 1-3 часов за цикл, время отдыха оставить таким же.
Прокопченый бекон проветрить в течение 12-24 часов, затем оставить на завяливание при температуре +12..+14 градусов и влажности 75 +/-3% на 10-15 суток.</t>
  </si>
  <si>
    <t>Примечание</t>
  </si>
  <si>
    <t>Грудинка свиная б/к с/ш, собственное производство - купить онлайн с доставкой по цене 429.99 в интернет-магазине ЕВРОПА</t>
  </si>
  <si>
    <t>Венские</t>
  </si>
  <si>
    <t>Лук сушеный</t>
  </si>
  <si>
    <t>Луковый порошок (сушеный молотый лук) ПРЕМИУМ купить на OZON по низкой цене (768326092)</t>
  </si>
  <si>
    <t>ОПТ - Баранья черева, калибр 22/24 мм, 91,44 м (пучок) - купить по цене от 1880 руб. в интернет-магазине ЕМКОЛБАСКИ!</t>
  </si>
  <si>
    <t>https://www.youtube.com/watch?v=PwFXCb96LRQ&amp;t=445s</t>
  </si>
  <si>
    <t>Имбирь молотый сушеный натуральный 1 кг купить на OZON по низкой цене (886931793)</t>
  </si>
  <si>
    <t>Баранья черева 22/24</t>
  </si>
  <si>
    <t>https://www.youtube.com/watch?v=RcLAgLhXOwU</t>
  </si>
  <si>
    <t>https://www.youtube.com/watch?v=VLTAbx7vvAo</t>
  </si>
  <si>
    <t>https://www.youtube.com/watch?v=m5Jg6Oz8stE</t>
  </si>
  <si>
    <t>https://www.youtube.com/watch?v=NcF15xTHz-U</t>
  </si>
  <si>
    <t>https://www.youtube.com/watch?v=Ci5-qEbJGXQ</t>
  </si>
  <si>
    <t>Плов казан</t>
  </si>
  <si>
    <t>Рис круглозерновой</t>
  </si>
  <si>
    <t>Гусь</t>
  </si>
  <si>
    <t>Чеснок свежий</t>
  </si>
  <si>
    <t>Барбарис</t>
  </si>
  <si>
    <t>Изюм</t>
  </si>
  <si>
    <t>Чернослив</t>
  </si>
  <si>
    <t>Нут</t>
  </si>
  <si>
    <t>Нут агро-альянс 450 г экстра - купить онлайн с доставкой по цене 99 в интернет-магазине ЕВРОПА</t>
  </si>
  <si>
    <t>Чернослив сушеный 1 кг, натуральный без косточки Dattie купить на OZON по низкой цене (979081263)</t>
  </si>
  <si>
    <t>Изюм Малаяр (Иран) 1000г без косточек / 1 кг ГРИНФУДС купить на OZON по низкой цене (1316030719)</t>
  </si>
  <si>
    <t>Барбарис сушеный HOBBYHELPER красный банка 100г купить на OZON по низкой цене (1323184020)</t>
  </si>
  <si>
    <t>Чеснок молодой вес - купить онлайн с доставкой по цене 499.99 в интернет-магазине ЕВРОПА</t>
  </si>
  <si>
    <t>Дрогобычская</t>
  </si>
  <si>
    <t>Краковская</t>
  </si>
  <si>
    <t>Любительская</t>
  </si>
  <si>
    <t>Пирожки тесто</t>
  </si>
  <si>
    <t>https://youtu.be/dqZj1rANEhA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</si>
</sst>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₽&quot;_-;\-* #,##0.00\ &quot;₽&quot;_-;_-* &quot;-&quot;??\ &quot;₽&quot;_-;_-@_-"/>
    <numFmt numFmtId="164" formatCode="#,##0.00\ &quot;₽&quot;"/>
    <numFmt numFmtId="165" formatCode="0&quot; г&quot;"/>
    <numFmt numFmtId="166" formatCode="0.00&quot; г&quot;"/>
    <numFmt numFmtId="167" formatCode="#,##0\ &quot;₽&quot;"/>
    <numFmt numFmtId="168" formatCode="0.00&quot; кг&quot;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6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77">
    <xf numFmtId="0" fontId="0" fillId="0" borderId="0" xfId="0"/>
    <xf numFmtId="0" fontId="0" fillId="2" borderId="0" xfId="0" applyFill="1"/>
    <xf numFmtId="0" fontId="0" fillId="2" borderId="1" xfId="0" applyFill="1" applyBorder="1"/>
    <xf numFmtId="0" fontId="7" fillId="0" borderId="0" xfId="0" applyFont="1"/>
    <xf numFmtId="164" fontId="0" fillId="0" borderId="0" xfId="0" applyNumberFormat="1"/>
    <xf numFmtId="9" fontId="0" fillId="0" borderId="0" xfId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3" borderId="0" xfId="0" applyFill="1"/>
    <xf numFmtId="2" fontId="0" fillId="3" borderId="0" xfId="0" applyNumberFormat="1" applyFill="1"/>
    <xf numFmtId="164" fontId="0" fillId="3" borderId="0" xfId="0" applyNumberFormat="1" applyFill="1"/>
    <xf numFmtId="166" fontId="0" fillId="3" borderId="0" xfId="0" applyNumberFormat="1" applyFill="1"/>
    <xf numFmtId="9" fontId="0" fillId="3" borderId="0" xfId="1" applyFont="1" applyFill="1"/>
    <xf numFmtId="166" fontId="11" fillId="4" borderId="0" xfId="0" applyNumberFormat="1" applyFont="1" applyFill="1"/>
    <xf numFmtId="0" fontId="12" fillId="0" borderId="0" xfId="0" applyFont="1"/>
    <xf numFmtId="166" fontId="13" fillId="4" borderId="0" xfId="0" applyNumberFormat="1" applyFont="1" applyFill="1" applyAlignment="1">
      <alignment horizontal="center"/>
    </xf>
    <xf numFmtId="0" fontId="0" fillId="4" borderId="0" xfId="0" applyFill="1"/>
    <xf numFmtId="166" fontId="16" fillId="3" borderId="0" xfId="0" applyNumberFormat="1" applyFont="1" applyFill="1" applyAlignment="1">
      <alignment horizontal="center"/>
    </xf>
    <xf numFmtId="14" fontId="0" fillId="0" borderId="0" xfId="0" applyNumberFormat="1"/>
    <xf numFmtId="0" fontId="17" fillId="0" borderId="0" xfId="0" applyFont="1" applyAlignment="1">
      <alignment wrapText="1"/>
    </xf>
    <xf numFmtId="9" fontId="17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18" fillId="0" borderId="0" xfId="2"/>
    <xf numFmtId="0" fontId="19" fillId="0" borderId="0" xfId="2" applyFont="1"/>
    <xf numFmtId="0" fontId="11" fillId="0" borderId="0" xfId="2" applyFont="1"/>
    <xf numFmtId="44" fontId="0" fillId="0" borderId="0" xfId="3" applyFont="1"/>
    <xf numFmtId="0" fontId="20" fillId="0" borderId="0" xfId="0" applyFont="1"/>
    <xf numFmtId="0" fontId="21" fillId="0" borderId="0" xfId="0" applyFont="1" applyAlignment="1">
      <alignment horizontal="center"/>
    </xf>
    <xf numFmtId="166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/>
    <xf numFmtId="164" fontId="0" fillId="4" borderId="0" xfId="0" applyNumberFormat="1" applyFill="1"/>
    <xf numFmtId="164" fontId="17" fillId="0" borderId="0" xfId="0" applyNumberFormat="1" applyFont="1" applyAlignment="1">
      <alignment wrapText="1"/>
    </xf>
    <xf numFmtId="165" fontId="17" fillId="0" borderId="0" xfId="0" applyNumberFormat="1" applyFont="1" applyAlignment="1">
      <alignment wrapText="1"/>
    </xf>
    <xf numFmtId="0" fontId="5" fillId="0" borderId="0" xfId="0" applyFont="1"/>
    <xf numFmtId="9" fontId="5" fillId="0" borderId="0" xfId="1" applyFont="1"/>
    <xf numFmtId="166" fontId="5" fillId="0" borderId="0" xfId="0" applyNumberFormat="1" applyFont="1"/>
    <xf numFmtId="164" fontId="5" fillId="0" borderId="0" xfId="0" applyNumberFormat="1" applyFont="1"/>
    <xf numFmtId="0" fontId="5" fillId="4" borderId="0" xfId="0" applyFont="1" applyFill="1"/>
    <xf numFmtId="164" fontId="22" fillId="0" borderId="0" xfId="0" applyNumberFormat="1" applyFont="1" applyAlignment="1">
      <alignment horizontal="center"/>
    </xf>
    <xf numFmtId="166" fontId="24" fillId="5" borderId="0" xfId="0" applyNumberFormat="1" applyFont="1" applyFill="1" applyAlignment="1">
      <alignment horizontal="center" vertical="center"/>
    </xf>
    <xf numFmtId="168" fontId="24" fillId="5" borderId="0" xfId="0" applyNumberFormat="1" applyFont="1" applyFill="1" applyAlignment="1">
      <alignment horizontal="center" vertical="center"/>
    </xf>
    <xf numFmtId="164" fontId="24" fillId="5" borderId="0" xfId="0" applyNumberFormat="1" applyFont="1" applyFill="1"/>
    <xf numFmtId="9" fontId="5" fillId="0" borderId="0" xfId="0" applyNumberFormat="1" applyFont="1"/>
    <xf numFmtId="2" fontId="5" fillId="0" borderId="0" xfId="0" applyNumberFormat="1" applyFont="1"/>
    <xf numFmtId="9" fontId="5" fillId="4" borderId="0" xfId="1" applyFont="1" applyFill="1"/>
    <xf numFmtId="0" fontId="4" fillId="4" borderId="0" xfId="0" applyFont="1" applyFill="1"/>
    <xf numFmtId="164" fontId="0" fillId="0" borderId="0" xfId="1" applyNumberFormat="1" applyFont="1"/>
    <xf numFmtId="0" fontId="24" fillId="5" borderId="0" xfId="0" applyFont="1" applyFill="1" applyAlignment="1">
      <alignment horizontal="left" vertical="center"/>
    </xf>
    <xf numFmtId="0" fontId="3" fillId="0" borderId="0" xfId="0" applyFont="1"/>
    <xf numFmtId="9" fontId="3" fillId="0" borderId="0" xfId="1" applyFont="1"/>
    <xf numFmtId="166" fontId="3" fillId="0" borderId="0" xfId="0" applyNumberFormat="1" applyFont="1"/>
    <xf numFmtId="164" fontId="3" fillId="0" borderId="0" xfId="0" applyNumberFormat="1" applyFont="1"/>
    <xf numFmtId="0" fontId="3" fillId="4" borderId="0" xfId="0" applyFont="1" applyFill="1"/>
    <xf numFmtId="10" fontId="0" fillId="3" borderId="0" xfId="0" applyNumberFormat="1" applyFill="1"/>
    <xf numFmtId="10" fontId="5" fillId="0" borderId="0" xfId="0" applyNumberFormat="1" applyFont="1"/>
    <xf numFmtId="10" fontId="5" fillId="0" borderId="0" xfId="1" applyNumberFormat="1" applyFont="1"/>
    <xf numFmtId="10" fontId="3" fillId="0" borderId="0" xfId="1" applyNumberFormat="1" applyFont="1"/>
    <xf numFmtId="0" fontId="2" fillId="0" borderId="0" xfId="0" applyFont="1"/>
    <xf numFmtId="9" fontId="2" fillId="0" borderId="0" xfId="1" applyFont="1"/>
    <xf numFmtId="10" fontId="2" fillId="0" borderId="0" xfId="1" applyNumberFormat="1" applyFont="1"/>
    <xf numFmtId="166" fontId="2" fillId="0" borderId="0" xfId="0" applyNumberFormat="1" applyFont="1"/>
    <xf numFmtId="164" fontId="2" fillId="0" borderId="0" xfId="0" applyNumberFormat="1" applyFont="1"/>
    <xf numFmtId="0" fontId="2" fillId="4" borderId="0" xfId="0" applyFont="1" applyFill="1"/>
    <xf numFmtId="0" fontId="1" fillId="0" borderId="0" xfId="0" applyFont="1"/>
    <xf numFmtId="9" fontId="1" fillId="0" borderId="0" xfId="1" applyFont="1"/>
    <xf numFmtId="10" fontId="1" fillId="0" borderId="0" xfId="1" applyNumberFormat="1" applyFont="1"/>
    <xf numFmtId="166" fontId="1" fillId="0" borderId="0" xfId="0" applyNumberFormat="1" applyFont="1"/>
    <xf numFmtId="164" fontId="1" fillId="0" borderId="0" xfId="0" applyNumberFormat="1" applyFont="1"/>
    <xf numFmtId="0" fontId="1" fillId="4" borderId="0" xfId="0" applyFont="1" applyFill="1"/>
    <xf numFmtId="0" fontId="18" fillId="0" borderId="0" xfId="4"/>
  </cellXfs>
  <cellStyles count="5">
    <cellStyle name="Hyperlink" xfId="4" xr:uid="{00000000-000B-0000-0000-000008000000}"/>
    <cellStyle name="Гиперссылка" xfId="2" builtinId="8"/>
    <cellStyle name="Денежный" xfId="3" builtinId="4"/>
    <cellStyle name="Обычный" xfId="0" builtinId="0"/>
    <cellStyle name="Процентный" xfId="1" builtinId="5"/>
  </cellStyles>
  <dxfs count="62">
    <dxf>
      <fill>
        <patternFill>
          <bgColor rgb="FF00B0F0"/>
        </patternFill>
      </fill>
    </dxf>
    <dxf>
      <numFmt numFmtId="167" formatCode="#,##0\ &quot;₽&quot;"/>
    </dxf>
    <dxf>
      <numFmt numFmtId="167" formatCode="#,##0\ &quot;₽&quot;"/>
    </dxf>
    <dxf>
      <numFmt numFmtId="167" formatCode="#,##0\ &quot;₽&quot;"/>
    </dxf>
    <dxf>
      <numFmt numFmtId="167" formatCode="#,##0\ &quot;₽&quot;"/>
    </dxf>
    <dxf>
      <numFmt numFmtId="167" formatCode="#,##0\ &quot;₽&quot;"/>
    </dxf>
    <dxf>
      <numFmt numFmtId="167" formatCode="#,##0\ &quot;₽&quot;"/>
    </dxf>
    <dxf>
      <numFmt numFmtId="167" formatCode="#,##0\ &quot;₽&quot;"/>
    </dxf>
    <dxf>
      <numFmt numFmtId="167" formatCode="#,##0\ &quot;₽&quot;"/>
    </dxf>
    <dxf>
      <numFmt numFmtId="14" formatCode="0.00%"/>
    </dxf>
    <dxf>
      <numFmt numFmtId="13" formatCode="0%"/>
    </dxf>
    <dxf>
      <numFmt numFmtId="164" formatCode="#,##0.00\ &quot;₽&quot;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13" formatCode="0%"/>
    </dxf>
    <dxf>
      <numFmt numFmtId="13" formatCode="0%"/>
    </dxf>
    <dxf>
      <numFmt numFmtId="165" formatCode="0&quot; г&quot;"/>
    </dxf>
    <dxf>
      <numFmt numFmtId="165" formatCode="0&quot; г&quot;"/>
    </dxf>
    <dxf>
      <numFmt numFmtId="165" formatCode="0&quot; г&quot;"/>
    </dxf>
    <dxf>
      <numFmt numFmtId="165" formatCode="0&quot; г&quot;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general" vertical="bottom" textRotation="0" wrapText="1" indent="0" justifyLastLine="0" shrinkToFit="0" readingOrder="0"/>
    </dxf>
    <dxf>
      <numFmt numFmtId="166" formatCode="0.00&quot; г&quot;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64" formatCode="#,##0.00\ &quot;₽&quot;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64" formatCode="#,##0.00\ &quot;₽&quot;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3" formatCode="0%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3" formatCode="0%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64" formatCode="#,##0.00\ &quot;₽&quot;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66" formatCode="0.00&quot; г&quot;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66" formatCode="0.00&quot; г&quot;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64" formatCode="#,##0.00\ &quot;₽&quot;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66" formatCode="0.00&quot; г&quot;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3" formatCode="0%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charset val="204"/>
        <scheme val="minor"/>
      </font>
    </dxf>
    <dxf>
      <numFmt numFmtId="14" formatCode="0.00%"/>
    </dxf>
    <dxf>
      <numFmt numFmtId="14" formatCode="0.00%"/>
    </dxf>
    <dxf>
      <numFmt numFmtId="164" formatCode="#,##0.00\ &quot;₽&quot;"/>
    </dxf>
    <dxf>
      <numFmt numFmtId="164" formatCode="#,##0.00\ &quot;₽&quot;"/>
    </dxf>
    <dxf>
      <numFmt numFmtId="165" formatCode="0&quot; г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  <dxf>
      <numFmt numFmtId="164" formatCode="#,##0.00\ &quot;₽&quot;"/>
    </dxf>
    <dxf>
      <numFmt numFmtId="164" formatCode="#,##0.00\ &quot;₽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1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microsoft.com/office/2007/relationships/slicerCache" Target="slicerCaches/slicerCache1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23" Type="http://schemas.openxmlformats.org/officeDocument/2006/relationships/connections" Target="connections.xml"/><Relationship Id="rId28" Type="http://schemas.microsoft.com/office/2017/10/relationships/person" Target="persons/person.xml"/><Relationship Id="rId10" Type="http://schemas.openxmlformats.org/officeDocument/2006/relationships/pivotCacheDefinition" Target="pivotCache/pivotCacheDefinition3.xml"/><Relationship Id="rId19" Type="http://schemas.microsoft.com/office/2007/relationships/slicerCache" Target="slicerCaches/slicerCache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4.xml"/><Relationship Id="rId22" Type="http://schemas.openxmlformats.org/officeDocument/2006/relationships/theme" Target="theme/theme1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581025</xdr:colOff>
      <xdr:row>1</xdr:row>
      <xdr:rowOff>0</xdr:rowOff>
    </xdr:from>
    <xdr:to>
      <xdr:col>17</xdr:col>
      <xdr:colOff>581025</xdr:colOff>
      <xdr:row>17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Где покупать">
              <a:extLst>
                <a:ext uri="{FF2B5EF4-FFF2-40B4-BE49-F238E27FC236}">
                  <a16:creationId xmlns:a16="http://schemas.microsoft.com/office/drawing/2014/main" id="{6DF2D3BA-3296-4CFD-47F9-9C9CF951E8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де покупать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65080" y="182880"/>
              <a:ext cx="1828800" cy="2926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581025</xdr:colOff>
      <xdr:row>1</xdr:row>
      <xdr:rowOff>0</xdr:rowOff>
    </xdr:from>
    <xdr:to>
      <xdr:col>14</xdr:col>
      <xdr:colOff>581025</xdr:colOff>
      <xdr:row>8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Наличие">
              <a:extLst>
                <a:ext uri="{FF2B5EF4-FFF2-40B4-BE49-F238E27FC236}">
                  <a16:creationId xmlns:a16="http://schemas.microsoft.com/office/drawing/2014/main" id="{949DF0DB-A0F1-78B0-032F-AF27E1C929C8}"/>
                </a:ext>
                <a:ext uri="{147F2762-F138-4A5C-976F-8EAC2B608ADB}">
                  <a16:predDERef xmlns:a16="http://schemas.microsoft.com/office/drawing/2014/main" pred="{6DF2D3BA-3296-4CFD-47F9-9C9CF951E8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личие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26680" y="182880"/>
              <a:ext cx="2438400" cy="1280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581025</xdr:colOff>
      <xdr:row>8</xdr:row>
      <xdr:rowOff>0</xdr:rowOff>
    </xdr:from>
    <xdr:to>
      <xdr:col>14</xdr:col>
      <xdr:colOff>581025</xdr:colOff>
      <xdr:row>17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Сырье">
              <a:extLst>
                <a:ext uri="{FF2B5EF4-FFF2-40B4-BE49-F238E27FC236}">
                  <a16:creationId xmlns:a16="http://schemas.microsoft.com/office/drawing/2014/main" id="{6D1BCFF8-F506-B3D4-2F39-07A1036FCB03}"/>
                </a:ext>
                <a:ext uri="{147F2762-F138-4A5C-976F-8EAC2B608ADB}">
                  <a16:predDERef xmlns:a16="http://schemas.microsoft.com/office/drawing/2014/main" pred="{949DF0DB-A0F1-78B0-032F-AF27E1C929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ырье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26680" y="1463040"/>
              <a:ext cx="2438400" cy="1645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2034540</xdr:colOff>
      <xdr:row>0</xdr:row>
      <xdr:rowOff>7619</xdr:rowOff>
    </xdr:from>
    <xdr:to>
      <xdr:col>18</xdr:col>
      <xdr:colOff>0</xdr:colOff>
      <xdr:row>8</xdr:row>
      <xdr:rowOff>181050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Название 1">
              <a:extLst>
                <a:ext uri="{FF2B5EF4-FFF2-40B4-BE49-F238E27FC236}">
                  <a16:creationId xmlns:a16="http://schemas.microsoft.com/office/drawing/2014/main" id="{E37BC482-A534-0607-D16E-B9A4C3FC12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2060" y="7619"/>
              <a:ext cx="7741920" cy="18803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9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Вид 2">
              <a:extLst>
                <a:ext uri="{FF2B5EF4-FFF2-40B4-BE49-F238E27FC236}">
                  <a16:creationId xmlns:a16="http://schemas.microsoft.com/office/drawing/2014/main" id="{827F0D01-0D43-A3C6-2F73-4D365B6432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Вид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26720"/>
              <a:ext cx="1478280" cy="1463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0</xdr:row>
      <xdr:rowOff>0</xdr:rowOff>
    </xdr:from>
    <xdr:to>
      <xdr:col>3</xdr:col>
      <xdr:colOff>2040068</xdr:colOff>
      <xdr:row>9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Способ 1">
              <a:extLst>
                <a:ext uri="{FF2B5EF4-FFF2-40B4-BE49-F238E27FC236}">
                  <a16:creationId xmlns:a16="http://schemas.microsoft.com/office/drawing/2014/main" id="{84FC6694-8DE3-EC3E-9984-E2E6DDB42A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пособ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8280" y="0"/>
              <a:ext cx="3579308" cy="1889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6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Вид">
              <a:extLst>
                <a:ext uri="{FF2B5EF4-FFF2-40B4-BE49-F238E27FC236}">
                  <a16:creationId xmlns:a16="http://schemas.microsoft.com/office/drawing/2014/main" id="{ECC2184F-B28A-6703-516E-87278416EB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Ви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4820" y="510540"/>
              <a:ext cx="1851660" cy="1463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0</xdr:colOff>
      <xdr:row>2</xdr:row>
      <xdr:rowOff>0</xdr:rowOff>
    </xdr:from>
    <xdr:to>
      <xdr:col>15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Название">
              <a:extLst>
                <a:ext uri="{FF2B5EF4-FFF2-40B4-BE49-F238E27FC236}">
                  <a16:creationId xmlns:a16="http://schemas.microsoft.com/office/drawing/2014/main" id="{16883460-D701-455A-7130-6A1C83A8BB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азвание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3020" y="510540"/>
              <a:ext cx="3703320" cy="182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13</xdr:row>
      <xdr:rowOff>0</xdr:rowOff>
    </xdr:from>
    <xdr:to>
      <xdr:col>15</xdr:col>
      <xdr:colOff>0</xdr:colOff>
      <xdr:row>18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Способ 2">
              <a:extLst>
                <a:ext uri="{FF2B5EF4-FFF2-40B4-BE49-F238E27FC236}">
                  <a16:creationId xmlns:a16="http://schemas.microsoft.com/office/drawing/2014/main" id="{5AEFEC3E-FDEE-B124-B044-C00DACD135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пособ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1360" y="2522220"/>
              <a:ext cx="308610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</xdr:rowOff>
    </xdr:from>
    <xdr:to>
      <xdr:col>10</xdr:col>
      <xdr:colOff>0</xdr:colOff>
      <xdr:row>16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Вид 1">
              <a:extLst>
                <a:ext uri="{FF2B5EF4-FFF2-40B4-BE49-F238E27FC236}">
                  <a16:creationId xmlns:a16="http://schemas.microsoft.com/office/drawing/2014/main" id="{01AFDF86-0762-7E5D-677C-0C4A943748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Вид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38675" y="190501"/>
              <a:ext cx="18288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0</xdr:colOff>
      <xdr:row>1</xdr:row>
      <xdr:rowOff>0</xdr:rowOff>
    </xdr:from>
    <xdr:to>
      <xdr:col>13</xdr:col>
      <xdr:colOff>0</xdr:colOff>
      <xdr:row>15</xdr:row>
      <xdr:rowOff>163112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Способ">
              <a:extLst>
                <a:ext uri="{FF2B5EF4-FFF2-40B4-BE49-F238E27FC236}">
                  <a16:creationId xmlns:a16="http://schemas.microsoft.com/office/drawing/2014/main" id="{ADB184B8-8E4D-3533-8A26-F5B3B66E35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пособ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67475" y="190500"/>
              <a:ext cx="1828800" cy="28301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mitry Dogotar" refreshedDate="45861.331976620371" backgroundQuery="1" createdVersion="8" refreshedVersion="8" minRefreshableVersion="3" recordCount="0" supportSubquery="1" supportAdvancedDrill="1" xr:uid="{6F74FAE8-DF46-4099-AC0E-90EE07CC7342}">
  <cacheSource type="external" connectionId="1"/>
  <cacheFields count="5">
    <cacheField name="[Рецепты].[Название].[Название]" caption="Название" numFmtId="0" hierarchy="10" level="1">
      <sharedItems count="15">
        <s v="Ветчина Мраморная"/>
        <s v="Ветчина Семейная"/>
        <s v="Ветчинно-рубленная"/>
        <s v="Докторская"/>
        <s v="Дрогобычская"/>
        <s v="Зельц"/>
        <s v="Кабаносси"/>
        <s v="Краковская"/>
        <s v="Любительская"/>
        <s v="Мортаделла"/>
        <s v="Мортаделла Фисташка"/>
        <s v="Мясной хлеб"/>
        <s v="Полтавская"/>
        <s v="Щучья"/>
        <s v="Языковая кровяная"/>
      </sharedItems>
    </cacheField>
    <cacheField name="[Measures].[Сумма по столбцу Вес ингр-тов]" caption="Сумма по столбцу Вес ингр-тов" numFmtId="0" hierarchy="37" level="32767"/>
    <cacheField name="[Рецепты].[Состав].[Состав]" caption="Состав" numFmtId="0" hierarchy="13" level="1">
      <sharedItems count="38">
        <s v="Вода"/>
        <s v="Грудинка свиная"/>
        <s v="Мускатный орех"/>
        <s v="Окорок свиной"/>
        <s v="Перец черный молотый"/>
        <s v="Полиамидная 80"/>
        <s v="Сахар"/>
        <s v="Соль нитритная"/>
        <s v="Соль пищевая"/>
        <s v="Фосфат"/>
        <s v="Чеснок сушеный"/>
        <s v="Бедра куриные"/>
        <s v="Грудка куриная"/>
        <s v="Говядина"/>
        <s v="Кориандр"/>
        <s v="Кардамон"/>
        <s v="Лопатка свиная"/>
        <s v="Сухое молоко"/>
        <s v="Яйцо"/>
        <s v="Коллагеновая 45/50"/>
        <s v="Перец душистый горошек"/>
        <s v="Тмин"/>
        <s v="Шкуры, голова, обрезь"/>
        <s v="Горчица семена"/>
        <s v="Перец белый молотый"/>
        <s v="Свиная черева 32/34"/>
        <s v="Свиная черева 38/40"/>
        <s v="Шпик"/>
        <s v="Сало свиное"/>
        <s v="Смесь приправ Мортаделла"/>
        <s v="Фисташки"/>
        <s v="Паприка копченая молотая"/>
        <s v="Краситель пищевой"/>
        <s v="Щука"/>
        <s v="Альбумин пищевой (кровь)"/>
        <s v="Аспик, 220 блюм"/>
        <s v="Майоран"/>
        <s v="Язык говяжий"/>
      </sharedItems>
    </cacheField>
    <cacheField name="[Рецепты].[Вид].[Вид]" caption="Вид" numFmtId="0" hierarchy="11" level="1">
      <sharedItems containsSemiMixedTypes="0" containsNonDate="0" containsString="0"/>
    </cacheField>
    <cacheField name="[Рецепты].[Способ].[Способ]" caption="Способ" numFmtId="0" hierarchy="12" level="1">
      <sharedItems containsSemiMixedTypes="0" containsNonDate="0" containsString="0"/>
    </cacheField>
  </cacheFields>
  <cacheHierarchies count="39">
    <cacheHierarchy uniqueName="[Ингредиенты].[Название ингредиента]" caption="Название ингредиента" attribute="1" defaultMemberUniqueName="[Ингредиенты].[Название ингредиента].[All]" allUniqueName="[Ингредиенты].[Название ингредиента].[All]" dimensionUniqueName="[Ингредиенты]" displayFolder="" count="0" memberValueDatatype="130" unbalanced="0"/>
    <cacheHierarchy uniqueName="[Ингредиенты].[Сырье]" caption="Сырье" attribute="1" defaultMemberUniqueName="[Ингредиенты].[Сырье].[All]" allUniqueName="[Ингредиенты].[Сырье].[All]" dimensionUniqueName="[Ингредиенты]" displayFolder="" count="0" memberValueDatatype="130" unbalanced="0"/>
    <cacheHierarchy uniqueName="[Ингредиенты].[Цена]" caption="Цена" attribute="1" defaultMemberUniqueName="[Ингредиенты].[Цена].[All]" allUniqueName="[Ингредиенты].[Цена].[All]" dimensionUniqueName="[Ингредиенты]" displayFolder="" count="0" memberValueDatatype="5" unbalanced="0"/>
    <cacheHierarchy uniqueName="[Ингредиенты].[Тип сырья]" caption="Тип сырья" attribute="1" defaultMemberUniqueName="[Ингредиенты].[Тип сырья].[All]" allUniqueName="[Ингредиенты].[Тип сырья].[All]" dimensionUniqueName="[Ингредиенты]" displayFolder="" count="0" memberValueDatatype="130" unbalanced="0"/>
    <cacheHierarchy uniqueName="[Ингредиенты].[Где покупать]" caption="Где покупать" attribute="1" defaultMemberUniqueName="[Ингредиенты].[Где покупать].[All]" allUniqueName="[Ингредиенты].[Где покупать].[All]" dimensionUniqueName="[Ингредиенты]" displayFolder="" count="0" memberValueDatatype="130" unbalanced="0"/>
    <cacheHierarchy uniqueName="[Ингредиенты].[Ссылка]" caption="Ссылка" attribute="1" defaultMemberUniqueName="[Ингредиенты].[Ссылка].[All]" allUniqueName="[Ингредиенты].[Ссылка].[All]" dimensionUniqueName="[Ингредиенты]" displayFolder="" count="0" memberValueDatatype="130" unbalanced="0"/>
    <cacheHierarchy uniqueName="[Ингредиенты].[Обьем]" caption="Обьем" attribute="1" defaultMemberUniqueName="[Ингредиенты].[Обьем].[All]" allUniqueName="[Ингредиенты].[Обьем].[All]" dimensionUniqueName="[Ингредиенты]" displayFolder="" count="0" memberValueDatatype="5" unbalanced="0"/>
    <cacheHierarchy uniqueName="[Ингредиенты].[Цена/Обьем]" caption="Цена/Обьем" attribute="1" defaultMemberUniqueName="[Ингредиенты].[Цена/Обьем].[All]" allUniqueName="[Ингредиенты].[Цена/Обьем].[All]" dimensionUniqueName="[Ингредиенты]" displayFolder="" count="0" memberValueDatatype="5" unbalanced="0"/>
    <cacheHierarchy uniqueName="[Ингредиенты].[Наличие]" caption="Наличие" attribute="1" defaultMemberUniqueName="[Ингредиенты].[Наличие].[All]" allUniqueName="[Ингредиенты].[Наличие].[All]" dimensionUniqueName="[Ингредиенты]" displayFolder="" count="0" memberValueDatatype="130" unbalanced="0"/>
    <cacheHierarchy uniqueName="[Ингредиенты].[Выход]" caption="Выход" attribute="1" defaultMemberUniqueName="[Ингредиенты].[Выход].[All]" allUniqueName="[Ингредиенты].[Выход].[All]" dimensionUniqueName="[Ингредиенты]" displayFolder="" count="0" memberValueDatatype="5" unbalanced="0"/>
    <cacheHierarchy uniqueName="[Рецепты].[Название]" caption="Название" attribute="1" defaultMemberUniqueName="[Рецепты].[Название].[All]" allUniqueName="[Рецепты].[Название].[All]" dimensionUniqueName="[Рецепты]" displayFolder="" count="2" memberValueDatatype="130" unbalanced="0">
      <fieldsUsage count="2">
        <fieldUsage x="-1"/>
        <fieldUsage x="0"/>
      </fieldsUsage>
    </cacheHierarchy>
    <cacheHierarchy uniqueName="[Рецепты].[Вид]" caption="Вид" attribute="1" defaultMemberUniqueName="[Рецепты].[Вид].[All]" allUniqueName="[Рецепты].[Вид].[All]" dimensionUniqueName="[Рецепты]" displayFolder="" count="2" memberValueDatatype="130" unbalanced="0">
      <fieldsUsage count="2">
        <fieldUsage x="-1"/>
        <fieldUsage x="3"/>
      </fieldsUsage>
    </cacheHierarchy>
    <cacheHierarchy uniqueName="[Рецепты].[Способ]" caption="Способ" attribute="1" defaultMemberUniqueName="[Рецепты].[Способ].[All]" allUniqueName="[Рецепты].[Способ].[All]" dimensionUniqueName="[Рецепты]" displayFolder="" count="2" memberValueDatatype="130" unbalanced="0">
      <fieldsUsage count="2">
        <fieldUsage x="-1"/>
        <fieldUsage x="4"/>
      </fieldsUsage>
    </cacheHierarchy>
    <cacheHierarchy uniqueName="[Рецепты].[Состав]" caption="Состав" attribute="1" defaultMemberUniqueName="[Рецепты].[Состав].[All]" allUniqueName="[Рецепты].[Состав].[All]" dimensionUniqueName="[Рецепты]" displayFolder="" count="2" memberValueDatatype="130" unbalanced="0">
      <fieldsUsage count="2">
        <fieldUsage x="-1"/>
        <fieldUsage x="2"/>
      </fieldsUsage>
    </cacheHierarchy>
    <cacheHierarchy uniqueName="[Рецепты].[Тип]" caption="Тип" attribute="1" defaultMemberUniqueName="[Рецепты].[Тип].[All]" allUniqueName="[Рецепты].[Тип].[All]" dimensionUniqueName="[Рецепты]" displayFolder="" count="0" memberValueDatatype="130" unbalanced="0"/>
    <cacheHierarchy uniqueName="[Рецепты].[%]" caption="%" attribute="1" defaultMemberUniqueName="[Рецепты].[%].[All]" allUniqueName="[Рецепты].[%].[All]" dimensionUniqueName="[Рецепты]" displayFolder="" count="0" memberValueDatatype="5" unbalanced="0"/>
    <cacheHierarchy uniqueName="[Рецепты].[г]" caption="г" attribute="1" defaultMemberUniqueName="[Рецепты].[г].[All]" allUniqueName="[Рецепты].[г].[All]" dimensionUniqueName="[Рецепты]" displayFolder="" count="0" memberValueDatatype="5" unbalanced="0"/>
    <cacheHierarchy uniqueName="[Рецепты].[р]" caption="р" attribute="1" defaultMemberUniqueName="[Рецепты].[р].[All]" allUniqueName="[Рецепты].[р].[All]" dimensionUniqueName="[Рецепты]" displayFolder="" count="0" memberValueDatatype="5" unbalanced="0"/>
    <cacheHierarchy uniqueName="[Рецепты].[Масса]" caption="Масса" attribute="1" defaultMemberUniqueName="[Рецепты].[Масса].[All]" allUniqueName="[Рецепты].[Масса].[All]" dimensionUniqueName="[Рецепты]" displayFolder="" count="0" memberValueDatatype="20" unbalanced="0"/>
    <cacheHierarchy uniqueName="[Рецепты].[Вес ингр-тов]" caption="Вес ингр-тов" attribute="1" defaultMemberUniqueName="[Рецепты].[Вес ингр-тов].[All]" allUniqueName="[Рецепты].[Вес ингр-тов].[All]" dimensionUniqueName="[Рецепты]" displayFolder="" count="0" memberValueDatatype="5" unbalanced="0"/>
    <cacheHierarchy uniqueName="[Рецепты].[Траты всего]" caption="Траты всего" attribute="1" defaultMemberUniqueName="[Рецепты].[Траты всего].[All]" allUniqueName="[Рецепты].[Траты всего].[All]" dimensionUniqueName="[Рецепты]" displayFolder="" count="0" memberValueDatatype="5" unbalanced="0"/>
    <cacheHierarchy uniqueName="[Рецепты].[Потери, %]" caption="Потери, %" attribute="1" defaultMemberUniqueName="[Рецепты].[Потери, %].[All]" allUniqueName="[Рецепты].[Потери, %].[All]" dimensionUniqueName="[Рецепты]" displayFolder="" count="0" memberValueDatatype="5" unbalanced="0"/>
    <cacheHierarchy uniqueName="[Рецепты].[Маржа]" caption="Маржа" attribute="1" defaultMemberUniqueName="[Рецепты].[Маржа].[All]" allUniqueName="[Рецепты].[Маржа].[All]" dimensionUniqueName="[Рецепты]" displayFolder="" count="0" memberValueDatatype="5" unbalanced="0"/>
    <cacheHierarchy uniqueName="[Рецепты].[Цена за 1 кг]" caption="Цена за 1 кг" attribute="1" defaultMemberUniqueName="[Рецепты].[Цена за 1 кг].[All]" allUniqueName="[Рецепты].[Цена за 1 кг].[All]" dimensionUniqueName="[Рецепты]" displayFolder="" count="0" memberValueDatatype="5" unbalanced="0"/>
    <cacheHierarchy uniqueName="[Рецепты].[ЧП]" caption="ЧП" attribute="1" defaultMemberUniqueName="[Рецепты].[ЧП].[All]" allUniqueName="[Рецепты].[ЧП].[All]" dimensionUniqueName="[Рецепты]" displayFolder="" count="0" memberValueDatatype="5" unbalanced="0"/>
    <cacheHierarchy uniqueName="[Рецепты].[Ссылка интернет]" caption="Ссылка интернет" attribute="1" defaultMemberUniqueName="[Рецепты].[Ссылка интернет].[All]" allUniqueName="[Рецепты].[Ссылка интернет].[All]" dimensionUniqueName="[Рецепты]" displayFolder="" count="0" memberValueDatatype="130" unbalanced="0"/>
    <cacheHierarchy uniqueName="[Рецепты].[Ссылка ПК]" caption="Ссылка ПК" attribute="1" defaultMemberUniqueName="[Рецепты].[Ссылка ПК].[All]" allUniqueName="[Рецепты].[Ссылка ПК].[All]" dimensionUniqueName="[Рецепты]" displayFolder="" count="0" memberValueDatatype="130" unbalanced="0"/>
    <cacheHierarchy uniqueName="[Рецепты].[Наличие]" caption="Наличие" attribute="1" defaultMemberUniqueName="[Рецепты].[Наличие].[All]" allUniqueName="[Рецепты].[Наличие].[All]" dimensionUniqueName="[Рецепты]" displayFolder="" count="0" memberValueDatatype="130" unbalanced="0"/>
    <cacheHierarchy uniqueName="[Рецепты].[Примечание]" caption="Примечание" attribute="1" defaultMemberUniqueName="[Рецепты].[Примечание].[All]" allUniqueName="[Рецепты].[Примечание].[All]" dimensionUniqueName="[Рецепты]" displayFolder="" count="0" memberValueDatatype="130" unbalanced="0"/>
    <cacheHierarchy uniqueName="[Measures].[__XL_Count Рецепты]" caption="__XL_Count Рецепты" measure="1" displayFolder="" measureGroup="Рецепты" count="0" hidden="1"/>
    <cacheHierarchy uniqueName="[Measures].[__XL_Count Ингредиенты]" caption="__XL_Count Ингредиенты" measure="1" displayFolder="" measureGroup="Ингредиенты" count="0" hidden="1"/>
    <cacheHierarchy uniqueName="[Measures].[__No measures defined]" caption="__No measures defined" measure="1" displayFolder="" count="0" hidden="1"/>
    <cacheHierarchy uniqueName="[Measures].[Число элементов в столбце Вес ингр-тов]" caption="Число элементов в столбце Вес ингр-тов" measure="1" displayFolder="" measureGroup="Рецепты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Число элементов в столбце Где покупать]" caption="Число элементов в столбце Где покупать" measure="1" displayFolder="" measureGroup="Ингредиенты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умма по столбцу ЧП]" caption="Сумма по столбцу ЧП" measure="1" displayFolder="" measureGroup="Рецепты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Число элементов в столбце Название ингредиента]" caption="Число элементов в столбце Название ингредиента" measure="1" displayFolder="" measureGroup="Ингредиенты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Ссылка]" caption="Число элементов в столбце Ссылка" measure="1" displayFolder="" measureGroup="Ингредиенты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ес ингр-тов]" caption="Сумма по столбцу Вес ингр-тов" measure="1" displayFolder="" measureGroup="Рецепты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Число элементов в столбце Ссылка интернет]" caption="Число элементов в столбце Ссылка интернет" measure="1" displayFolder="" measureGroup="Рецепты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Ингредиенты" uniqueName="[Ингредиенты]" caption="Ингредиенты"/>
    <dimension name="Рецепты" uniqueName="[Рецепты]" caption="Рецепты"/>
  </dimensions>
  <measureGroups count="2">
    <measureGroup name="Ингредиенты" caption="Ингредиенты"/>
    <measureGroup name="Рецепты" caption="Рецепты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14.605201388891" createdVersion="8" refreshedVersion="8" minRefreshableVersion="3" recordCount="522" xr:uid="{6E8F565C-DE40-400B-933E-584634DECDE4}">
  <cacheSource type="worksheet">
    <worksheetSource name="Рецепты"/>
  </cacheSource>
  <cacheFields count="25">
    <cacheField name="Название" numFmtId="0">
      <sharedItems count="68">
        <s v="Докторская"/>
        <s v="Куриные Сырные"/>
        <s v="Сардельки Свиные"/>
        <s v="Курица ГК"/>
        <s v="Грудинка свиная ГК"/>
        <s v="Скумбрия ХК"/>
        <s v="Карась ХК"/>
        <s v="Горбуша ХК"/>
        <s v="Еврейская"/>
        <s v="Московская"/>
        <s v="Салями Милано"/>
        <s v="Сельдь пряная"/>
        <s v="Языковая кровяная"/>
        <s v="Ветчинно-рубленная"/>
        <s v="Любительская "/>
        <s v="Ветчина Мраморная"/>
        <s v="Фуэт"/>
        <s v="Чоризо"/>
        <s v="Финоккьона"/>
        <s v="Сало ГОСТ"/>
        <s v="Краковская "/>
        <s v="Дрогобычская "/>
        <s v="Ветчина Семейная"/>
        <s v="Панчетта Арротолатта"/>
        <s v="Мортаделла"/>
        <s v="Детские Молочные"/>
        <s v="Свиные ребра ГК"/>
        <s v="Корейка ГК"/>
        <s v="Кабаносси"/>
        <s v="Хотдожные к пиву"/>
        <s v="Крепыш"/>
        <s v="Мортаделла Фисташка"/>
        <s v="Луканка"/>
        <s v="Чечил косичка"/>
        <s v="Панир"/>
        <s v="Щучья"/>
        <s v="Зельц"/>
        <s v="Куриные сливочные"/>
        <s v="Шашлык свиной"/>
        <s v="Пельмени свин/гов"/>
        <s v="Белый амур вяленый"/>
        <s v="Сельдь провесная"/>
        <s v="Сельдь вяленая &quot;Киперс&quot;"/>
        <s v="Скумбрия провесная"/>
        <s v="Суп Э Джо"/>
        <s v="Полтавская"/>
        <s v="Бекон сухой посол"/>
        <s v="Бекон мокрый посол"/>
        <s v="Рулька"/>
        <s v="Пеперони"/>
        <s v="Пицца тесто"/>
        <s v="Бешамель"/>
        <s v="Морковь по-корейски"/>
        <s v="Мясной хлеб"/>
        <s v="Холодец"/>
        <s v="Форель слабосолёная"/>
        <s v="Блины на молоке"/>
        <s v="Брауншвейгская"/>
        <s v="Венские"/>
        <s v="Плов казан"/>
        <s v="Пирожки тесто"/>
        <s v="Бекон (грудинка)" u="1"/>
        <s v="Свиные сливочные" u="1"/>
        <s v="Докторская ГОСТ 1949" u="1"/>
        <s v="Докторская ГОСТ 1979" u="1"/>
        <s v="Еврейская Стандарт 1938" u="1"/>
        <s v="Московская ГОСТ 1938" u="1"/>
        <s v="Сало ГОСТ 1938" u="1"/>
      </sharedItems>
    </cacheField>
    <cacheField name="Вид" numFmtId="0">
      <sharedItems count="6">
        <s v="Колбаса"/>
        <s v="Сосиски"/>
        <s v="Цельное"/>
        <s v="Рыба"/>
        <s v="Сыр"/>
        <s v="Еда"/>
      </sharedItems>
    </cacheField>
    <cacheField name="Способ" numFmtId="0">
      <sharedItems count="9">
        <s v="Вареное"/>
        <s v="ГК"/>
        <s v="ХК"/>
        <s v="Сырокопченое"/>
        <s v="Сыровяленное"/>
        <s v="Соленое"/>
        <s v="Сыр"/>
        <s v="Еда"/>
        <s v="Провесная"/>
      </sharedItems>
    </cacheField>
    <cacheField name="Состав" numFmtId="0">
      <sharedItems/>
    </cacheField>
    <cacheField name="Тип" numFmtId="9">
      <sharedItems/>
    </cacheField>
    <cacheField name="%" numFmtId="10">
      <sharedItems containsSemiMixedTypes="0" containsString="0" containsNumber="1" minValue="1E-4" maxValue="2.4"/>
    </cacheField>
    <cacheField name="г" numFmtId="166">
      <sharedItems containsSemiMixedTypes="0" containsString="0" containsNumber="1" minValue="0.1" maxValue="2400"/>
    </cacheField>
    <cacheField name="р" numFmtId="164">
      <sharedItems containsSemiMixedTypes="0" containsString="0" containsNumber="1" minValue="5.0000000000000001E-3" maxValue="1373.7499999999998"/>
    </cacheField>
    <cacheField name="Масса" numFmtId="166">
      <sharedItems containsSemiMixedTypes="0" containsString="0" containsNumber="1" containsInteger="1" minValue="1000" maxValue="1000"/>
    </cacheField>
    <cacheField name="Вес ингр-тов" numFmtId="166">
      <sharedItems containsSemiMixedTypes="0" containsString="0" containsNumber="1" minValue="0.1" maxValue="2400"/>
    </cacheField>
    <cacheField name="Траты всего" numFmtId="164">
      <sharedItems containsSemiMixedTypes="0" containsString="0" containsNumber="1" minValue="5.0000000000000001E-3" maxValue="1373.7499999999998"/>
    </cacheField>
    <cacheField name="Потери, %" numFmtId="9">
      <sharedItems containsSemiMixedTypes="0" containsString="0" containsNumber="1" minValue="0" maxValue="0.92"/>
    </cacheField>
    <cacheField name="Маржа" numFmtId="9">
      <sharedItems containsSemiMixedTypes="0" containsString="0" containsNumber="1" minValue="0.5" maxValue="3"/>
    </cacheField>
    <cacheField name="Цена за 1 кг" numFmtId="164">
      <sharedItems containsSemiMixedTypes="0" containsString="0" containsNumber="1" minValue="9.5000000000000015E-3" maxValue="3333.0000000000014"/>
    </cacheField>
    <cacheField name="ЧП" numFmtId="164">
      <sharedItems containsSemiMixedTypes="0" containsString="0" containsNumber="1" minValue="4.5000000000000014E-3" maxValue="2499.7500000000009"/>
    </cacheField>
    <cacheField name="Ссылка интернет" numFmtId="0">
      <sharedItems containsBlank="1"/>
    </cacheField>
    <cacheField name="Ссылка ПК" numFmtId="0">
      <sharedItems containsBlank="1"/>
    </cacheField>
    <cacheField name="Наличие" numFmtId="0">
      <sharedItems containsMixedTypes="1" containsNumber="1" containsInteger="1" minValue="0" maxValue="0"/>
    </cacheField>
    <cacheField name="Примечание" numFmtId="0">
      <sharedItems containsBlank="1" longText="1"/>
    </cacheField>
    <cacheField name="Цена" numFmtId="0" formula=" ROUNDUP('Цена за 1 кг',-1)" databaseField="0"/>
    <cacheField name="Себе/кг" numFmtId="0" formula="р+'Потери, %'" databaseField="0"/>
    <cacheField name="Поле1" numFmtId="0" formula="р*100%/(100%-'Потери, %')" databaseField="0"/>
    <cacheField name="Поле2" numFmtId="0" formula="(р*100%)/(100%-'Потери, %')" databaseField="0"/>
    <cacheField name="Поле3" numFmtId="0" formula="р+'Потери, %'" databaseField="0"/>
    <cacheField name="Поле4" numFmtId="0" formula="р+р*'Потери, %'" databaseField="0"/>
  </cacheFields>
  <extLst>
    <ext xmlns:x14="http://schemas.microsoft.com/office/spreadsheetml/2009/9/main" uri="{725AE2AE-9491-48be-B2B4-4EB974FC3084}">
      <x14:pivotCacheDefinition pivotCacheId="196759047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mitry Dogotar" refreshedDate="45861.331972106484" backgroundQuery="1" createdVersion="3" refreshedVersion="8" minRefreshableVersion="3" recordCount="0" supportSubquery="1" supportAdvancedDrill="1" xr:uid="{C9EFE6E3-9D82-4370-908B-638CC4B712B1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9">
    <cacheHierarchy uniqueName="[Ингредиенты].[Название ингредиента]" caption="Название ингредиента" attribute="1" defaultMemberUniqueName="[Ингредиенты].[Название ингредиента].[All]" allUniqueName="[Ингредиенты].[Название ингредиента].[All]" dimensionUniqueName="[Ингредиенты]" displayFolder="" count="0" memberValueDatatype="130" unbalanced="0"/>
    <cacheHierarchy uniqueName="[Ингредиенты].[Сырье]" caption="Сырье" attribute="1" defaultMemberUniqueName="[Ингредиенты].[Сырье].[All]" allUniqueName="[Ингредиенты].[Сырье].[All]" dimensionUniqueName="[Ингредиенты]" displayFolder="" count="0" memberValueDatatype="130" unbalanced="0"/>
    <cacheHierarchy uniqueName="[Ингредиенты].[Цена]" caption="Цена" attribute="1" defaultMemberUniqueName="[Ингредиенты].[Цена].[All]" allUniqueName="[Ингредиенты].[Цена].[All]" dimensionUniqueName="[Ингредиенты]" displayFolder="" count="0" memberValueDatatype="5" unbalanced="0"/>
    <cacheHierarchy uniqueName="[Ингредиенты].[Тип сырья]" caption="Тип сырья" attribute="1" defaultMemberUniqueName="[Ингредиенты].[Тип сырья].[All]" allUniqueName="[Ингредиенты].[Тип сырья].[All]" dimensionUniqueName="[Ингредиенты]" displayFolder="" count="0" memberValueDatatype="130" unbalanced="0"/>
    <cacheHierarchy uniqueName="[Ингредиенты].[Где покупать]" caption="Где покупать" attribute="1" defaultMemberUniqueName="[Ингредиенты].[Где покупать].[All]" allUniqueName="[Ингредиенты].[Где покупать].[All]" dimensionUniqueName="[Ингредиенты]" displayFolder="" count="0" memberValueDatatype="130" unbalanced="0"/>
    <cacheHierarchy uniqueName="[Ингредиенты].[Ссылка]" caption="Ссылка" attribute="1" defaultMemberUniqueName="[Ингредиенты].[Ссылка].[All]" allUniqueName="[Ингредиенты].[Ссылка].[All]" dimensionUniqueName="[Ингредиенты]" displayFolder="" count="0" memberValueDatatype="130" unbalanced="0"/>
    <cacheHierarchy uniqueName="[Ингредиенты].[Обьем]" caption="Обьем" attribute="1" defaultMemberUniqueName="[Ингредиенты].[Обьем].[All]" allUniqueName="[Ингредиенты].[Обьем].[All]" dimensionUniqueName="[Ингредиенты]" displayFolder="" count="0" memberValueDatatype="5" unbalanced="0"/>
    <cacheHierarchy uniqueName="[Ингредиенты].[Цена/Обьем]" caption="Цена/Обьем" attribute="1" defaultMemberUniqueName="[Ингредиенты].[Цена/Обьем].[All]" allUniqueName="[Ингредиенты].[Цена/Обьем].[All]" dimensionUniqueName="[Ингредиенты]" displayFolder="" count="0" memberValueDatatype="5" unbalanced="0"/>
    <cacheHierarchy uniqueName="[Ингредиенты].[Наличие]" caption="Наличие" attribute="1" defaultMemberUniqueName="[Ингредиенты].[Наличие].[All]" allUniqueName="[Ингредиенты].[Наличие].[All]" dimensionUniqueName="[Ингредиенты]" displayFolder="" count="0" memberValueDatatype="130" unbalanced="0"/>
    <cacheHierarchy uniqueName="[Ингредиенты].[Выход]" caption="Выход" attribute="1" defaultMemberUniqueName="[Ингредиенты].[Выход].[All]" allUniqueName="[Ингредиенты].[Выход].[All]" dimensionUniqueName="[Ингредиенты]" displayFolder="" count="0" memberValueDatatype="5" unbalanced="0"/>
    <cacheHierarchy uniqueName="[Рецепты].[Название]" caption="Название" attribute="1" defaultMemberUniqueName="[Рецепты].[Название].[All]" allUniqueName="[Рецепты].[Название].[All]" dimensionUniqueName="[Рецепты]" displayFolder="" count="2" memberValueDatatype="130" unbalanced="0"/>
    <cacheHierarchy uniqueName="[Рецепты].[Вид]" caption="Вид" attribute="1" defaultMemberUniqueName="[Рецепты].[Вид].[All]" allUniqueName="[Рецепты].[Вид].[All]" dimensionUniqueName="[Рецепты]" displayFolder="" count="2" memberValueDatatype="130" unbalanced="0"/>
    <cacheHierarchy uniqueName="[Рецепты].[Способ]" caption="Способ" attribute="1" defaultMemberUniqueName="[Рецепты].[Способ].[All]" allUniqueName="[Рецепты].[Способ].[All]" dimensionUniqueName="[Рецепты]" displayFolder="" count="2" memberValueDatatype="130" unbalanced="0"/>
    <cacheHierarchy uniqueName="[Рецепты].[Состав]" caption="Состав" attribute="1" defaultMemberUniqueName="[Рецепты].[Состав].[All]" allUniqueName="[Рецепты].[Состав].[All]" dimensionUniqueName="[Рецепты]" displayFolder="" count="0" memberValueDatatype="130" unbalanced="0"/>
    <cacheHierarchy uniqueName="[Рецепты].[Тип]" caption="Тип" attribute="1" defaultMemberUniqueName="[Рецепты].[Тип].[All]" allUniqueName="[Рецепты].[Тип].[All]" dimensionUniqueName="[Рецепты]" displayFolder="" count="0" memberValueDatatype="130" unbalanced="0"/>
    <cacheHierarchy uniqueName="[Рецепты].[%]" caption="%" attribute="1" defaultMemberUniqueName="[Рецепты].[%].[All]" allUniqueName="[Рецепты].[%].[All]" dimensionUniqueName="[Рецепты]" displayFolder="" count="0" memberValueDatatype="5" unbalanced="0"/>
    <cacheHierarchy uniqueName="[Рецепты].[г]" caption="г" attribute="1" defaultMemberUniqueName="[Рецепты].[г].[All]" allUniqueName="[Рецепты].[г].[All]" dimensionUniqueName="[Рецепты]" displayFolder="" count="0" memberValueDatatype="5" unbalanced="0"/>
    <cacheHierarchy uniqueName="[Рецепты].[р]" caption="р" attribute="1" defaultMemberUniqueName="[Рецепты].[р].[All]" allUniqueName="[Рецепты].[р].[All]" dimensionUniqueName="[Рецепты]" displayFolder="" count="0" memberValueDatatype="5" unbalanced="0"/>
    <cacheHierarchy uniqueName="[Рецепты].[Масса]" caption="Масса" attribute="1" defaultMemberUniqueName="[Рецепты].[Масса].[All]" allUniqueName="[Рецепты].[Масса].[All]" dimensionUniqueName="[Рецепты]" displayFolder="" count="0" memberValueDatatype="20" unbalanced="0"/>
    <cacheHierarchy uniqueName="[Рецепты].[Вес ингр-тов]" caption="Вес ингр-тов" attribute="1" defaultMemberUniqueName="[Рецепты].[Вес ингр-тов].[All]" allUniqueName="[Рецепты].[Вес ингр-тов].[All]" dimensionUniqueName="[Рецепты]" displayFolder="" count="0" memberValueDatatype="5" unbalanced="0"/>
    <cacheHierarchy uniqueName="[Рецепты].[Траты всего]" caption="Траты всего" attribute="1" defaultMemberUniqueName="[Рецепты].[Траты всего].[All]" allUniqueName="[Рецепты].[Траты всего].[All]" dimensionUniqueName="[Рецепты]" displayFolder="" count="0" memberValueDatatype="5" unbalanced="0"/>
    <cacheHierarchy uniqueName="[Рецепты].[Потери, %]" caption="Потери, %" attribute="1" defaultMemberUniqueName="[Рецепты].[Потери, %].[All]" allUniqueName="[Рецепты].[Потери, %].[All]" dimensionUniqueName="[Рецепты]" displayFolder="" count="0" memberValueDatatype="5" unbalanced="0"/>
    <cacheHierarchy uniqueName="[Рецепты].[Маржа]" caption="Маржа" attribute="1" defaultMemberUniqueName="[Рецепты].[Маржа].[All]" allUniqueName="[Рецепты].[Маржа].[All]" dimensionUniqueName="[Рецепты]" displayFolder="" count="0" memberValueDatatype="5" unbalanced="0"/>
    <cacheHierarchy uniqueName="[Рецепты].[Цена за 1 кг]" caption="Цена за 1 кг" attribute="1" defaultMemberUniqueName="[Рецепты].[Цена за 1 кг].[All]" allUniqueName="[Рецепты].[Цена за 1 кг].[All]" dimensionUniqueName="[Рецепты]" displayFolder="" count="0" memberValueDatatype="5" unbalanced="0"/>
    <cacheHierarchy uniqueName="[Рецепты].[ЧП]" caption="ЧП" attribute="1" defaultMemberUniqueName="[Рецепты].[ЧП].[All]" allUniqueName="[Рецепты].[ЧП].[All]" dimensionUniqueName="[Рецепты]" displayFolder="" count="0" memberValueDatatype="5" unbalanced="0"/>
    <cacheHierarchy uniqueName="[Рецепты].[Ссылка интернет]" caption="Ссылка интернет" attribute="1" defaultMemberUniqueName="[Рецепты].[Ссылка интернет].[All]" allUniqueName="[Рецепты].[Ссылка интернет].[All]" dimensionUniqueName="[Рецепты]" displayFolder="" count="0" memberValueDatatype="130" unbalanced="0"/>
    <cacheHierarchy uniqueName="[Рецепты].[Ссылка ПК]" caption="Ссылка ПК" attribute="1" defaultMemberUniqueName="[Рецепты].[Ссылка ПК].[All]" allUniqueName="[Рецепты].[Ссылка ПК].[All]" dimensionUniqueName="[Рецепты]" displayFolder="" count="0" memberValueDatatype="130" unbalanced="0"/>
    <cacheHierarchy uniqueName="[Рецепты].[Наличие]" caption="Наличие" attribute="1" defaultMemberUniqueName="[Рецепты].[Наличие].[All]" allUniqueName="[Рецепты].[Наличие].[All]" dimensionUniqueName="[Рецепты]" displayFolder="" count="0" memberValueDatatype="130" unbalanced="0"/>
    <cacheHierarchy uniqueName="[Рецепты].[Примечание]" caption="Примечание" attribute="1" defaultMemberUniqueName="[Рецепты].[Примечание].[All]" allUniqueName="[Рецепты].[Примечание].[All]" dimensionUniqueName="[Рецепты]" displayFolder="" count="0" memberValueDatatype="130" unbalanced="0"/>
    <cacheHierarchy uniqueName="[Measures].[__XL_Count Рецепты]" caption="__XL_Count Рецепты" measure="1" displayFolder="" measureGroup="Рецепты" count="0" hidden="1"/>
    <cacheHierarchy uniqueName="[Measures].[__XL_Count Ингредиенты]" caption="__XL_Count Ингредиенты" measure="1" displayFolder="" measureGroup="Ингредиенты" count="0" hidden="1"/>
    <cacheHierarchy uniqueName="[Measures].[__No measures defined]" caption="__No measures defined" measure="1" displayFolder="" count="0" hidden="1"/>
    <cacheHierarchy uniqueName="[Measures].[Число элементов в столбце Вес ингр-тов]" caption="Число элементов в столбце Вес ингр-тов" measure="1" displayFolder="" measureGroup="Рецепты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Число элементов в столбце Где покупать]" caption="Число элементов в столбце Где покупать" measure="1" displayFolder="" measureGroup="Ингредиенты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Сумма по столбцу ЧП]" caption="Сумма по столбцу ЧП" measure="1" displayFolder="" measureGroup="Рецепты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Число элементов в столбце Название ингредиента]" caption="Число элементов в столбце Название ингредиента" measure="1" displayFolder="" measureGroup="Ингредиенты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Ссылка]" caption="Число элементов в столбце Ссылка" measure="1" displayFolder="" measureGroup="Ингредиенты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Вес ингр-тов]" caption="Сумма по столбцу Вес ингр-тов" measure="1" displayFolder="" measureGroup="Рецепты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Число элементов в столбце Ссылка интернет]" caption="Число элементов в столбце Ссылка интернет" measure="1" displayFolder="" measureGroup="Рецепты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15329862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">
  <r>
    <x v="0"/>
    <x v="0"/>
    <x v="0"/>
    <s v="Говядина"/>
    <s v="Говядина"/>
    <n v="0.25"/>
    <n v="250"/>
    <n v="177.4975"/>
    <n v="1000"/>
    <n v="250"/>
    <n v="177.4975"/>
    <n v="0.15"/>
    <n v="0.7"/>
    <n v="354.995"/>
    <n v="146.17441176470587"/>
    <s v="https://www.youtube.com/watch?v=5gWsIsh4dpM"/>
    <s v="D:\Video\Колбаса_рецепты\Докторская колбаса ГОСТ 23670-79 в домашних условиях.mp12"/>
    <s v="Да"/>
    <m/>
  </r>
  <r>
    <x v="0"/>
    <x v="0"/>
    <x v="0"/>
    <s v="Лопатка свиная"/>
    <s v="Свинина"/>
    <n v="0.7"/>
    <n v="700"/>
    <n v="258.3"/>
    <n v="1000"/>
    <n v="700"/>
    <n v="258.3"/>
    <n v="0.15"/>
    <n v="0.7"/>
    <n v="516.6"/>
    <n v="212.71764705882356"/>
    <s v="https://www.youtube.com/watch?v=5gWsIsh4dpM"/>
    <s v="D:\Video\Колбаса_рецепты\Докторская колбаса ГОСТ 23670-79 в домашних условиях.mp13"/>
    <s v="Нет"/>
    <m/>
  </r>
  <r>
    <x v="0"/>
    <x v="0"/>
    <x v="0"/>
    <s v="Яйцо"/>
    <s v="Добавки"/>
    <n v="0.03"/>
    <n v="30"/>
    <n v="3.333333333333333"/>
    <n v="1000"/>
    <n v="30"/>
    <n v="3.333333333333333"/>
    <n v="0"/>
    <n v="0.7"/>
    <n v="5.6666666666666661"/>
    <n v="2.333333333333333"/>
    <s v="https://www.youtube.com/watch?v=5gWsIsh4dpM"/>
    <s v="D:\Video\Колбаса_рецепты\Докторская колбаса ГОСТ 23670-79 в домашних условиях.mp14"/>
    <s v="Да"/>
    <m/>
  </r>
  <r>
    <x v="0"/>
    <x v="0"/>
    <x v="0"/>
    <s v="Сухое молоко"/>
    <s v="Добавки"/>
    <n v="0.02"/>
    <n v="20"/>
    <n v="10.98"/>
    <n v="1000"/>
    <n v="20"/>
    <n v="10.98"/>
    <n v="0"/>
    <n v="0.7"/>
    <n v="18.666"/>
    <n v="7.6859999999999999"/>
    <s v="https://www.youtube.com/watch?v=5gWsIsh4dpM"/>
    <s v="D:\Video\Колбаса_рецепты\Докторская колбаса ГОСТ 23670-79 в домашних условиях.mp15"/>
    <s v="Да"/>
    <m/>
  </r>
  <r>
    <x v="0"/>
    <x v="0"/>
    <x v="0"/>
    <s v="Соль нитритная"/>
    <s v="Специи"/>
    <n v="0.02"/>
    <n v="20"/>
    <n v="2.56"/>
    <n v="1000"/>
    <n v="20"/>
    <n v="2.56"/>
    <n v="0"/>
    <n v="0.7"/>
    <n v="4.3520000000000003"/>
    <n v="1.7920000000000003"/>
    <s v="https://www.youtube.com/watch?v=5gWsIsh4dpM"/>
    <s v="D:\Video\Колбаса_рецепты\Докторская колбаса ГОСТ 23670-79 в домашних условиях.mp17"/>
    <s v="Да"/>
    <m/>
  </r>
  <r>
    <x v="0"/>
    <x v="0"/>
    <x v="0"/>
    <s v="Вода"/>
    <s v="Добавки"/>
    <n v="0.1"/>
    <n v="100"/>
    <n v="0.1"/>
    <n v="1000"/>
    <n v="100"/>
    <n v="0.1"/>
    <n v="0"/>
    <n v="0.7"/>
    <n v="0.16999999999999998"/>
    <n v="6.9999999999999979E-2"/>
    <s v="https://www.youtube.com/watch?v=5gWsIsh4dpM"/>
    <s v="D:\Video\Колбаса_рецепты\Докторская колбаса ГОСТ 23670-79 в домашних условиях.mp18"/>
    <s v="Да"/>
    <m/>
  </r>
  <r>
    <x v="0"/>
    <x v="0"/>
    <x v="0"/>
    <s v="Фосфат"/>
    <s v="Специи"/>
    <n v="2E-3"/>
    <n v="2"/>
    <n v="1.496"/>
    <n v="1000"/>
    <n v="2"/>
    <n v="1.496"/>
    <n v="0"/>
    <n v="0.7"/>
    <n v="2.5431999999999997"/>
    <n v="1.0471999999999997"/>
    <s v="https://www.youtube.com/watch?v=5gWsIsh4dpM"/>
    <s v="D:\Video\Колбаса_рецепты\Докторская колбаса ГОСТ 23670-79 в домашних условиях.mp19"/>
    <s v="Да"/>
    <m/>
  </r>
  <r>
    <x v="0"/>
    <x v="0"/>
    <x v="0"/>
    <s v="Кардамон"/>
    <s v="Специи"/>
    <n v="5.0000000000000001E-4"/>
    <n v="0.5"/>
    <n v="0.75666666666666671"/>
    <n v="1000"/>
    <n v="0.5"/>
    <n v="0.75666666666666671"/>
    <n v="0"/>
    <n v="0.7"/>
    <n v="1.2863333333333333"/>
    <n v="0.52966666666666662"/>
    <s v="https://www.youtube.com/watch?v=5gWsIsh4dpM"/>
    <s v="D:\Video\Колбаса_рецепты\Докторская колбаса ГОСТ 23670-79 в домашних условиях.mp19"/>
    <s v="Да"/>
    <m/>
  </r>
  <r>
    <x v="0"/>
    <x v="0"/>
    <x v="0"/>
    <s v="Полиамидная 80"/>
    <s v="Оболочка"/>
    <n v="1E-3"/>
    <n v="1"/>
    <n v="9.7374533266692147"/>
    <n v="1000"/>
    <n v="1"/>
    <n v="9.7374533266692147"/>
    <n v="0"/>
    <n v="0.7"/>
    <n v="16.553670655337665"/>
    <n v="6.8162173286684506"/>
    <s v="https://www.youtube.com/watch?v=5gWsIsh4dpM"/>
    <s v="D:\Video\Колбаса_рецепты\Докторская колбаса ГОСТ 23670-79 в домашних условиях.mp20"/>
    <s v="Да"/>
    <m/>
  </r>
  <r>
    <x v="1"/>
    <x v="1"/>
    <x v="0"/>
    <s v="Грудка куриная"/>
    <s v="Птица"/>
    <n v="0.2"/>
    <n v="200"/>
    <n v="55.998000000000005"/>
    <n v="1000"/>
    <n v="200"/>
    <n v="55.998000000000005"/>
    <n v="0.15"/>
    <n v="0.7"/>
    <n v="111.99600000000001"/>
    <n v="46.116"/>
    <s v="https://www.youtube.com/watch?v=WJ2KT_frzos&amp;t=16s"/>
    <s v="D:\Video\Колбаса_рецепты\Домашние куриные сосиски с твердым сыром.mp4"/>
    <s v="Нет"/>
    <m/>
  </r>
  <r>
    <x v="1"/>
    <x v="1"/>
    <x v="0"/>
    <s v="Бедра куриные"/>
    <s v="Птица"/>
    <n v="0.6"/>
    <n v="600"/>
    <n v="156.70588235294116"/>
    <n v="1000"/>
    <n v="600"/>
    <n v="156.70588235294116"/>
    <n v="0.15"/>
    <n v="0.7"/>
    <n v="313.41176470588232"/>
    <n v="129.05190311418684"/>
    <s v="https://www.youtube.com/watch?v=WJ2KT_frzos&amp;t=16s"/>
    <s v="D:\Video\Колбаса_рецепты\Домашние куриные сосиски с твердым сыром.mp5"/>
    <s v="Нет"/>
    <m/>
  </r>
  <r>
    <x v="1"/>
    <x v="1"/>
    <x v="0"/>
    <s v="Сыр российский"/>
    <s v="Добавки"/>
    <n v="0.2"/>
    <n v="200"/>
    <n v="159.99799999999999"/>
    <n v="1000"/>
    <n v="200"/>
    <n v="159.99799999999999"/>
    <n v="0"/>
    <n v="0.7"/>
    <n v="271.99659999999994"/>
    <n v="111.99859999999995"/>
    <s v="https://www.youtube.com/watch?v=WJ2KT_frzos&amp;t=16s"/>
    <s v="D:\Video\Колбаса_рецепты\Домашние куриные сосиски с твердым сыром.mp6"/>
    <s v="Нет"/>
    <m/>
  </r>
  <r>
    <x v="1"/>
    <x v="1"/>
    <x v="0"/>
    <s v="Соль пищевая"/>
    <s v="Специи"/>
    <n v="8.0000000000000002E-3"/>
    <n v="8"/>
    <n v="0.308"/>
    <n v="1000"/>
    <n v="8"/>
    <n v="0.308"/>
    <n v="0"/>
    <n v="0.7"/>
    <n v="0.52359999999999995"/>
    <n v="0.21559999999999996"/>
    <s v="https://www.youtube.com/watch?v=WJ2KT_frzos&amp;t=16s"/>
    <s v="D:\Video\Колбаса_рецепты\Домашние куриные сосиски с твердым сыром.mp7"/>
    <s v="Да"/>
    <m/>
  </r>
  <r>
    <x v="1"/>
    <x v="1"/>
    <x v="0"/>
    <s v="Соль нитритная"/>
    <s v="Специи"/>
    <n v="8.0000000000000002E-3"/>
    <n v="8"/>
    <n v="1.024"/>
    <n v="1000"/>
    <n v="8"/>
    <n v="1.024"/>
    <n v="0"/>
    <n v="0.7"/>
    <n v="1.7408000000000001"/>
    <n v="0.7168000000000001"/>
    <s v="https://www.youtube.com/watch?v=WJ2KT_frzos&amp;t=16s"/>
    <s v="D:\Video\Колбаса_рецепты\Домашние куриные сосиски с твердым сыром.mp8"/>
    <s v="Да"/>
    <m/>
  </r>
  <r>
    <x v="1"/>
    <x v="1"/>
    <x v="0"/>
    <s v="Сахар"/>
    <s v="Специи"/>
    <n v="1E-3"/>
    <n v="1"/>
    <n v="8.0882352941176475E-2"/>
    <n v="1000"/>
    <n v="1"/>
    <n v="8.0882352941176475E-2"/>
    <n v="0"/>
    <n v="0.7"/>
    <n v="0.13750000000000001"/>
    <n v="5.6617647058823536E-2"/>
    <s v="https://www.youtube.com/watch?v=WJ2KT_frzos&amp;t=16s"/>
    <s v="D:\Video\Колбаса_рецепты\Домашние куриные сосиски с твердым сыром.mp9"/>
    <s v="Да"/>
    <m/>
  </r>
  <r>
    <x v="1"/>
    <x v="1"/>
    <x v="0"/>
    <s v="Перец черный молотый"/>
    <s v="Специи"/>
    <n v="1E-3"/>
    <n v="1"/>
    <n v="1.0945454545454545"/>
    <n v="1000"/>
    <n v="1"/>
    <n v="1.0945454545454545"/>
    <n v="0"/>
    <n v="0.7"/>
    <n v="1.8607272727272726"/>
    <n v="0.76618181818181808"/>
    <s v="https://www.youtube.com/watch?v=WJ2KT_frzos&amp;t=16s"/>
    <s v="D:\Video\Колбаса_рецепты\Домашние куриные сосиски с твердым сыром.mp10"/>
    <s v="Да"/>
    <m/>
  </r>
  <r>
    <x v="1"/>
    <x v="1"/>
    <x v="0"/>
    <s v="Мускатный орех"/>
    <s v="Специи"/>
    <n v="5.0000000000000001E-4"/>
    <n v="0.5"/>
    <n v="1.0386363636363636"/>
    <n v="1000"/>
    <n v="0.5"/>
    <n v="1.0386363636363636"/>
    <n v="0"/>
    <n v="0.7"/>
    <n v="1.7656818181818181"/>
    <n v="0.72704545454545455"/>
    <s v="https://www.youtube.com/watch?v=WJ2KT_frzos&amp;t=16s"/>
    <s v="D:\Video\Колбаса_рецепты\Домашние куриные сосиски с твердым сыром.mp11"/>
    <s v="Да"/>
    <m/>
  </r>
  <r>
    <x v="1"/>
    <x v="1"/>
    <x v="0"/>
    <s v="Сливки"/>
    <s v="Добавки"/>
    <n v="0.15"/>
    <n v="150"/>
    <n v="75.900000000000006"/>
    <n v="1000"/>
    <n v="150"/>
    <n v="75.900000000000006"/>
    <n v="0"/>
    <n v="0.7"/>
    <n v="129.03"/>
    <n v="53.129999999999995"/>
    <s v="https://www.youtube.com/watch?v=WJ2KT_frzos&amp;t=16s"/>
    <s v="D:\Video\Колбаса_рецепты\Домашние куриные сосиски с твердым сыром.mp12"/>
    <s v="Да"/>
    <m/>
  </r>
  <r>
    <x v="1"/>
    <x v="1"/>
    <x v="0"/>
    <s v="Полиамидная сосисочная"/>
    <s v="Оболочка"/>
    <n v="1E-3"/>
    <n v="1"/>
    <n v="15.407180149631303"/>
    <n v="1000"/>
    <n v="1"/>
    <n v="15.407180149631303"/>
    <n v="0"/>
    <n v="0.7"/>
    <n v="26.192206254373215"/>
    <n v="10.785026104741911"/>
    <s v="https://www.youtube.com/watch?v=WJ2KT_frzos&amp;t=16s"/>
    <s v="D:\Video\Колбаса_рецепты\Домашние куриные сосиски с твердым сыром.mp13"/>
    <s v="Да"/>
    <m/>
  </r>
  <r>
    <x v="2"/>
    <x v="1"/>
    <x v="0"/>
    <s v="Лопатка свиная"/>
    <s v="Свинина"/>
    <n v="1"/>
    <n v="1000"/>
    <n v="369"/>
    <n v="1000"/>
    <n v="1000"/>
    <n v="369"/>
    <n v="0.15"/>
    <n v="0.7"/>
    <n v="738"/>
    <n v="303.88235294117646"/>
    <s v="https://www.youtube.com/watch?v=Mu_glCpe-Y8"/>
    <s v="D:\Video\Колбаса_рецепты\Сочные домашние сардельки Кнакеры.  Как сделать корочку, чтобы сардельки ''хрупали'' при укусе..mp4"/>
    <s v="Нет"/>
    <m/>
  </r>
  <r>
    <x v="2"/>
    <x v="1"/>
    <x v="0"/>
    <s v="Вода"/>
    <s v="Добавки"/>
    <n v="0.3"/>
    <n v="300"/>
    <n v="0.3"/>
    <n v="1000"/>
    <n v="300"/>
    <n v="0.3"/>
    <n v="0"/>
    <n v="0.7"/>
    <n v="0.51"/>
    <n v="0.21000000000000002"/>
    <s v="https://www.youtube.com/watch?v=Mu_glCpe-Y8"/>
    <s v="D:\Video\Колбаса_рецепты\Сочные домашние сардельки Кнакеры.  Как сделать корочку, чтобы сардельки ''хрупали'' при укусе..mp6"/>
    <s v="Да"/>
    <m/>
  </r>
  <r>
    <x v="2"/>
    <x v="1"/>
    <x v="0"/>
    <s v="Соль пищевая"/>
    <s v="Специи"/>
    <n v="0.01"/>
    <n v="10"/>
    <n v="0.38500000000000001"/>
    <n v="1000"/>
    <n v="10"/>
    <n v="0.38500000000000001"/>
    <n v="0"/>
    <n v="0.7"/>
    <n v="0.65449999999999997"/>
    <n v="0.26949999999999996"/>
    <s v="https://www.youtube.com/watch?v=Mu_glCpe-Y8"/>
    <s v="D:\Video\Колбаса_рецепты\Сочные домашние сардельки Кнакеры.  Как сделать корочку, чтобы сардельки ''хрупали'' при укусе..mp7"/>
    <s v="Да"/>
    <m/>
  </r>
  <r>
    <x v="2"/>
    <x v="1"/>
    <x v="0"/>
    <s v="Соль нитритная"/>
    <s v="Специи"/>
    <n v="0.01"/>
    <n v="10"/>
    <n v="1.28"/>
    <n v="1000"/>
    <n v="10"/>
    <n v="1.28"/>
    <n v="0"/>
    <n v="0.7"/>
    <n v="2.1760000000000002"/>
    <n v="0.89600000000000013"/>
    <s v="https://www.youtube.com/watch?v=Mu_glCpe-Y8"/>
    <s v="D:\Video\Колбаса_рецепты\Сочные домашние сардельки Кнакеры.  Как сделать корочку, чтобы сардельки ''хрупали'' при укусе..mp8"/>
    <s v="Да"/>
    <m/>
  </r>
  <r>
    <x v="2"/>
    <x v="1"/>
    <x v="0"/>
    <s v="Сахар"/>
    <s v="Специи"/>
    <n v="2E-3"/>
    <n v="2"/>
    <n v="0.16176470588235295"/>
    <n v="1000"/>
    <n v="2"/>
    <n v="0.16176470588235295"/>
    <n v="0"/>
    <n v="0.7"/>
    <n v="0.27500000000000002"/>
    <n v="0.11323529411764707"/>
    <s v="https://www.youtube.com/watch?v=Mu_glCpe-Y8"/>
    <s v="D:\Video\Колбаса_рецепты\Сочные домашние сардельки Кнакеры.  Как сделать корочку, чтобы сардельки ''хрупали'' при укусе..mp9"/>
    <s v="Да"/>
    <m/>
  </r>
  <r>
    <x v="2"/>
    <x v="1"/>
    <x v="0"/>
    <s v="Перец черный молотый"/>
    <s v="Специи"/>
    <n v="1.2999999999999999E-3"/>
    <n v="1.3"/>
    <n v="1.4229090909090909"/>
    <n v="1000"/>
    <n v="1.3"/>
    <n v="1.4229090909090909"/>
    <n v="0"/>
    <n v="0.7"/>
    <n v="2.4189454545454545"/>
    <n v="0.99603636363636361"/>
    <s v="https://www.youtube.com/watch?v=Mu_glCpe-Y8"/>
    <s v="D:\Video\Колбаса_рецепты\Сочные домашние сардельки Кнакеры.  Как сделать корочку, чтобы сардельки ''хрупали'' при укусе..mp10"/>
    <s v="Да"/>
    <m/>
  </r>
  <r>
    <x v="2"/>
    <x v="1"/>
    <x v="0"/>
    <s v="Кориандр"/>
    <s v="Специи"/>
    <n v="1.2999999999999999E-3"/>
    <n v="1.3"/>
    <n v="0.65288888888888896"/>
    <n v="1000"/>
    <n v="1.3"/>
    <n v="0.65288888888888896"/>
    <n v="0"/>
    <n v="0.7"/>
    <n v="1.1099111111111113"/>
    <n v="0.45702222222222233"/>
    <s v="https://www.youtube.com/watch?v=Mu_glCpe-Y8"/>
    <s v="D:\Video\Колбаса_рецепты\Сочные домашние сардельки Кнакеры.  Как сделать корочку, чтобы сардельки ''хрупали'' при укусе..mp11"/>
    <s v="Да"/>
    <m/>
  </r>
  <r>
    <x v="2"/>
    <x v="1"/>
    <x v="0"/>
    <s v="Фосфат"/>
    <s v="Специи"/>
    <n v="3.0000000000000001E-3"/>
    <n v="3"/>
    <n v="2.2439999999999998"/>
    <n v="1000"/>
    <n v="3"/>
    <n v="2.2439999999999998"/>
    <n v="0"/>
    <n v="0.7"/>
    <n v="3.8147999999999995"/>
    <n v="1.5707999999999998"/>
    <s v="https://www.youtube.com/watch?v=Mu_glCpe-Y8"/>
    <s v="D:\Video\Колбаса_рецепты\Сочные домашние сардельки Кнакеры.  Как сделать корочку, чтобы сардельки ''хрупали'' при укусе..mp12"/>
    <s v="Да"/>
    <m/>
  </r>
  <r>
    <x v="2"/>
    <x v="1"/>
    <x v="0"/>
    <s v="Чеснок сушеный"/>
    <s v="Специи"/>
    <n v="5.9999999999999995E-4"/>
    <n v="0.6"/>
    <n v="0.52699999999999991"/>
    <n v="1000"/>
    <n v="0.6"/>
    <n v="0.52699999999999991"/>
    <n v="0"/>
    <n v="0.7"/>
    <n v="0.89589999999999981"/>
    <n v="0.36889999999999989"/>
    <s v="https://www.youtube.com/watch?v=Mu_glCpe-Y8"/>
    <s v="D:\Video\Колбаса_рецепты\Сочные домашние сардельки Кнакеры.  Как сделать корочку, чтобы сардельки ''хрупали'' при укусе..mp13"/>
    <s v="Да"/>
    <m/>
  </r>
  <r>
    <x v="2"/>
    <x v="1"/>
    <x v="0"/>
    <s v="Свиная черева 32/34"/>
    <s v="Оболочка"/>
    <n v="1E-3"/>
    <n v="1"/>
    <n v="39.348206474190725"/>
    <n v="1000"/>
    <n v="1"/>
    <n v="39.348206474190725"/>
    <n v="0"/>
    <n v="0.7"/>
    <n v="66.891951006124231"/>
    <n v="27.543744531933505"/>
    <s v="https://www.youtube.com/watch?v=Mu_glCpe-Y8"/>
    <s v="D:\Video\Колбаса_рецепты\Сочные домашние сардельки Кнакеры.  Как сделать корочку, чтобы сардельки ''хрупали'' при укусе..mp14"/>
    <s v="Нет"/>
    <m/>
  </r>
  <r>
    <x v="3"/>
    <x v="2"/>
    <x v="1"/>
    <s v="Курица целая"/>
    <s v="Птица"/>
    <n v="1"/>
    <n v="1000"/>
    <n v="200"/>
    <n v="1000"/>
    <n v="1000"/>
    <n v="200"/>
    <n v="0.15"/>
    <n v="0.9"/>
    <n v="447.05882352941182"/>
    <n v="211.76470588235298"/>
    <s v="https://www.youtube.com/watch?v=bwqN7FZs5Ds"/>
    <s v="D:\Video\Колбаса_рецепты\КУРИЦА горячего копчения в коптильне уэк москит.mp4"/>
    <s v="Да"/>
    <m/>
  </r>
  <r>
    <x v="3"/>
    <x v="2"/>
    <x v="1"/>
    <s v="Вода"/>
    <s v="Добавки"/>
    <n v="0.1"/>
    <n v="100"/>
    <n v="0.1"/>
    <n v="1000"/>
    <n v="100"/>
    <n v="0.1"/>
    <n v="0"/>
    <n v="0.9"/>
    <n v="0.19"/>
    <n v="0.09"/>
    <s v="https://www.youtube.com/watch?v=AyC9SVj43Sg"/>
    <s v="D:\Video\Колбаса_рецепты\ХИТ!!! Курица копчено-вареная. Как правильно шприцевать и коптить. Как сделать золотистую корочку.mp4"/>
    <s v="Да"/>
    <m/>
  </r>
  <r>
    <x v="3"/>
    <x v="2"/>
    <x v="1"/>
    <s v="Соль пищевая"/>
    <s v="Специи"/>
    <n v="8.9999999999999993E-3"/>
    <n v="9"/>
    <n v="0.34649999999999997"/>
    <n v="1000"/>
    <n v="9"/>
    <n v="0.34649999999999997"/>
    <n v="0"/>
    <n v="0.9"/>
    <n v="0.65834999999999999"/>
    <n v="0.31185000000000002"/>
    <s v="https://www.youtube.com/watch?v=AyC9SVj43Sg"/>
    <s v="D:\Video\Колбаса_рецепты\ХИТ!!! Курица копчено-вареная. Как правильно шприцевать и коптить. Как сделать золотистую корочку.mp5"/>
    <s v="Да"/>
    <m/>
  </r>
  <r>
    <x v="3"/>
    <x v="2"/>
    <x v="1"/>
    <s v="Соль нитритная"/>
    <s v="Специи"/>
    <n v="8.9999999999999993E-3"/>
    <n v="9"/>
    <n v="1.1520000000000001"/>
    <n v="1000"/>
    <n v="9"/>
    <n v="1.1520000000000001"/>
    <n v="0"/>
    <n v="0.9"/>
    <n v="2.1888000000000005"/>
    <n v="1.0368000000000004"/>
    <s v="https://www.youtube.com/watch?v=AyC9SVj43Sg"/>
    <s v="D:\Video\Колбаса_рецепты\ХИТ!!! Курица копчено-вареная. Как правильно шприцевать и коптить. Как сделать золотистую корочку.mp6"/>
    <s v="Да"/>
    <m/>
  </r>
  <r>
    <x v="3"/>
    <x v="2"/>
    <x v="1"/>
    <s v="Сахар"/>
    <s v="Специи"/>
    <n v="3.0000000000000001E-3"/>
    <n v="3"/>
    <n v="0.24264705882352944"/>
    <n v="1000"/>
    <n v="3"/>
    <n v="0.24264705882352944"/>
    <n v="0"/>
    <n v="0.9"/>
    <n v="0.46102941176470591"/>
    <n v="0.21838235294117647"/>
    <s v="https://www.youtube.com/watch?v=AyC9SVj43Sg"/>
    <s v="D:\Video\Колбаса_рецепты\ХИТ!!! Курица копчено-вареная. Как правильно шприцевать и коптить. Как сделать золотистую корочку.mp7"/>
    <s v="Да"/>
    <m/>
  </r>
  <r>
    <x v="4"/>
    <x v="2"/>
    <x v="1"/>
    <s v="Грудинка свиная"/>
    <s v="Свинина"/>
    <n v="1"/>
    <n v="1000"/>
    <n v="429.99"/>
    <n v="1000"/>
    <n v="1000"/>
    <n v="429.99"/>
    <n v="0.15"/>
    <n v="0.9"/>
    <n v="961.15411764705891"/>
    <n v="455.28352941176479"/>
    <s v="https://www.youtube.com/watch?v=VJPh2ER-Zuw"/>
    <s v="D:\Video\Колбаса_рецепты\ГРУДИНКА ЩЕКОВИНА ГОРЯЧЕГО КОПЧЕНИЯ В моските.mp4"/>
    <s v="Нет"/>
    <m/>
  </r>
  <r>
    <x v="4"/>
    <x v="2"/>
    <x v="1"/>
    <s v="Вода"/>
    <s v="Добавки"/>
    <n v="0.1"/>
    <n v="100"/>
    <n v="0.1"/>
    <n v="1000"/>
    <n v="100"/>
    <n v="0.1"/>
    <n v="0"/>
    <n v="0.9"/>
    <n v="0.19"/>
    <n v="0.09"/>
    <s v="https://www.youtube.com/watch?v=VJPh2ER-Zuw"/>
    <s v="D:\Video\Колбаса_рецепты\ГРУДИНКА ЩЕКОВИНА ГОРЯЧЕГО КОПЧЕНИЯ В моските.mp5"/>
    <s v="Да"/>
    <m/>
  </r>
  <r>
    <x v="4"/>
    <x v="2"/>
    <x v="1"/>
    <s v="Фосфат"/>
    <s v="Специи"/>
    <n v="2E-3"/>
    <n v="2"/>
    <n v="1.496"/>
    <n v="1000"/>
    <n v="2"/>
    <n v="1.496"/>
    <n v="0"/>
    <n v="0.9"/>
    <n v="2.8424"/>
    <n v="1.3464"/>
    <s v="https://www.youtube.com/watch?v=VJPh2ER-Zuw"/>
    <s v="D:\Video\Колбаса_рецепты\ГРУДИНКА ЩЕКОВИНА ГОРЯЧЕГО КОПЧЕНИЯ В моските.mp6"/>
    <s v="Да"/>
    <m/>
  </r>
  <r>
    <x v="4"/>
    <x v="2"/>
    <x v="1"/>
    <s v="Соль пищевая"/>
    <s v="Специи"/>
    <n v="0.01"/>
    <n v="10"/>
    <n v="0.38500000000000001"/>
    <n v="1000"/>
    <n v="10"/>
    <n v="0.38500000000000001"/>
    <n v="0"/>
    <n v="0.9"/>
    <n v="0.73150000000000004"/>
    <n v="0.34650000000000003"/>
    <s v="https://www.youtube.com/watch?v=VJPh2ER-Zuw"/>
    <s v="D:\Video\Колбаса_рецепты\ГРУДИНКА ЩЕКОВИНА ГОРЯЧЕГО КОПЧЕНИЯ В моските.mp7"/>
    <s v="Да"/>
    <m/>
  </r>
  <r>
    <x v="4"/>
    <x v="2"/>
    <x v="1"/>
    <s v="Соль нитритная"/>
    <s v="Специи"/>
    <n v="0.01"/>
    <n v="10"/>
    <n v="1.28"/>
    <n v="1000"/>
    <n v="10"/>
    <n v="1.28"/>
    <n v="0"/>
    <n v="0.9"/>
    <n v="2.4320000000000004"/>
    <n v="1.1520000000000004"/>
    <s v="https://www.youtube.com/watch?v=VJPh2ER-Zuw"/>
    <s v="D:\Video\Колбаса_рецепты\ГРУДИНКА ЩЕКОВИНА ГОРЯЧЕГО КОПЧЕНИЯ В моските.mp8"/>
    <s v="Да"/>
    <m/>
  </r>
  <r>
    <x v="4"/>
    <x v="2"/>
    <x v="1"/>
    <s v="Сахар"/>
    <s v="Специи"/>
    <n v="2E-3"/>
    <n v="2"/>
    <n v="0.16176470588235295"/>
    <n v="1000"/>
    <n v="2"/>
    <n v="0.16176470588235295"/>
    <n v="0"/>
    <n v="0.9"/>
    <n v="0.30735294117647061"/>
    <n v="0.14558823529411766"/>
    <s v="https://www.youtube.com/watch?v=VJPh2ER-Zuw"/>
    <s v="D:\Video\Колбаса_рецепты\ГРУДИНКА ЩЕКОВИНА ГОРЯЧЕГО КОПЧЕНИЯ В моските.mp9"/>
    <s v="Да"/>
    <m/>
  </r>
  <r>
    <x v="4"/>
    <x v="2"/>
    <x v="1"/>
    <s v="Аскорбиновая кислота"/>
    <s v="Специи"/>
    <n v="5.0000000000000001E-4"/>
    <n v="0.5"/>
    <n v="0.85099999999999998"/>
    <n v="1000"/>
    <n v="0.5"/>
    <n v="0.85099999999999998"/>
    <n v="0"/>
    <n v="0.9"/>
    <n v="1.6169"/>
    <n v="0.76590000000000003"/>
    <s v="https://www.youtube.com/watch?v=VJPh2ER-Zuw"/>
    <s v="D:\Video\Колбаса_рецепты\ГРУДИНКА ЩЕКОВИНА ГОРЯЧЕГО КОПЧЕНИЯ В моските.mp10"/>
    <s v="Да"/>
    <m/>
  </r>
  <r>
    <x v="4"/>
    <x v="2"/>
    <x v="1"/>
    <s v="Глютамат натрия"/>
    <s v="Специи"/>
    <n v="1E-3"/>
    <n v="1"/>
    <n v="0.55500000000000005"/>
    <n v="1000"/>
    <n v="1"/>
    <n v="0.55500000000000005"/>
    <n v="0"/>
    <n v="0.9"/>
    <n v="1.0545"/>
    <n v="0.49949999999999994"/>
    <s v="https://www.youtube.com/watch?v=VJPh2ER-Zuw"/>
    <s v="D:\Video\Колбаса_рецепты\ГРУДИНКА ЩЕКОВИНА ГОРЯЧЕГО КОПЧЕНИЯ В моските.mp11"/>
    <s v="Да"/>
    <m/>
  </r>
  <r>
    <x v="5"/>
    <x v="3"/>
    <x v="2"/>
    <s v="Скумбрия"/>
    <s v="Рыба"/>
    <n v="1"/>
    <n v="1000"/>
    <n v="425"/>
    <n v="1000"/>
    <n v="1000"/>
    <n v="425"/>
    <n v="0.15"/>
    <n v="1"/>
    <n v="1000"/>
    <n v="500"/>
    <s v="https://www.youtube.com/watch?v=pcruCdwzRAw"/>
    <s v="D:\Video\Колбаса_рецепты\СКУМБРИЯ - холодное или горячее копчение.mp4"/>
    <s v="Нет"/>
    <m/>
  </r>
  <r>
    <x v="5"/>
    <x v="3"/>
    <x v="2"/>
    <s v="Вода"/>
    <s v="Добавки"/>
    <n v="1"/>
    <n v="1000"/>
    <n v="1"/>
    <n v="1000"/>
    <n v="1000"/>
    <n v="1"/>
    <n v="0"/>
    <n v="1"/>
    <n v="2"/>
    <n v="1"/>
    <s v="https://www.youtube.com/watch?v=pcruCdwzRAw"/>
    <s v="D:\Video\Колбаса_рецепты\СКУМБРИЯ - холодное или горячее копчение.mp5"/>
    <s v="Да"/>
    <m/>
  </r>
  <r>
    <x v="5"/>
    <x v="3"/>
    <x v="2"/>
    <s v="Соль пищевая"/>
    <s v="Специи"/>
    <n v="0.06"/>
    <n v="60"/>
    <n v="2.31"/>
    <n v="1000"/>
    <n v="60"/>
    <n v="2.31"/>
    <n v="0"/>
    <n v="1"/>
    <n v="4.62"/>
    <n v="2.31"/>
    <s v="https://www.youtube.com/watch?v=pcruCdwzRAw"/>
    <s v="D:\Video\Колбаса_рецепты\СКУМБРИЯ - холодное или горячее копчение.mp6"/>
    <s v="Да"/>
    <m/>
  </r>
  <r>
    <x v="6"/>
    <x v="3"/>
    <x v="2"/>
    <s v="Карась"/>
    <s v="Рыба"/>
    <n v="1"/>
    <n v="1000"/>
    <n v="250"/>
    <n v="1000"/>
    <n v="1000"/>
    <n v="250"/>
    <n v="0.15"/>
    <n v="1"/>
    <n v="588.23529411764707"/>
    <n v="294.11764705882354"/>
    <s v="https://www.youtube.com/watch?v=74iIMezDsSk"/>
    <s v="D:\Video\Колбаса_рецепты\КАРАСЬ холодного копчения по казахски от ИГОРЯ в коптильне москит.mp4"/>
    <s v="Да"/>
    <m/>
  </r>
  <r>
    <x v="6"/>
    <x v="3"/>
    <x v="2"/>
    <s v="Соль пищевая"/>
    <s v="Специи"/>
    <n v="0.05"/>
    <n v="50"/>
    <n v="1.925"/>
    <n v="1000"/>
    <n v="50"/>
    <n v="1.925"/>
    <n v="0"/>
    <n v="1"/>
    <n v="3.85"/>
    <n v="1.925"/>
    <s v="https://www.youtube.com/watch?v=74iIMezDsSk"/>
    <s v="D:\Video\Колбаса_рецепты\КАРАСЬ холодного копчения по казахски от ИГОРЯ в коптильне москит.mp5"/>
    <s v="Да"/>
    <m/>
  </r>
  <r>
    <x v="6"/>
    <x v="3"/>
    <x v="2"/>
    <s v="Сахар"/>
    <s v="Специи"/>
    <n v="0.01"/>
    <n v="10"/>
    <n v="0.80882352941176472"/>
    <n v="1000"/>
    <n v="10"/>
    <n v="0.80882352941176472"/>
    <n v="0"/>
    <n v="1"/>
    <n v="1.6176470588235294"/>
    <n v="0.80882352941176472"/>
    <s v="https://www.youtube.com/watch?v=74iIMezDsSk"/>
    <s v="D:\Video\Колбаса_рецепты\КАРАСЬ холодного копчения по казахски от ИГОРЯ в коптильне москит.mp6"/>
    <s v="Да"/>
    <m/>
  </r>
  <r>
    <x v="6"/>
    <x v="3"/>
    <x v="2"/>
    <s v="Перец чили молотый"/>
    <s v="Специи"/>
    <n v="1E-3"/>
    <n v="1"/>
    <n v="0.77636363636363637"/>
    <n v="1000"/>
    <n v="1"/>
    <n v="0.77636363636363637"/>
    <n v="0"/>
    <n v="1"/>
    <n v="1.5527272727272727"/>
    <n v="0.77636363636363637"/>
    <s v="https://www.youtube.com/watch?v=74iIMezDsSk"/>
    <s v="D:\Video\Колбаса_рецепты\КАРАСЬ холодного копчения по казахски от ИГОРЯ в коптильне москит.mp7"/>
    <s v="Нет"/>
    <m/>
  </r>
  <r>
    <x v="6"/>
    <x v="3"/>
    <x v="2"/>
    <s v="Паприка красная молотая"/>
    <s v="Специи"/>
    <n v="3.0000000000000001E-3"/>
    <n v="3"/>
    <n v="2.3454545454545457"/>
    <n v="1000"/>
    <n v="3"/>
    <n v="2.3454545454545457"/>
    <n v="0"/>
    <n v="1"/>
    <n v="4.6909090909090914"/>
    <n v="2.3454545454545457"/>
    <s v="https://www.youtube.com/watch?v=74iIMezDsSk"/>
    <s v="D:\Video\Колбаса_рецепты\КАРАСЬ холодного копчения по казахски от ИГОРЯ в коптильне москит.mp8"/>
    <s v="Нет"/>
    <m/>
  </r>
  <r>
    <x v="6"/>
    <x v="3"/>
    <x v="2"/>
    <s v="Чеснок сушеный"/>
    <s v="Специи"/>
    <n v="2E-3"/>
    <n v="2"/>
    <n v="1.7566666666666666"/>
    <n v="1000"/>
    <n v="2"/>
    <n v="1.7566666666666666"/>
    <n v="0"/>
    <n v="1"/>
    <n v="3.5133333333333332"/>
    <n v="1.7566666666666666"/>
    <s v="https://www.youtube.com/watch?v=74iIMezDsSk"/>
    <s v="D:\Video\Колбаса_рецепты\КАРАСЬ холодного копчения по казахски от ИГОРЯ в коптильне москит.mp9"/>
    <s v="Да"/>
    <m/>
  </r>
  <r>
    <x v="6"/>
    <x v="3"/>
    <x v="2"/>
    <s v="Бадьян"/>
    <s v="Специи"/>
    <n v="1E-4"/>
    <n v="0.1"/>
    <n v="0.39400000000000002"/>
    <n v="1000"/>
    <n v="0.1"/>
    <n v="0.39400000000000002"/>
    <n v="0"/>
    <n v="1"/>
    <n v="0.78800000000000003"/>
    <n v="0.39400000000000002"/>
    <s v="https://www.youtube.com/watch?v=74iIMezDsSk"/>
    <s v="D:\Video\Колбаса_рецепты\КАРАСЬ холодного копчения по казахски от ИГОРЯ в коптильне москит.mp10"/>
    <s v="Нет"/>
    <m/>
  </r>
  <r>
    <x v="6"/>
    <x v="3"/>
    <x v="2"/>
    <s v="Кориандр"/>
    <s v="Специи"/>
    <n v="3.0000000000000001E-3"/>
    <n v="3"/>
    <n v="1.5066666666666668"/>
    <n v="1000"/>
    <n v="3"/>
    <n v="1.5066666666666668"/>
    <n v="0"/>
    <n v="1"/>
    <n v="3.0133333333333336"/>
    <n v="1.5066666666666668"/>
    <s v="https://www.youtube.com/watch?v=74iIMezDsSk"/>
    <s v="D:\Video\Колбаса_рецепты\КАРАСЬ холодного копчения по казахски от ИГОРЯ в коптильне москит.mp11"/>
    <s v="Да"/>
    <m/>
  </r>
  <r>
    <x v="7"/>
    <x v="3"/>
    <x v="2"/>
    <s v="Горбуша"/>
    <s v="Рыба"/>
    <n v="1"/>
    <n v="1000"/>
    <n v="378.55714285714288"/>
    <n v="1000"/>
    <n v="1000"/>
    <n v="378.55714285714288"/>
    <n v="0.15"/>
    <n v="1"/>
    <n v="890.72268907563034"/>
    <n v="445.36134453781517"/>
    <s v="https://www.youtube.com/watch?v=ynKD-Uz8MzQ"/>
    <s v="D:\Video\Колбаса_рецепты\горбуша холодного копчения в коптильне москит.mp4"/>
    <s v="Нет"/>
    <m/>
  </r>
  <r>
    <x v="7"/>
    <x v="3"/>
    <x v="2"/>
    <s v="Вода"/>
    <s v="Добавки"/>
    <n v="1"/>
    <n v="1000"/>
    <n v="1"/>
    <n v="1000"/>
    <n v="1000"/>
    <n v="1"/>
    <n v="0"/>
    <n v="1"/>
    <n v="2"/>
    <n v="1"/>
    <s v="https://www.youtube.com/watch?v=ynKD-Uz8MzQ"/>
    <s v="D:\Video\Колбаса_рецепты\горбуша холодного копчения в коптильне москит.mp5"/>
    <s v="Да"/>
    <m/>
  </r>
  <r>
    <x v="7"/>
    <x v="3"/>
    <x v="2"/>
    <s v="Соль пищевая"/>
    <s v="Специи"/>
    <n v="0.25"/>
    <n v="250"/>
    <n v="9.625"/>
    <n v="1000"/>
    <n v="250"/>
    <n v="9.625"/>
    <n v="0"/>
    <n v="1"/>
    <n v="19.25"/>
    <n v="9.625"/>
    <s v="https://www.youtube.com/watch?v=ynKD-Uz8MzQ"/>
    <s v="D:\Video\Колбаса_рецепты\горбуша холодного копчения в коптильне москит.mp6"/>
    <s v="Да"/>
    <m/>
  </r>
  <r>
    <x v="7"/>
    <x v="3"/>
    <x v="2"/>
    <s v="Сахар"/>
    <s v="Специи"/>
    <n v="2E-3"/>
    <n v="2"/>
    <n v="0.16176470588235295"/>
    <n v="1000"/>
    <n v="2"/>
    <n v="0.16176470588235295"/>
    <n v="0"/>
    <n v="1"/>
    <n v="0.3235294117647059"/>
    <n v="0.16176470588235295"/>
    <s v="https://www.youtube.com/watch?v=ynKD-Uz8MzQ"/>
    <s v="D:\Video\Колбаса_рецепты\горбуша холодного копчения в коптильне москит.mp7"/>
    <s v="Да"/>
    <m/>
  </r>
  <r>
    <x v="8"/>
    <x v="0"/>
    <x v="3"/>
    <s v="Говядина"/>
    <s v="Говядина"/>
    <n v="0.75"/>
    <n v="750"/>
    <n v="532.49250000000006"/>
    <n v="1000"/>
    <n v="750"/>
    <n v="532.49250000000006"/>
    <n v="0.35"/>
    <n v="2"/>
    <n v="2457.6576923076927"/>
    <n v="1638.438461538462"/>
    <s v="https://www.youtube.com/watch?v=VLTAbx7vvAo"/>
    <s v="D:\Video\Колбаса_рецепты\Еврейская копчёная колбаса в домашних условиях. Стандарт 1938г.mp4"/>
    <s v="Да"/>
    <m/>
  </r>
  <r>
    <x v="8"/>
    <x v="0"/>
    <x v="3"/>
    <s v="Жир говяжий"/>
    <s v="Говядина"/>
    <n v="0.25"/>
    <n v="250"/>
    <n v="62.5"/>
    <n v="1000"/>
    <n v="250"/>
    <n v="62.5"/>
    <n v="0.35"/>
    <n v="2"/>
    <n v="288.46153846153845"/>
    <n v="192.30769230769232"/>
    <s v="https://www.youtube.com/watch?v=VLTAbx7vvAo"/>
    <s v="D:\Video\Колбаса_рецепты\Еврейская копчёная колбаса в домашних условиях. Стандарт 1938г.mp5"/>
    <s v="Нет"/>
    <m/>
  </r>
  <r>
    <x v="8"/>
    <x v="0"/>
    <x v="3"/>
    <s v="Соль нитритная"/>
    <s v="Специи"/>
    <n v="2.8000000000000001E-2"/>
    <n v="28"/>
    <n v="3.5840000000000001"/>
    <n v="1000"/>
    <n v="28"/>
    <n v="3.5840000000000001"/>
    <n v="0"/>
    <n v="2"/>
    <n v="10.752000000000001"/>
    <n v="7.168000000000001"/>
    <s v="https://www.youtube.com/watch?v=VLTAbx7vvAo"/>
    <s v="D:\Video\Колбаса_рецепты\Еврейская копчёная колбаса в домашних условиях. Стандарт 1938г.mp6"/>
    <s v="Да"/>
    <m/>
  </r>
  <r>
    <x v="8"/>
    <x v="0"/>
    <x v="3"/>
    <s v="Сахар"/>
    <s v="Специи"/>
    <n v="1E-3"/>
    <n v="1"/>
    <n v="8.0882352941176475E-2"/>
    <n v="1000"/>
    <n v="1"/>
    <n v="8.0882352941176475E-2"/>
    <n v="0"/>
    <n v="2"/>
    <n v="0.24264705882352944"/>
    <n v="0.16176470588235298"/>
    <s v="https://www.youtube.com/watch?v=VLTAbx7vvAo"/>
    <s v="D:\Video\Колбаса_рецепты\Еврейская копчёная колбаса в домашних условиях. Стандарт 1938г.mp7"/>
    <s v="Да"/>
    <m/>
  </r>
  <r>
    <x v="8"/>
    <x v="0"/>
    <x v="3"/>
    <s v="Перец черный молотый"/>
    <s v="Специи"/>
    <n v="2E-3"/>
    <n v="2"/>
    <n v="2.189090909090909"/>
    <n v="1000"/>
    <n v="2"/>
    <n v="2.189090909090909"/>
    <n v="0"/>
    <n v="2"/>
    <n v="6.5672727272727265"/>
    <n v="4.3781818181818171"/>
    <s v="https://www.youtube.com/watch?v=VLTAbx7vvAo"/>
    <s v="D:\Video\Колбаса_рецепты\Еврейская копчёная колбаса в домашних условиях. Стандарт 1938г.mp8"/>
    <s v="Да"/>
    <m/>
  </r>
  <r>
    <x v="8"/>
    <x v="0"/>
    <x v="3"/>
    <s v="Чеснок сушеный"/>
    <s v="Специи"/>
    <n v="1E-3"/>
    <n v="1"/>
    <n v="0.8783333333333333"/>
    <n v="1000"/>
    <n v="1"/>
    <n v="0.8783333333333333"/>
    <n v="0"/>
    <n v="2"/>
    <n v="2.6349999999999998"/>
    <n v="1.7566666666666664"/>
    <s v="https://www.youtube.com/watch?v=VLTAbx7vvAo"/>
    <s v="D:\Video\Колбаса_рецепты\Еврейская копчёная колбаса в домашних условиях. Стандарт 1938г.mp9"/>
    <s v="Да"/>
    <m/>
  </r>
  <r>
    <x v="8"/>
    <x v="0"/>
    <x v="3"/>
    <s v="Нало Ферм 45/50"/>
    <s v="Оболочка"/>
    <n v="1E-3"/>
    <n v="1"/>
    <n v="32.760032760032757"/>
    <n v="1000"/>
    <n v="1"/>
    <n v="32.760032760032757"/>
    <n v="0"/>
    <n v="2"/>
    <n v="98.280098280098272"/>
    <n v="65.520065520065515"/>
    <s v="https://www.youtube.com/watch?v=VLTAbx7vvAo"/>
    <s v="D:\Video\Колбаса_рецепты\Еврейская копчёная колбаса в домашних условиях. Стандарт 1938г.mp10"/>
    <s v="Да"/>
    <m/>
  </r>
  <r>
    <x v="9"/>
    <x v="0"/>
    <x v="3"/>
    <s v="Говядина"/>
    <s v="Говядина"/>
    <n v="0.75"/>
    <n v="750"/>
    <n v="532.49250000000006"/>
    <n v="1000"/>
    <n v="750"/>
    <n v="532.49250000000006"/>
    <n v="0.35"/>
    <n v="2"/>
    <n v="2457.6576923076927"/>
    <n v="1638.438461538462"/>
    <s v="https://www.youtube.com/watch?v=m5Jg6Oz8stE"/>
    <s v="D:\Video\Колбаса_рецепты\МОСКОВСКАЯ КОПЧЕНАЯ домашняя колбаса ГОСТ 1938.mp4"/>
    <s v="Да"/>
    <m/>
  </r>
  <r>
    <x v="9"/>
    <x v="0"/>
    <x v="3"/>
    <s v="Шпик"/>
    <s v="Свинина"/>
    <n v="0.25"/>
    <n v="250"/>
    <n v="75"/>
    <n v="1000"/>
    <n v="250"/>
    <n v="75"/>
    <n v="0.35"/>
    <n v="2"/>
    <n v="346.15384615384619"/>
    <n v="230.7692307692308"/>
    <s v="https://www.youtube.com/watch?v=m5Jg6Oz8stE"/>
    <s v="D:\Video\Колбаса_рецепты\МОСКОВСКАЯ КОПЧЕНАЯ домашняя колбаса ГОСТ 1938.mp5"/>
    <s v="Нет"/>
    <m/>
  </r>
  <r>
    <x v="9"/>
    <x v="0"/>
    <x v="3"/>
    <s v="Соль нитритная"/>
    <s v="Специи"/>
    <n v="2.5999999999999999E-2"/>
    <n v="26"/>
    <n v="3.3280000000000003"/>
    <n v="1000"/>
    <n v="26"/>
    <n v="3.3280000000000003"/>
    <n v="0"/>
    <n v="2"/>
    <n v="9.9840000000000018"/>
    <n v="6.6560000000000015"/>
    <s v="https://www.youtube.com/watch?v=m5Jg6Oz8stE"/>
    <s v="D:\Video\Колбаса_рецепты\МОСКОВСКАЯ КОПЧЕНАЯ домашняя колбаса ГОСТ 1938.mp6"/>
    <s v="Да"/>
    <m/>
  </r>
  <r>
    <x v="9"/>
    <x v="0"/>
    <x v="3"/>
    <s v="Перец черный молотый"/>
    <s v="Специи"/>
    <n v="1E-3"/>
    <n v="1"/>
    <n v="1.0945454545454545"/>
    <n v="1000"/>
    <n v="1"/>
    <n v="1.0945454545454545"/>
    <n v="0"/>
    <n v="2"/>
    <n v="3.2836363636363632"/>
    <n v="2.1890909090909085"/>
    <s v="https://www.youtube.com/watch?v=m5Jg6Oz8stE"/>
    <s v="D:\Video\Колбаса_рецепты\МОСКОВСКАЯ КОПЧЕНАЯ домашняя колбаса ГОСТ 1938.mp7"/>
    <s v="Да"/>
    <m/>
  </r>
  <r>
    <x v="9"/>
    <x v="0"/>
    <x v="3"/>
    <s v="Перец черный горошек"/>
    <s v="Специи"/>
    <n v="1E-3"/>
    <n v="1"/>
    <n v="1.1399999999999999"/>
    <n v="1000"/>
    <n v="1"/>
    <n v="1.1399999999999999"/>
    <n v="0"/>
    <n v="2"/>
    <n v="3.42"/>
    <n v="2.2800000000000002"/>
    <s v="https://www.youtube.com/watch?v=m5Jg6Oz8stE"/>
    <s v="D:\Video\Колбаса_рецепты\МОСКОВСКАЯ КОПЧЕНАЯ домашняя колбаса ГОСТ 1938.mp8"/>
    <s v="Да"/>
    <m/>
  </r>
  <r>
    <x v="9"/>
    <x v="0"/>
    <x v="3"/>
    <s v="Кардамон"/>
    <s v="Специи"/>
    <n v="1E-3"/>
    <n v="1"/>
    <n v="1.5133333333333334"/>
    <n v="1000"/>
    <n v="1"/>
    <n v="1.5133333333333334"/>
    <n v="0"/>
    <n v="2"/>
    <n v="4.54"/>
    <n v="3.0266666666666664"/>
    <s v="https://www.youtube.com/watch?v=m5Jg6Oz8stE"/>
    <s v="D:\Video\Колбаса_рецепты\МОСКОВСКАЯ КОПЧЕНАЯ домашняя колбаса ГОСТ 1938.mp9"/>
    <s v="Да"/>
    <m/>
  </r>
  <r>
    <x v="9"/>
    <x v="0"/>
    <x v="3"/>
    <s v="Сахар"/>
    <s v="Специи"/>
    <n v="2E-3"/>
    <n v="2"/>
    <n v="0.16176470588235295"/>
    <n v="1000"/>
    <n v="2"/>
    <n v="0.16176470588235295"/>
    <n v="0"/>
    <n v="2"/>
    <n v="0.48529411764705888"/>
    <n v="0.32352941176470595"/>
    <s v="https://www.youtube.com/watch?v=m5Jg6Oz8stE"/>
    <s v="D:\Video\Колбаса_рецепты\МОСКОВСКАЯ КОПЧЕНАЯ домашняя колбаса ГОСТ 1938.mp10"/>
    <s v="Да"/>
    <m/>
  </r>
  <r>
    <x v="9"/>
    <x v="0"/>
    <x v="3"/>
    <s v="Нало Ферм 45/50"/>
    <s v="Оболочка"/>
    <n v="1E-3"/>
    <n v="1"/>
    <n v="32.760032760032757"/>
    <n v="1000"/>
    <n v="1"/>
    <n v="32.760032760032757"/>
    <n v="0"/>
    <n v="2"/>
    <n v="98.280098280098272"/>
    <n v="65.520065520065515"/>
    <s v="https://www.youtube.com/watch?v=m5Jg6Oz8stE"/>
    <s v="D:\Video\Колбаса_рецепты\МОСКОВСКАЯ КОПЧЕНАЯ домашняя колбаса ГОСТ 1938.mp11"/>
    <s v="Да"/>
    <m/>
  </r>
  <r>
    <x v="10"/>
    <x v="0"/>
    <x v="4"/>
    <s v="Окорок свиной"/>
    <s v="Свинина"/>
    <n v="0.8"/>
    <n v="800"/>
    <n v="295.2"/>
    <n v="1000"/>
    <n v="800"/>
    <n v="295.2"/>
    <n v="0.35"/>
    <n v="2"/>
    <n v="1362.4615384615383"/>
    <n v="908.30769230769215"/>
    <s v="https://www.youtube.com/watch?v=NcF15xTHz-U"/>
    <s v="D:\Video\Колбаса_рецепты\Салями Милано со стартовыми культурами.mp4"/>
    <s v="Да"/>
    <m/>
  </r>
  <r>
    <x v="10"/>
    <x v="0"/>
    <x v="4"/>
    <s v="Шпик"/>
    <s v="Свинина"/>
    <n v="0.2"/>
    <n v="200"/>
    <n v="60"/>
    <n v="1000"/>
    <n v="200"/>
    <n v="60"/>
    <n v="0.35"/>
    <n v="2"/>
    <n v="276.92307692307691"/>
    <n v="184.61538461538458"/>
    <s v="https://www.youtube.com/watch?v=NcF15xTHz-U"/>
    <s v="D:\Video\Колбаса_рецепты\Салями Милано со стартовыми культурами.mp5"/>
    <s v="Нет"/>
    <m/>
  </r>
  <r>
    <x v="10"/>
    <x v="0"/>
    <x v="4"/>
    <s v="Соль нитритная"/>
    <s v="Специи"/>
    <n v="2.5999999999999999E-2"/>
    <n v="26"/>
    <n v="3.3280000000000003"/>
    <n v="1000"/>
    <n v="26"/>
    <n v="3.3280000000000003"/>
    <n v="0"/>
    <n v="2"/>
    <n v="9.9840000000000018"/>
    <n v="6.6560000000000015"/>
    <s v="https://www.youtube.com/watch?v=NcF15xTHz-U"/>
    <s v="D:\Video\Колбаса_рецепты\Салями Милано со стартовыми культурами.mp6"/>
    <s v="Да"/>
    <m/>
  </r>
  <r>
    <x v="10"/>
    <x v="0"/>
    <x v="4"/>
    <s v="Перец душистый горошек"/>
    <s v="Специи"/>
    <n v="2E-3"/>
    <n v="2"/>
    <n v="3.992"/>
    <n v="1000"/>
    <n v="2"/>
    <n v="3.992"/>
    <n v="0"/>
    <n v="2"/>
    <n v="11.975999999999999"/>
    <n v="7.9839999999999991"/>
    <s v="https://www.youtube.com/watch?v=NcF15xTHz-U"/>
    <s v="D:\Video\Колбаса_рецепты\Салями Милано со стартовыми культурами.mp7"/>
    <s v="Да"/>
    <m/>
  </r>
  <r>
    <x v="10"/>
    <x v="0"/>
    <x v="4"/>
    <s v="Чеснок сушеный"/>
    <s v="Специи"/>
    <n v="1E-3"/>
    <n v="1"/>
    <n v="0.8783333333333333"/>
    <n v="1000"/>
    <n v="1"/>
    <n v="0.8783333333333333"/>
    <n v="0"/>
    <n v="2"/>
    <n v="2.6349999999999998"/>
    <n v="1.7566666666666664"/>
    <s v="https://www.youtube.com/watch?v=NcF15xTHz-U"/>
    <s v="D:\Video\Колбаса_рецепты\Салями Милано со стартовыми культурами.mp8"/>
    <s v="Да"/>
    <m/>
  </r>
  <r>
    <x v="10"/>
    <x v="0"/>
    <x v="4"/>
    <s v="Мускатный орех"/>
    <s v="Специи"/>
    <n v="1E-3"/>
    <n v="1"/>
    <n v="2.0772727272727272"/>
    <n v="1000"/>
    <n v="1"/>
    <n v="2.0772727272727272"/>
    <n v="0"/>
    <n v="2"/>
    <n v="6.2318181818181815"/>
    <n v="4.1545454545454543"/>
    <s v="https://www.youtube.com/watch?v=NcF15xTHz-U"/>
    <s v="D:\Video\Колбаса_рецепты\Салями Милано со стартовыми культурами.mp9"/>
    <s v="Да"/>
    <m/>
  </r>
  <r>
    <x v="10"/>
    <x v="0"/>
    <x v="4"/>
    <s v="Фенхель"/>
    <s v="Специи"/>
    <n v="1E-3"/>
    <n v="1"/>
    <n v="1.4105263157894736"/>
    <n v="1000"/>
    <n v="1"/>
    <n v="1.4105263157894736"/>
    <n v="0"/>
    <n v="2"/>
    <n v="4.2315789473684209"/>
    <n v="2.8210526315789473"/>
    <s v="https://www.youtube.com/watch?v=NcF15xTHz-U"/>
    <s v="D:\Video\Колбаса_рецепты\Салями Милано со стартовыми культурами.mp10"/>
    <s v="Да"/>
    <m/>
  </r>
  <r>
    <x v="10"/>
    <x v="0"/>
    <x v="4"/>
    <s v="Вино красное сухое"/>
    <s v="Добавки"/>
    <n v="0.03"/>
    <n v="30"/>
    <n v="15.51"/>
    <n v="1000"/>
    <n v="30"/>
    <n v="15.51"/>
    <n v="0"/>
    <n v="2"/>
    <n v="46.53"/>
    <n v="31.020000000000003"/>
    <s v="https://www.youtube.com/watch?v=NcF15xTHz-U"/>
    <s v="D:\Video\Колбаса_рецепты\Салями Милано со стартовыми культурами.mp11"/>
    <s v="Да"/>
    <m/>
  </r>
  <r>
    <x v="10"/>
    <x v="0"/>
    <x v="4"/>
    <s v="Стартовые культуры"/>
    <s v="Специи"/>
    <n v="5.0000000000000001E-4"/>
    <n v="0.5"/>
    <n v="2.48"/>
    <n v="1000"/>
    <n v="0.5"/>
    <n v="2.48"/>
    <n v="0"/>
    <n v="2"/>
    <n v="7.4399999999999995"/>
    <n v="4.9599999999999991"/>
    <s v="https://www.youtube.com/watch?v=NcF15xTHz-U"/>
    <s v="D:\Video\Колбаса_рецепты\Салями Милано со стартовыми культурами.mp12"/>
    <s v="Да"/>
    <m/>
  </r>
  <r>
    <x v="10"/>
    <x v="0"/>
    <x v="4"/>
    <s v="Моносахара"/>
    <s v="Специи"/>
    <n v="5.0000000000000001E-3"/>
    <n v="5"/>
    <n v="9.5499999999999989"/>
    <n v="1000"/>
    <n v="5"/>
    <n v="9.5499999999999989"/>
    <n v="0"/>
    <n v="2"/>
    <n v="28.65"/>
    <n v="19.100000000000001"/>
    <s v="https://www.youtube.com/watch?v=NcF15xTHz-U"/>
    <s v="D:\Video\Колбаса_рецепты\Салями Милано со стартовыми культурами.mp13"/>
    <s v="Да"/>
    <m/>
  </r>
  <r>
    <x v="10"/>
    <x v="0"/>
    <x v="4"/>
    <s v="Нало Ферм 45/50"/>
    <s v="Оболочка"/>
    <n v="1E-3"/>
    <n v="1"/>
    <n v="32.760032760032757"/>
    <n v="1000"/>
    <n v="1"/>
    <n v="32.760032760032757"/>
    <n v="0"/>
    <n v="2"/>
    <n v="98.280098280098272"/>
    <n v="65.520065520065515"/>
    <s v="https://www.youtube.com/watch?v=NcF15xTHz-U"/>
    <s v="D:\Video\Колбаса_рецепты\Салями Милано со стартовыми культурами.mp14"/>
    <s v="Да"/>
    <m/>
  </r>
  <r>
    <x v="11"/>
    <x v="3"/>
    <x v="5"/>
    <s v="Сельдь"/>
    <s v="Рыба"/>
    <n v="1"/>
    <n v="1000"/>
    <n v="342.85714285714283"/>
    <n v="1000"/>
    <n v="1000"/>
    <n v="342.85714285714283"/>
    <n v="0.05"/>
    <n v="0.5"/>
    <n v="541.35338345864659"/>
    <n v="180.45112781954884"/>
    <s v="https://www.youtube.com/watch?v=Ci5-qEbJGXQ"/>
    <s v="D:\Video\Колбаса_рецепты\Сельдь пряного посола. Рецептура для рассола. Отделение филе от костей.mp4"/>
    <s v="Нет"/>
    <m/>
  </r>
  <r>
    <x v="11"/>
    <x v="3"/>
    <x v="5"/>
    <s v="Вода"/>
    <s v="Добавки"/>
    <n v="1.43"/>
    <n v="1430"/>
    <n v="1.43"/>
    <n v="1000"/>
    <n v="1430"/>
    <n v="1.43"/>
    <n v="0"/>
    <n v="0.5"/>
    <n v="2.145"/>
    <n v="0.71500000000000008"/>
    <s v="https://www.youtube.com/watch?v=Ci5-qEbJGXQ"/>
    <s v="D:\Video\Колбаса_рецепты\Сельдь пряного посола. Рецептура для рассола. Отделение филе от костей.mp5"/>
    <s v="Да"/>
    <m/>
  </r>
  <r>
    <x v="11"/>
    <x v="3"/>
    <x v="5"/>
    <s v="Соль пищевая"/>
    <s v="Специи"/>
    <n v="0.13"/>
    <n v="130"/>
    <n v="5.0049999999999999"/>
    <n v="1000"/>
    <n v="130"/>
    <n v="5.0049999999999999"/>
    <n v="0"/>
    <n v="0.5"/>
    <n v="7.5075000000000003"/>
    <n v="2.5025000000000004"/>
    <s v="https://www.youtube.com/watch?v=Ci5-qEbJGXQ"/>
    <s v="D:\Video\Колбаса_рецепты\Сельдь пряного посола. Рецептура для рассола. Отделение филе от костей.mp6"/>
    <s v="Да"/>
    <m/>
  </r>
  <r>
    <x v="11"/>
    <x v="3"/>
    <x v="5"/>
    <s v="Лавровый лист"/>
    <s v="Специи"/>
    <n v="2.0000000000000001E-4"/>
    <n v="0.2"/>
    <n v="0.93599999999999994"/>
    <n v="1000"/>
    <n v="0.2"/>
    <n v="0.93599999999999994"/>
    <n v="0"/>
    <n v="0.5"/>
    <n v="1.4039999999999999"/>
    <n v="0.46799999999999997"/>
    <s v="https://www.youtube.com/watch?v=Ci5-qEbJGXQ"/>
    <s v="D:\Video\Колбаса_рецепты\Сельдь пряного посола. Рецептура для рассола. Отделение филе от костей.mp7"/>
    <s v="Да"/>
    <m/>
  </r>
  <r>
    <x v="11"/>
    <x v="3"/>
    <x v="5"/>
    <s v="Мускатный орех"/>
    <s v="Специи"/>
    <n v="2.9999999999999997E-4"/>
    <n v="0.3"/>
    <n v="0.62318181818181817"/>
    <n v="1000"/>
    <n v="0.3"/>
    <n v="0.62318181818181817"/>
    <n v="0"/>
    <n v="0.5"/>
    <n v="0.93477272727272731"/>
    <n v="0.31159090909090914"/>
    <s v="https://www.youtube.com/watch?v=Ci5-qEbJGXQ"/>
    <s v="D:\Video\Колбаса_рецепты\Сельдь пряного посола. Рецептура для рассола. Отделение филе от костей.mp8"/>
    <s v="Да"/>
    <m/>
  </r>
  <r>
    <x v="11"/>
    <x v="3"/>
    <x v="5"/>
    <s v="Перец черный горошек"/>
    <s v="Специи"/>
    <n v="8.9999999999999998E-4"/>
    <n v="0.9"/>
    <n v="1.026"/>
    <n v="1000"/>
    <n v="0.9"/>
    <n v="1.026"/>
    <n v="0"/>
    <n v="0.5"/>
    <n v="1.5390000000000001"/>
    <n v="0.51300000000000012"/>
    <s v="https://www.youtube.com/watch?v=Ci5-qEbJGXQ"/>
    <s v="D:\Video\Колбаса_рецепты\Сельдь пряного посола. Рецептура для рассола. Отделение филе от костей.mp9"/>
    <s v="Да"/>
    <m/>
  </r>
  <r>
    <x v="11"/>
    <x v="3"/>
    <x v="5"/>
    <s v="Сахар"/>
    <s v="Специи"/>
    <n v="2.86E-2"/>
    <n v="28.6"/>
    <n v="2.3132352941176473"/>
    <n v="1000"/>
    <n v="28.6"/>
    <n v="2.3132352941176473"/>
    <n v="0"/>
    <n v="0.5"/>
    <n v="3.4698529411764709"/>
    <n v="1.1566176470588236"/>
    <s v="https://www.youtube.com/watch?v=Ci5-qEbJGXQ"/>
    <s v="D:\Video\Колбаса_рецепты\Сельдь пряного посола. Рецептура для рассола. Отделение филе от костей.mp10"/>
    <s v="Да"/>
    <m/>
  </r>
  <r>
    <x v="11"/>
    <x v="3"/>
    <x v="5"/>
    <s v="Гвоздика"/>
    <s v="Специи"/>
    <n v="1.1000000000000001E-3"/>
    <n v="1.1000000000000001"/>
    <n v="3.0726666666666671"/>
    <n v="1000"/>
    <n v="1.1000000000000001"/>
    <n v="3.0726666666666671"/>
    <n v="0"/>
    <n v="0.5"/>
    <n v="4.6090000000000009"/>
    <n v="1.5363333333333338"/>
    <s v="https://www.youtube.com/watch?v=Ci5-qEbJGXQ"/>
    <s v="D:\Video\Колбаса_рецепты\Сельдь пряного посола. Рецептура для рассола. Отделение филе от костей.mp11"/>
    <s v="Да"/>
    <m/>
  </r>
  <r>
    <x v="11"/>
    <x v="3"/>
    <x v="5"/>
    <s v="Корица молотая"/>
    <s v="Специи"/>
    <n v="8.9999999999999998E-4"/>
    <n v="0.9"/>
    <n v="0.70799999999999996"/>
    <n v="1000"/>
    <n v="0.9"/>
    <n v="0.70799999999999996"/>
    <n v="0"/>
    <n v="0.5"/>
    <n v="1.0619999999999998"/>
    <n v="0.35399999999999987"/>
    <s v="https://www.youtube.com/watch?v=Ci5-qEbJGXQ"/>
    <s v="D:\Video\Колбаса_рецепты\Сельдь пряного посола. Рецептура для рассола. Отделение филе от костей.mp12"/>
    <s v="Да"/>
    <m/>
  </r>
  <r>
    <x v="11"/>
    <x v="3"/>
    <x v="5"/>
    <s v="Мята сухая"/>
    <s v="Специи"/>
    <n v="2.0000000000000001E-4"/>
    <n v="0.2"/>
    <n v="0.1386"/>
    <n v="1000"/>
    <n v="0.2"/>
    <n v="0.1386"/>
    <n v="0"/>
    <n v="0.5"/>
    <n v="0.2079"/>
    <n v="6.93E-2"/>
    <s v="https://www.youtube.com/watch?v=Ci5-qEbJGXQ"/>
    <s v="D:\Video\Колбаса_рецепты\Сельдь пряного посола. Рецептура для рассола. Отделение филе от костей.mp13"/>
    <s v="Да"/>
    <m/>
  </r>
  <r>
    <x v="11"/>
    <x v="3"/>
    <x v="5"/>
    <s v="Перец душистый горошек"/>
    <s v="Специи"/>
    <n v="2.7000000000000001E-3"/>
    <n v="2.7"/>
    <n v="5.3892000000000007"/>
    <n v="1000"/>
    <n v="2.7"/>
    <n v="5.3892000000000007"/>
    <n v="0"/>
    <n v="0.5"/>
    <n v="8.0838000000000001"/>
    <n v="2.6945999999999994"/>
    <s v="https://www.youtube.com/watch?v=Ci5-qEbJGXQ"/>
    <s v="D:\Video\Колбаса_рецепты\Сельдь пряного посола. Рецептура для рассола. Отделение филе от костей.mp14"/>
    <s v="Да"/>
    <m/>
  </r>
  <r>
    <x v="11"/>
    <x v="3"/>
    <x v="5"/>
    <s v="Перец чили молотый"/>
    <s v="Специи"/>
    <n v="4.0000000000000002E-4"/>
    <n v="0.4"/>
    <n v="0.31054545454545457"/>
    <n v="1000"/>
    <n v="0.4"/>
    <n v="0.31054545454545457"/>
    <n v="0"/>
    <n v="0.5"/>
    <n v="0.46581818181818185"/>
    <n v="0.15527272727272728"/>
    <s v="https://www.youtube.com/watch?v=Ci5-qEbJGXQ"/>
    <s v="D:\Video\Колбаса_рецепты\Сельдь пряного посола. Рецептура для рассола. Отделение филе от костей.mp15"/>
    <s v="Нет"/>
    <m/>
  </r>
  <r>
    <x v="11"/>
    <x v="3"/>
    <x v="5"/>
    <s v="Кориандр"/>
    <s v="Специи"/>
    <n v="1.5E-3"/>
    <n v="1.5"/>
    <n v="0.75333333333333341"/>
    <n v="1000"/>
    <n v="1.5"/>
    <n v="0.75333333333333341"/>
    <n v="0"/>
    <n v="0.5"/>
    <n v="1.1300000000000001"/>
    <n v="0.37666666666666671"/>
    <s v="https://www.youtube.com/watch?v=Ci5-qEbJGXQ"/>
    <s v="D:\Video\Колбаса_рецепты\Сельдь пряного посола. Рецептура для рассола. Отделение филе от костей.mp16"/>
    <s v="Да"/>
    <m/>
  </r>
  <r>
    <x v="12"/>
    <x v="0"/>
    <x v="0"/>
    <s v="Язык говяжий"/>
    <s v="Говядина"/>
    <n v="0.25"/>
    <n v="250"/>
    <n v="274.9975"/>
    <n v="1000"/>
    <n v="250"/>
    <n v="274.9975"/>
    <n v="0.15"/>
    <n v="0.7"/>
    <n v="549.995"/>
    <n v="226.46852941176468"/>
    <s v="САМАЯ ВКУСНАЯ КРОВЯНКА - Языковая кровяная колбаса! РОЗЫГРЫШ ПРИЗОВ. - YouTube"/>
    <s v="D:\Video\Колбаса_рецепты\САМАЯ ВКУСНАЯ КРОВЯНКА - Языковая кровяная колбаса! РОЗЫГРЫШ ПРИЗОВ.mp4"/>
    <s v="Нет"/>
    <m/>
  </r>
  <r>
    <x v="12"/>
    <x v="0"/>
    <x v="0"/>
    <s v="Грудинка свиная"/>
    <s v="Свинина"/>
    <n v="0.25"/>
    <n v="250"/>
    <n v="107.4975"/>
    <n v="1000"/>
    <n v="250"/>
    <n v="107.4975"/>
    <n v="0.15"/>
    <n v="0.7"/>
    <n v="214.995"/>
    <n v="88.527352941176474"/>
    <s v="САМАЯ ВКУСНАЯ КРОВЯНКА - Языковая кровяная колбаса! РОЗЫГРЫШ ПРИЗОВ. - YouTube"/>
    <s v="D:\Video\Колбаса_рецепты\САМАЯ ВКУСНАЯ КРОВЯНКА - Языковая кровяная колбаса! РОЗЫГРЫШ ПРИЗОВ.mp5"/>
    <s v="Нет"/>
    <m/>
  </r>
  <r>
    <x v="12"/>
    <x v="0"/>
    <x v="0"/>
    <s v="Окорок свиной"/>
    <s v="Свинина"/>
    <n v="0.25"/>
    <n v="250"/>
    <n v="92.25"/>
    <n v="1000"/>
    <n v="250"/>
    <n v="92.25"/>
    <n v="0.15"/>
    <n v="0.7"/>
    <n v="184.5"/>
    <n v="75.970588235294116"/>
    <s v="САМАЯ ВКУСНАЯ КРОВЯНКА - Языковая кровяная колбаса! РОЗЫГРЫШ ПРИЗОВ. - YouTube"/>
    <s v="D:\Video\Колбаса_рецепты\САМАЯ ВКУСНАЯ КРОВЯНКА - Языковая кровяная колбаса! РОЗЫГРЫШ ПРИЗОВ.mp6"/>
    <s v="Да"/>
    <m/>
  </r>
  <r>
    <x v="12"/>
    <x v="0"/>
    <x v="0"/>
    <s v="Альбумин пищевой (кровь)"/>
    <s v="Добавки"/>
    <n v="6.25E-2"/>
    <n v="62.5"/>
    <n v="62.875"/>
    <n v="1000"/>
    <n v="62.5"/>
    <n v="62.875"/>
    <n v="0"/>
    <n v="0.7"/>
    <n v="106.88749999999999"/>
    <n v="44.012499999999989"/>
    <s v="САМАЯ ВКУСНАЯ КРОВЯНКА - Языковая кровяная колбаса! РОЗЫГРЫШ ПРИЗОВ. - YouTube"/>
    <s v="D:\Video\Колбаса_рецепты\САМАЯ ВКУСНАЯ КРОВЯНКА - Языковая кровяная колбаса! РОЗЫГРЫШ ПРИЗОВ.mp7"/>
    <s v="Нет"/>
    <m/>
  </r>
  <r>
    <x v="12"/>
    <x v="0"/>
    <x v="0"/>
    <s v="Вода"/>
    <s v="Добавки"/>
    <n v="0.1875"/>
    <n v="187.5"/>
    <n v="0.1875"/>
    <n v="1000"/>
    <n v="187.5"/>
    <n v="0.1875"/>
    <n v="0"/>
    <n v="0.7"/>
    <n v="0.31874999999999998"/>
    <n v="0.13124999999999998"/>
    <s v="САМАЯ ВКУСНАЯ КРОВЯНКА - Языковая кровяная колбаса! РОЗЫГРЫШ ПРИЗОВ. - YouTube"/>
    <s v="D:\Video\Колбаса_рецепты\САМАЯ ВКУСНАЯ КРОВЯНКА - Языковая кровяная колбаса! РОЗЫГРЫШ ПРИЗОВ.mp8"/>
    <s v="Да"/>
    <m/>
  </r>
  <r>
    <x v="12"/>
    <x v="0"/>
    <x v="0"/>
    <s v="Аспик, 220 блюм"/>
    <s v="Добавки"/>
    <n v="2.5000000000000001E-2"/>
    <n v="25"/>
    <n v="45.300000000000004"/>
    <n v="1000"/>
    <n v="25"/>
    <n v="45.300000000000004"/>
    <n v="0"/>
    <n v="0.7"/>
    <n v="77.010000000000005"/>
    <n v="31.71"/>
    <s v="САМАЯ ВКУСНАЯ КРОВЯНКА - Языковая кровяная колбаса! РОЗЫГРЫШ ПРИЗОВ. - YouTube"/>
    <s v="D:\Video\Колбаса_рецепты\САМАЯ ВКУСНАЯ КРОВЯНКА - Языковая кровяная колбаса! РОЗЫГРЫШ ПРИЗОВ.mp9"/>
    <s v="Нет"/>
    <m/>
  </r>
  <r>
    <x v="12"/>
    <x v="0"/>
    <x v="0"/>
    <s v="Соль нитритная"/>
    <s v="Специи"/>
    <n v="1.0999999999999999E-2"/>
    <n v="11"/>
    <n v="1.4079999999999999"/>
    <n v="1000"/>
    <n v="11"/>
    <n v="1.4079999999999999"/>
    <n v="0"/>
    <n v="0.7"/>
    <n v="2.3935999999999997"/>
    <n v="0.98559999999999981"/>
    <s v="САМАЯ ВКУСНАЯ КРОВЯНКА - Языковая кровяная колбаса! РОЗЫГРЫШ ПРИЗОВ. - YouTube"/>
    <s v="D:\Video\Колбаса_рецепты\САМАЯ ВКУСНАЯ КРОВЯНКА - Языковая кровяная колбаса! РОЗЫГРЫШ ПРИЗОВ.mp10"/>
    <s v="Да"/>
    <m/>
  </r>
  <r>
    <x v="12"/>
    <x v="0"/>
    <x v="0"/>
    <s v="Соль пищевая"/>
    <s v="Специи"/>
    <n v="1.0999999999999999E-2"/>
    <n v="11"/>
    <n v="0.42349999999999999"/>
    <n v="1000"/>
    <n v="11"/>
    <n v="0.42349999999999999"/>
    <n v="0"/>
    <n v="0.7"/>
    <n v="0.71994999999999998"/>
    <n v="0.29644999999999999"/>
    <s v="САМАЯ ВКУСНАЯ КРОВЯНКА - Языковая кровяная колбаса! РОЗЫГРЫШ ПРИЗОВ. - YouTube"/>
    <s v="D:\Video\Колбаса_рецепты\САМАЯ ВКУСНАЯ КРОВЯНКА - Языковая кровяная колбаса! РОЗЫГРЫШ ПРИЗОВ.mp11"/>
    <s v="Да"/>
    <m/>
  </r>
  <r>
    <x v="12"/>
    <x v="0"/>
    <x v="0"/>
    <s v="Перец черный молотый"/>
    <s v="Специи"/>
    <n v="2E-3"/>
    <n v="2"/>
    <n v="2.189090909090909"/>
    <n v="1000"/>
    <n v="2"/>
    <n v="2.189090909090909"/>
    <n v="0"/>
    <n v="0.7"/>
    <n v="3.7214545454545451"/>
    <n v="1.5323636363636362"/>
    <s v="САМАЯ ВКУСНАЯ КРОВЯНКА - Языковая кровяная колбаса! РОЗЫГРЫШ ПРИЗОВ. - YouTube"/>
    <s v="D:\Video\Колбаса_рецепты\САМАЯ ВКУСНАЯ КРОВЯНКА - Языковая кровяная колбаса! РОЗЫГРЫШ ПРИЗОВ.mp12"/>
    <s v="Да"/>
    <m/>
  </r>
  <r>
    <x v="12"/>
    <x v="0"/>
    <x v="0"/>
    <s v="Майоран"/>
    <s v="Специи"/>
    <n v="2E-3"/>
    <n v="2"/>
    <n v="2.5826086956521741"/>
    <n v="1000"/>
    <n v="2"/>
    <n v="2.5826086956521741"/>
    <n v="0"/>
    <n v="0.7"/>
    <n v="4.390434782608696"/>
    <n v="1.8078260869565219"/>
    <s v="САМАЯ ВКУСНАЯ КРОВЯНКА - Языковая кровяная колбаса! РОЗЫГРЫШ ПРИЗОВ. - YouTube"/>
    <s v="D:\Video\Колбаса_рецепты\САМАЯ ВКУСНАЯ КРОВЯНКА - Языковая кровяная колбаса! РОЗЫГРЫШ ПРИЗОВ.mp13"/>
    <s v="Да"/>
    <m/>
  </r>
  <r>
    <x v="12"/>
    <x v="0"/>
    <x v="0"/>
    <s v="Чеснок сушеный"/>
    <s v="Специи"/>
    <n v="2E-3"/>
    <n v="2"/>
    <n v="1.7566666666666666"/>
    <n v="1000"/>
    <n v="2"/>
    <n v="1.7566666666666666"/>
    <n v="0"/>
    <n v="0.7"/>
    <n v="2.9863333333333331"/>
    <n v="1.2296666666666665"/>
    <s v="САМАЯ ВКУСНАЯ КРОВЯНКА - Языковая кровяная колбаса! РОЗЫГРЫШ ПРИЗОВ. - YouTube"/>
    <s v="D:\Video\Колбаса_рецепты\САМАЯ ВКУСНАЯ КРОВЯНКА - Языковая кровяная колбаса! РОЗЫГРЫШ ПРИЗОВ.mp14"/>
    <s v="Да"/>
    <m/>
  </r>
  <r>
    <x v="12"/>
    <x v="0"/>
    <x v="0"/>
    <s v="Кардамон"/>
    <s v="Специи"/>
    <n v="1E-3"/>
    <n v="1"/>
    <n v="1.5133333333333334"/>
    <n v="1000"/>
    <n v="1"/>
    <n v="1.5133333333333334"/>
    <n v="0"/>
    <n v="0.7"/>
    <n v="2.5726666666666667"/>
    <n v="1.0593333333333332"/>
    <s v="САМАЯ ВКУСНАЯ КРОВЯНКА - Языковая кровяная колбаса! РОЗЫГРЫШ ПРИЗОВ. - YouTube"/>
    <s v="D:\Video\Колбаса_рецепты\САМАЯ ВКУСНАЯ КРОВЯНКА - Языковая кровяная колбаса! РОЗЫГРЫШ ПРИЗОВ.mp15"/>
    <s v="Да"/>
    <m/>
  </r>
  <r>
    <x v="12"/>
    <x v="0"/>
    <x v="0"/>
    <s v="Полиамидная 80"/>
    <s v="Оболочка"/>
    <n v="1E-3"/>
    <n v="1"/>
    <n v="9.7374533266692147"/>
    <n v="1000"/>
    <n v="1"/>
    <n v="9.7374533266692147"/>
    <n v="0"/>
    <n v="0.7"/>
    <n v="16.553670655337665"/>
    <n v="6.8162173286684506"/>
    <s v="САМАЯ ВКУСНАЯ КРОВЯНКА - Языковая кровяная колбаса! РОЗЫГРЫШ ПРИЗОВ. - YouTube"/>
    <s v="D:\Video\Колбаса_рецепты\САМАЯ ВКУСНАЯ КРОВЯНКА - Языковая кровяная колбаса! РОЗЫГРЫШ ПРИЗОВ.mp16"/>
    <s v="Да"/>
    <m/>
  </r>
  <r>
    <x v="13"/>
    <x v="0"/>
    <x v="0"/>
    <s v="Говядина"/>
    <s v="Говядина"/>
    <n v="0.4"/>
    <n v="400"/>
    <n v="283.99599999999998"/>
    <n v="1000"/>
    <n v="400"/>
    <n v="283.99599999999998"/>
    <n v="0.15"/>
    <n v="0.7"/>
    <n v="567.99199999999996"/>
    <n v="233.87905882352936"/>
    <s v="ВЕТЧИННО-РУБЛЕНАЯ вареная домашняя. ГОСТ СССР - YouTube"/>
    <s v="D:\Video\Колбаса_рецепты\ВЕТЧИННО-РУБЛЕНАЯ вареная домашняя. ГОСТ СССР.mp4"/>
    <s v="Да"/>
    <m/>
  </r>
  <r>
    <x v="13"/>
    <x v="0"/>
    <x v="0"/>
    <s v="Окорок свиной"/>
    <s v="Свинина"/>
    <n v="0.6"/>
    <n v="600"/>
    <n v="221.4"/>
    <n v="1000"/>
    <n v="600"/>
    <n v="221.4"/>
    <n v="0.15"/>
    <n v="0.7"/>
    <n v="442.8"/>
    <n v="182.32941176470587"/>
    <s v="ВЕТЧИННО-РУБЛЕНАЯ вареная домашняя. ГОСТ СССР - YouTube"/>
    <s v="D:\Video\Колбаса_рецепты\ВЕТЧИННО-РУБЛЕНАЯ вареная домашняя. ГОСТ СССР.mp4"/>
    <s v="Да"/>
    <m/>
  </r>
  <r>
    <x v="13"/>
    <x v="0"/>
    <x v="0"/>
    <s v="Вода"/>
    <s v="Добавки"/>
    <n v="0.13"/>
    <n v="130"/>
    <n v="0.13"/>
    <n v="1000"/>
    <n v="130"/>
    <n v="0.13"/>
    <n v="0"/>
    <n v="0.7"/>
    <n v="0.221"/>
    <n v="9.0999999999999998E-2"/>
    <s v="ВЕТЧИННО-РУБЛЕНАЯ вареная домашняя. ГОСТ СССР - YouTube"/>
    <s v="D:\Video\Колбаса_рецепты\ВЕТЧИННО-РУБЛЕНАЯ вареная домашняя. ГОСТ СССР.mp4"/>
    <s v="Да"/>
    <m/>
  </r>
  <r>
    <x v="13"/>
    <x v="0"/>
    <x v="0"/>
    <s v="Соль нитритная"/>
    <s v="Специи"/>
    <n v="0.01"/>
    <n v="10"/>
    <n v="1.28"/>
    <n v="1000"/>
    <n v="10"/>
    <n v="1.28"/>
    <n v="0"/>
    <n v="0.7"/>
    <n v="2.1760000000000002"/>
    <n v="0.89600000000000013"/>
    <s v="ВЕТЧИННО-РУБЛЕНАЯ вареная домашняя. ГОСТ СССР - YouTube"/>
    <s v="D:\Video\Колбаса_рецепты\ВЕТЧИННО-РУБЛЕНАЯ вареная домашняя. ГОСТ СССР.mp4"/>
    <s v="Да"/>
    <m/>
  </r>
  <r>
    <x v="13"/>
    <x v="0"/>
    <x v="0"/>
    <s v="Соль пищевая"/>
    <s v="Специи"/>
    <n v="0.01"/>
    <n v="10"/>
    <n v="0.38500000000000001"/>
    <n v="1000"/>
    <n v="10"/>
    <n v="0.38500000000000001"/>
    <n v="0"/>
    <n v="0.7"/>
    <n v="0.65449999999999997"/>
    <n v="0.26949999999999996"/>
    <s v="ВЕТЧИННО-РУБЛЕНАЯ вареная домашняя. ГОСТ СССР - YouTube"/>
    <s v="D:\Video\Колбаса_рецепты\ВЕТЧИННО-РУБЛЕНАЯ вареная домашняя. ГОСТ СССР.mp4"/>
    <s v="Да"/>
    <m/>
  </r>
  <r>
    <x v="13"/>
    <x v="0"/>
    <x v="0"/>
    <s v="Сахар"/>
    <s v="Специи"/>
    <n v="2E-3"/>
    <n v="2"/>
    <n v="0.16176470588235295"/>
    <n v="1000"/>
    <n v="2"/>
    <n v="0.16176470588235295"/>
    <n v="0"/>
    <n v="0.7"/>
    <n v="0.27500000000000002"/>
    <n v="0.11323529411764707"/>
    <s v="ВЕТЧИННО-РУБЛЕНАЯ вареная домашняя. ГОСТ СССР - YouTube"/>
    <s v="D:\Video\Колбаса_рецепты\ВЕТЧИННО-РУБЛЕНАЯ вареная домашняя. ГОСТ СССР.mp4"/>
    <s v="Да"/>
    <m/>
  </r>
  <r>
    <x v="13"/>
    <x v="0"/>
    <x v="0"/>
    <s v="Перец черный молотый"/>
    <s v="Специи"/>
    <n v="2E-3"/>
    <n v="2"/>
    <n v="2.189090909090909"/>
    <n v="1000"/>
    <n v="2"/>
    <n v="2.189090909090909"/>
    <n v="0"/>
    <n v="0.7"/>
    <n v="3.7214545454545451"/>
    <n v="1.5323636363636362"/>
    <s v="ВЕТЧИННО-РУБЛЕНАЯ вареная домашняя. ГОСТ СССР - YouTube"/>
    <s v="D:\Video\Колбаса_рецепты\ВЕТЧИННО-РУБЛЕНАЯ вареная домашняя. ГОСТ СССР.mp4"/>
    <s v="Да"/>
    <m/>
  </r>
  <r>
    <x v="13"/>
    <x v="0"/>
    <x v="0"/>
    <s v="Чеснок сушеный"/>
    <s v="Специи"/>
    <n v="1E-3"/>
    <n v="1"/>
    <n v="0.8783333333333333"/>
    <n v="1000"/>
    <n v="1"/>
    <n v="0.8783333333333333"/>
    <n v="0"/>
    <n v="0.7"/>
    <n v="1.4931666666666665"/>
    <n v="0.61483333333333323"/>
    <s v="ВЕТЧИННО-РУБЛЕНАЯ вареная домашняя. ГОСТ СССР - YouTube"/>
    <s v="D:\Video\Колбаса_рецепты\ВЕТЧИННО-РУБЛЕНАЯ вареная домашняя. ГОСТ СССР.mp4"/>
    <s v="Да"/>
    <m/>
  </r>
  <r>
    <x v="13"/>
    <x v="0"/>
    <x v="0"/>
    <s v="Кориандр"/>
    <s v="Специи"/>
    <n v="1E-3"/>
    <n v="1"/>
    <n v="0.50222222222222224"/>
    <n v="1000"/>
    <n v="1"/>
    <n v="0.50222222222222224"/>
    <n v="0"/>
    <n v="0.7"/>
    <n v="0.85377777777777775"/>
    <n v="0.35155555555555551"/>
    <s v="ВЕТЧИННО-РУБЛЕНАЯ вареная домашняя. ГОСТ СССР - YouTube"/>
    <s v="D:\Video\Колбаса_рецепты\ВЕТЧИННО-РУБЛЕНАЯ вареная домашняя. ГОСТ СССР.mp4"/>
    <s v="Да"/>
    <m/>
  </r>
  <r>
    <x v="13"/>
    <x v="0"/>
    <x v="0"/>
    <s v="Фосфат"/>
    <s v="Специи"/>
    <n v="3.0000000000000001E-3"/>
    <n v="3"/>
    <n v="2.2439999999999998"/>
    <n v="1000"/>
    <n v="3"/>
    <n v="2.2439999999999998"/>
    <n v="0"/>
    <n v="0.7"/>
    <n v="3.8147999999999995"/>
    <n v="1.5707999999999998"/>
    <s v="ВЕТЧИННО-РУБЛЕНАЯ вареная домашняя. ГОСТ СССР - YouTube"/>
    <s v="D:\Video\Колбаса_рецепты\ВЕТЧИННО-РУБЛЕНАЯ вареная домашняя. ГОСТ СССР.mp4"/>
    <s v="Да"/>
    <m/>
  </r>
  <r>
    <x v="13"/>
    <x v="0"/>
    <x v="0"/>
    <s v="Полиамидная 80"/>
    <s v="Оболочка"/>
    <n v="1E-3"/>
    <n v="1"/>
    <n v="9.7374533266692147"/>
    <n v="1000"/>
    <n v="1"/>
    <n v="9.7374533266692147"/>
    <n v="0"/>
    <n v="0.7"/>
    <n v="16.553670655337665"/>
    <n v="6.8162173286684506"/>
    <s v="ВЕТЧИННО-РУБЛЕНАЯ вареная домашняя. ГОСТ СССР - YouTube"/>
    <s v="D:\Video\Колбаса_рецепты\ВЕТЧИННО-РУБЛЕНАЯ вареная домашняя. ГОСТ СССР.mp4"/>
    <s v="Да"/>
    <m/>
  </r>
  <r>
    <x v="14"/>
    <x v="0"/>
    <x v="0"/>
    <s v="Говядина"/>
    <s v="Говядина"/>
    <n v="0.35"/>
    <n v="350"/>
    <n v="248.4965"/>
    <n v="1000"/>
    <n v="350"/>
    <n v="248.4965"/>
    <n v="0.15"/>
    <n v="0.7"/>
    <n v="496.99299999999999"/>
    <n v="204.64417647058821"/>
    <s v="ЛЮБИТЕЛЬСКАЯ КОЛБАСА домашняя, СОВЕТСКИЙ ГОСТ (youtube.com)"/>
    <s v="D:\Video\Колбаса_рецепты\ЛЮБИТЕЛЬСКАЯ КОЛБАСА домашняя, СОВЕТСКИЙ ГОСТ.mp4"/>
    <s v="Да"/>
    <m/>
  </r>
  <r>
    <x v="14"/>
    <x v="0"/>
    <x v="0"/>
    <s v="Окорок свиной"/>
    <s v="Свинина"/>
    <n v="0.4"/>
    <n v="400"/>
    <n v="147.6"/>
    <n v="1000"/>
    <n v="400"/>
    <n v="147.6"/>
    <n v="0.15"/>
    <n v="0.7"/>
    <n v="295.2"/>
    <n v="121.55294117647057"/>
    <s v="ЛЮБИТЕЛЬСКАЯ КОЛБАСА домашняя, СОВЕТСКИЙ ГОСТ (youtube.com)"/>
    <s v="D:\Video\Колбаса_рецепты\ЛЮБИТЕЛЬСКАЯ КОЛБАСА домашняя, СОВЕТСКИЙ ГОСТ.mp5"/>
    <s v="Да"/>
    <m/>
  </r>
  <r>
    <x v="14"/>
    <x v="0"/>
    <x v="0"/>
    <s v="Шпик"/>
    <s v="Свинина"/>
    <n v="0.25"/>
    <n v="250"/>
    <n v="75"/>
    <n v="1000"/>
    <n v="250"/>
    <n v="75"/>
    <n v="0.15"/>
    <n v="0.7"/>
    <n v="150"/>
    <n v="61.764705882352942"/>
    <s v="ЛЮБИТЕЛЬСКАЯ КОЛБАСА домашняя, СОВЕТСКИЙ ГОСТ (youtube.com)"/>
    <s v="D:\Video\Колбаса_рецепты\ЛЮБИТЕЛЬСКАЯ КОЛБАСА домашняя, СОВЕТСКИЙ ГОСТ.mp6"/>
    <s v="Нет"/>
    <m/>
  </r>
  <r>
    <x v="14"/>
    <x v="0"/>
    <x v="0"/>
    <s v="Вода"/>
    <s v="Добавки"/>
    <n v="0.12"/>
    <n v="120"/>
    <n v="0.12"/>
    <n v="1000"/>
    <n v="120"/>
    <n v="0.12"/>
    <n v="0"/>
    <n v="0.7"/>
    <n v="0.20399999999999999"/>
    <n v="8.3999999999999991E-2"/>
    <s v="ЛЮБИТЕЛЬСКАЯ КОЛБАСА домашняя, СОВЕТСКИЙ ГОСТ (youtube.com)"/>
    <s v="D:\Video\Колбаса_рецепты\ЛЮБИТЕЛЬСКАЯ КОЛБАСА домашняя, СОВЕТСКИЙ ГОСТ.mp7"/>
    <s v="Да"/>
    <m/>
  </r>
  <r>
    <x v="14"/>
    <x v="0"/>
    <x v="0"/>
    <s v="Сухое молоко"/>
    <s v="Добавки"/>
    <n v="0.02"/>
    <n v="20"/>
    <n v="10.98"/>
    <n v="1000"/>
    <n v="20"/>
    <n v="10.98"/>
    <n v="0"/>
    <n v="0.7"/>
    <n v="18.666"/>
    <n v="7.6859999999999999"/>
    <s v="ЛЮБИТЕЛЬСКАЯ КОЛБАСА домашняя, СОВЕТСКИЙ ГОСТ (youtube.com)"/>
    <s v="D:\Video\Колбаса_рецепты\ЛЮБИТЕЛЬСКАЯ КОЛБАСА домашняя, СОВЕТСКИЙ ГОСТ.mp8"/>
    <s v="Да"/>
    <m/>
  </r>
  <r>
    <x v="14"/>
    <x v="0"/>
    <x v="0"/>
    <s v="Соль нитритная"/>
    <s v="Специи"/>
    <n v="0.01"/>
    <n v="10"/>
    <n v="1.28"/>
    <n v="1000"/>
    <n v="10"/>
    <n v="1.28"/>
    <n v="0"/>
    <n v="0.7"/>
    <n v="2.1760000000000002"/>
    <n v="0.89600000000000013"/>
    <s v="ЛЮБИТЕЛЬСКАЯ КОЛБАСА домашняя, СОВЕТСКИЙ ГОСТ (youtube.com)"/>
    <s v="D:\Video\Колбаса_рецепты\ЛЮБИТЕЛЬСКАЯ КОЛБАСА домашняя, СОВЕТСКИЙ ГОСТ.mp9"/>
    <s v="Да"/>
    <m/>
  </r>
  <r>
    <x v="14"/>
    <x v="0"/>
    <x v="0"/>
    <s v="Соль пищевая"/>
    <s v="Специи"/>
    <n v="0.01"/>
    <n v="10"/>
    <n v="0.38500000000000001"/>
    <n v="1000"/>
    <n v="10"/>
    <n v="0.38500000000000001"/>
    <n v="0"/>
    <n v="0.7"/>
    <n v="0.65449999999999997"/>
    <n v="0.26949999999999996"/>
    <s v="ЛЮБИТЕЛЬСКАЯ КОЛБАСА домашняя, СОВЕТСКИЙ ГОСТ (youtube.com)"/>
    <s v="D:\Video\Колбаса_рецепты\ЛЮБИТЕЛЬСКАЯ КОЛБАСА домашняя, СОВЕТСКИЙ ГОСТ.mp10"/>
    <s v="Да"/>
    <m/>
  </r>
  <r>
    <x v="14"/>
    <x v="0"/>
    <x v="0"/>
    <s v="Сахар"/>
    <s v="Специи"/>
    <n v="2E-3"/>
    <n v="2"/>
    <n v="0.16176470588235295"/>
    <n v="1000"/>
    <n v="2"/>
    <n v="0.16176470588235295"/>
    <n v="0"/>
    <n v="0.7"/>
    <n v="0.27500000000000002"/>
    <n v="0.11323529411764707"/>
    <s v="ЛЮБИТЕЛЬСКАЯ КОЛБАСА домашняя, СОВЕТСКИЙ ГОСТ (youtube.com)"/>
    <s v="D:\Video\Колбаса_рецепты\ЛЮБИТЕЛЬСКАЯ КОЛБАСА домашняя, СОВЕТСКИЙ ГОСТ.mp11"/>
    <s v="Да"/>
    <m/>
  </r>
  <r>
    <x v="14"/>
    <x v="0"/>
    <x v="0"/>
    <s v="Перец черный молотый"/>
    <s v="Специи"/>
    <n v="1E-3"/>
    <n v="1"/>
    <n v="1.0945454545454545"/>
    <n v="1000"/>
    <n v="1"/>
    <n v="1.0945454545454545"/>
    <n v="0"/>
    <n v="0.7"/>
    <n v="1.8607272727272726"/>
    <n v="0.76618181818181808"/>
    <s v="ЛЮБИТЕЛЬСКАЯ КОЛБАСА домашняя, СОВЕТСКИЙ ГОСТ (youtube.com)"/>
    <s v="D:\Video\Колбаса_рецепты\ЛЮБИТЕЛЬСКАЯ КОЛБАСА домашняя, СОВЕТСКИЙ ГОСТ.mp12"/>
    <s v="Да"/>
    <m/>
  </r>
  <r>
    <x v="14"/>
    <x v="0"/>
    <x v="0"/>
    <s v="Мускатный орех"/>
    <s v="Специи"/>
    <n v="5.0000000000000001E-4"/>
    <n v="0.5"/>
    <n v="1.0386363636363636"/>
    <n v="1000"/>
    <n v="0.5"/>
    <n v="1.0386363636363636"/>
    <n v="0"/>
    <n v="0.7"/>
    <n v="1.7656818181818181"/>
    <n v="0.72704545454545455"/>
    <s v="ЛЮБИТЕЛЬСКАЯ КОЛБАСА домашняя, СОВЕТСКИЙ ГОСТ (youtube.com)"/>
    <s v="D:\Video\Колбаса_рецепты\ЛЮБИТЕЛЬСКАЯ КОЛБАСА домашняя, СОВЕТСКИЙ ГОСТ.mp13"/>
    <s v="Да"/>
    <m/>
  </r>
  <r>
    <x v="14"/>
    <x v="0"/>
    <x v="0"/>
    <s v="Полиамидная 80"/>
    <s v="Оболочка"/>
    <n v="1E-3"/>
    <n v="1"/>
    <n v="9.7374533266692147"/>
    <n v="1000"/>
    <n v="1"/>
    <n v="9.7374533266692147"/>
    <n v="0"/>
    <n v="0.7"/>
    <n v="16.553670655337665"/>
    <n v="6.8162173286684506"/>
    <s v="ЛЮБИТЕЛЬСКАЯ КОЛБАСА домашняя, СОВЕТСКИЙ ГОСТ (youtube.com)"/>
    <s v="D:\Video\Колбаса_рецепты\ЛЮБИТЕЛЬСКАЯ КОЛБАСА домашняя, СОВЕТСКИЙ ГОСТ.mp14"/>
    <s v="Да"/>
    <m/>
  </r>
  <r>
    <x v="15"/>
    <x v="0"/>
    <x v="0"/>
    <s v="Окорок свиной"/>
    <s v="Свинина"/>
    <n v="0.86"/>
    <n v="860"/>
    <n v="317.33999999999997"/>
    <n v="1000"/>
    <n v="860"/>
    <n v="317.33999999999997"/>
    <n v="0.15"/>
    <n v="0.7"/>
    <n v="634.67999999999995"/>
    <n v="261.33882352941174"/>
    <s v="ВЕТЧИНА МРАМОРНАЯ НАСТОЯЩАЯ в домашних условиях (youtube.com)"/>
    <s v="D:\Video\Колбаса_рецепты\ВЕТЧИНА МРАМОРНАЯ НАСТОЯЩАЯ в домашних условиях.mp4"/>
    <s v="Да"/>
    <m/>
  </r>
  <r>
    <x v="15"/>
    <x v="0"/>
    <x v="0"/>
    <s v="Грудинка свиная"/>
    <s v="Свинина"/>
    <n v="0.14000000000000001"/>
    <n v="140"/>
    <n v="60.198599999999999"/>
    <n v="1000"/>
    <n v="140"/>
    <n v="60.198599999999999"/>
    <n v="0.15"/>
    <n v="0.7"/>
    <n v="120.3972"/>
    <n v="49.575317647058824"/>
    <s v="ВЕТЧИНА МРАМОРНАЯ НАСТОЯЩАЯ в домашних условиях (youtube.com)"/>
    <s v="D:\Video\Колбаса_рецепты\ВЕТЧИНА МРАМОРНАЯ НАСТОЯЩАЯ в домашних условиях.mp5"/>
    <s v="Нет"/>
    <m/>
  </r>
  <r>
    <x v="15"/>
    <x v="0"/>
    <x v="0"/>
    <s v="Соль пищевая"/>
    <s v="Специи"/>
    <n v="0.01"/>
    <n v="10"/>
    <n v="0.38500000000000001"/>
    <n v="1000"/>
    <n v="10"/>
    <n v="0.38500000000000001"/>
    <n v="0"/>
    <n v="0.7"/>
    <n v="0.65449999999999997"/>
    <n v="0.26949999999999996"/>
    <s v="ВЕТЧИНА МРАМОРНАЯ НАСТОЯЩАЯ в домашних условиях (youtube.com)"/>
    <s v="D:\Video\Колбаса_рецепты\ВЕТЧИНА МРАМОРНАЯ НАСТОЯЩАЯ в домашних условиях.mp6"/>
    <s v="Да"/>
    <m/>
  </r>
  <r>
    <x v="15"/>
    <x v="0"/>
    <x v="0"/>
    <s v="Соль нитритная"/>
    <s v="Специи"/>
    <n v="0.01"/>
    <n v="10"/>
    <n v="1.28"/>
    <n v="1000"/>
    <n v="10"/>
    <n v="1.28"/>
    <n v="0"/>
    <n v="0.7"/>
    <n v="2.1760000000000002"/>
    <n v="0.89600000000000013"/>
    <s v="ВЕТЧИНА МРАМОРНАЯ НАСТОЯЩАЯ в домашних условиях (youtube.com)"/>
    <s v="D:\Video\Колбаса_рецепты\ВЕТЧИНА МРАМОРНАЯ НАСТОЯЩАЯ в домашних условиях.mp7"/>
    <s v="Да"/>
    <m/>
  </r>
  <r>
    <x v="15"/>
    <x v="0"/>
    <x v="0"/>
    <s v="Вода"/>
    <s v="Добавки"/>
    <n v="0.15"/>
    <n v="150"/>
    <n v="0.15"/>
    <n v="1000"/>
    <n v="150"/>
    <n v="0.15"/>
    <n v="0"/>
    <n v="0.7"/>
    <n v="0.255"/>
    <n v="0.10500000000000001"/>
    <s v="ВЕТЧИНА МРАМОРНАЯ НАСТОЯЩАЯ в домашних условиях (youtube.com)"/>
    <s v="D:\Video\Колбаса_рецепты\ВЕТЧИНА МРАМОРНАЯ НАСТОЯЩАЯ в домашних условиях.mp8"/>
    <s v="Да"/>
    <m/>
  </r>
  <r>
    <x v="15"/>
    <x v="0"/>
    <x v="0"/>
    <s v="Мускатный орех"/>
    <s v="Специи"/>
    <n v="5.0000000000000001E-4"/>
    <n v="0.5"/>
    <n v="1.0386363636363636"/>
    <n v="1000"/>
    <n v="0.5"/>
    <n v="1.0386363636363636"/>
    <n v="0"/>
    <n v="0.7"/>
    <n v="1.7656818181818181"/>
    <n v="0.72704545454545455"/>
    <s v="ВЕТЧИНА МРАМОРНАЯ НАСТОЯЩАЯ в домашних условиях (youtube.com)"/>
    <s v="D:\Video\Колбаса_рецепты\ВЕТЧИНА МРАМОРНАЯ НАСТОЯЩАЯ в домашних условиях.mp9"/>
    <s v="Да"/>
    <m/>
  </r>
  <r>
    <x v="15"/>
    <x v="0"/>
    <x v="0"/>
    <s v="Сахар"/>
    <s v="Специи"/>
    <n v="1.5E-3"/>
    <n v="1.5"/>
    <n v="0.12132352941176472"/>
    <n v="1000"/>
    <n v="1.5"/>
    <n v="0.12132352941176472"/>
    <n v="0"/>
    <n v="0.7"/>
    <n v="0.20625000000000002"/>
    <n v="8.4926470588235298E-2"/>
    <s v="ВЕТЧИНА МРАМОРНАЯ НАСТОЯЩАЯ в домашних условиях (youtube.com)"/>
    <s v="D:\Video\Колбаса_рецепты\ВЕТЧИНА МРАМОРНАЯ НАСТОЯЩАЯ в домашних условиях.mp10"/>
    <s v="Да"/>
    <m/>
  </r>
  <r>
    <x v="15"/>
    <x v="0"/>
    <x v="0"/>
    <s v="Чеснок сушеный"/>
    <s v="Специи"/>
    <n v="5.0000000000000001E-3"/>
    <n v="5"/>
    <n v="4.3916666666666666"/>
    <n v="1000"/>
    <n v="5"/>
    <n v="4.3916666666666666"/>
    <n v="0"/>
    <n v="0.7"/>
    <n v="7.4658333333333324"/>
    <n v="3.0741666666666658"/>
    <s v="ВЕТЧИНА МРАМОРНАЯ НАСТОЯЩАЯ в домашних условиях (youtube.com)"/>
    <s v="D:\Video\Колбаса_рецепты\ВЕТЧИНА МРАМОРНАЯ НАСТОЯЩАЯ в домашних условиях.mp11"/>
    <s v="Да"/>
    <m/>
  </r>
  <r>
    <x v="15"/>
    <x v="0"/>
    <x v="0"/>
    <s v="Фосфат"/>
    <s v="Специи"/>
    <n v="3.0000000000000001E-3"/>
    <n v="3"/>
    <n v="2.2439999999999998"/>
    <n v="1000"/>
    <n v="3"/>
    <n v="2.2439999999999998"/>
    <n v="0"/>
    <n v="0.7"/>
    <n v="3.8147999999999995"/>
    <n v="1.5707999999999998"/>
    <s v="ВЕТЧИНА МРАМОРНАЯ НАСТОЯЩАЯ в домашних условиях (youtube.com)"/>
    <s v="D:\Video\Колбаса_рецепты\ВЕТЧИНА МРАМОРНАЯ НАСТОЯЩАЯ в домашних условиях.mp12"/>
    <s v="Да"/>
    <m/>
  </r>
  <r>
    <x v="15"/>
    <x v="0"/>
    <x v="0"/>
    <s v="Перец черный молотый"/>
    <s v="Специи"/>
    <n v="1.5E-3"/>
    <n v="1.5"/>
    <n v="1.6418181818181816"/>
    <n v="1000"/>
    <n v="1.5"/>
    <n v="1.6418181818181816"/>
    <n v="0"/>
    <n v="0.7"/>
    <n v="2.7910909090909088"/>
    <n v="1.1492727272727272"/>
    <s v="ВЕТЧИНА МРАМОРНАЯ НАСТОЯЩАЯ в домашних условиях (youtube.com)"/>
    <s v="D:\Video\Колбаса_рецепты\ВЕТЧИНА МРАМОРНАЯ НАСТОЯЩАЯ в домашних условиях.mp13"/>
    <s v="Да"/>
    <m/>
  </r>
  <r>
    <x v="15"/>
    <x v="0"/>
    <x v="0"/>
    <s v="Полиамидная 80"/>
    <s v="Оболочка"/>
    <n v="1E-3"/>
    <n v="1"/>
    <n v="9.7374533266692147"/>
    <n v="1000"/>
    <n v="1"/>
    <n v="9.7374533266692147"/>
    <n v="0"/>
    <n v="0.7"/>
    <n v="16.553670655337665"/>
    <n v="6.8162173286684506"/>
    <s v="ВЕТЧИНА МРАМОРНАЯ НАСТОЯЩАЯ в домашних условиях (youtube.com)"/>
    <s v="D:\Video\Колбаса_рецепты\ВЕТЧИНА МРАМОРНАЯ НАСТОЯЩАЯ в домашних условиях.mp14"/>
    <s v="Да"/>
    <m/>
  </r>
  <r>
    <x v="16"/>
    <x v="0"/>
    <x v="4"/>
    <s v="Окорок свиной"/>
    <s v="Свинина"/>
    <n v="0.9"/>
    <n v="900"/>
    <n v="332.1"/>
    <n v="1000"/>
    <n v="900"/>
    <n v="332.1"/>
    <n v="0.35"/>
    <n v="2"/>
    <n v="1532.7692307692309"/>
    <n v="1021.846153846154"/>
    <s v="Делаем ФУЭТ — испанская сыровяленая колбаса в плесени. FUET - YouTube"/>
    <s v="D:\Video\Колбаса_рецепты\Делаем ФУЭТ — испанская сыровяленая колбаса в плесени. FUET.mp4"/>
    <s v="Да"/>
    <m/>
  </r>
  <r>
    <x v="16"/>
    <x v="0"/>
    <x v="4"/>
    <s v="Шпик"/>
    <s v="Свинина"/>
    <n v="0.1"/>
    <n v="100"/>
    <n v="30"/>
    <n v="1000"/>
    <n v="100"/>
    <n v="30"/>
    <n v="0.35"/>
    <n v="2"/>
    <n v="138.46153846153845"/>
    <n v="92.307692307692292"/>
    <s v="Делаем ФУЭТ — испанская сыровяленая колбаса в плесени. FUET - YouTube"/>
    <s v="D:\Video\Колбаса_рецепты\Делаем ФУЭТ — испанская сыровяленая колбаса в плесени. FUET.mp5"/>
    <s v="Нет"/>
    <m/>
  </r>
  <r>
    <x v="16"/>
    <x v="0"/>
    <x v="4"/>
    <s v="Вино белое сухое"/>
    <s v="Добавки"/>
    <n v="0.1"/>
    <n v="100"/>
    <n v="53.900000000000006"/>
    <n v="1000"/>
    <n v="100"/>
    <n v="53.900000000000006"/>
    <n v="0"/>
    <n v="2"/>
    <n v="161.70000000000002"/>
    <n v="107.80000000000001"/>
    <s v="Делаем ФУЭТ — испанская сыровяленая колбаса в плесени. FUET - YouTube"/>
    <s v="D:\Video\Колбаса_рецепты\Делаем ФУЭТ — испанская сыровяленая колбаса в плесени. FUET.mp6"/>
    <s v="Нет"/>
    <m/>
  </r>
  <r>
    <x v="16"/>
    <x v="0"/>
    <x v="4"/>
    <s v="Сухое молоко"/>
    <s v="Добавки"/>
    <n v="0.03"/>
    <n v="30"/>
    <n v="16.470000000000002"/>
    <n v="1000"/>
    <n v="30"/>
    <n v="16.470000000000002"/>
    <n v="0"/>
    <n v="2"/>
    <n v="49.410000000000011"/>
    <n v="32.940000000000012"/>
    <s v="Делаем ФУЭТ — испанская сыровяленая колбаса в плесени. FUET - YouTube"/>
    <s v="D:\Video\Колбаса_рецепты\Делаем ФУЭТ — испанская сыровяленая колбаса в плесени. FUET.mp7"/>
    <s v="Да"/>
    <m/>
  </r>
  <r>
    <x v="16"/>
    <x v="0"/>
    <x v="4"/>
    <s v="Соль нитритная"/>
    <s v="Специи"/>
    <n v="2.5999999999999999E-2"/>
    <n v="26"/>
    <n v="3.3280000000000003"/>
    <n v="1000"/>
    <n v="26"/>
    <n v="3.3280000000000003"/>
    <n v="0"/>
    <n v="2"/>
    <n v="9.9840000000000018"/>
    <n v="6.6560000000000015"/>
    <s v="Делаем ФУЭТ — испанская сыровяленая колбаса в плесени. FUET - YouTube"/>
    <s v="D:\Video\Колбаса_рецепты\Делаем ФУЭТ — испанская сыровяленая колбаса в плесени. FUET.mp8"/>
    <s v="Да"/>
    <m/>
  </r>
  <r>
    <x v="16"/>
    <x v="0"/>
    <x v="4"/>
    <s v="Перец черный молотый"/>
    <s v="Специи"/>
    <n v="2E-3"/>
    <n v="2"/>
    <n v="2.189090909090909"/>
    <n v="1000"/>
    <n v="2"/>
    <n v="2.189090909090909"/>
    <n v="0"/>
    <n v="2"/>
    <n v="6.5672727272727265"/>
    <n v="4.3781818181818171"/>
    <s v="Делаем ФУЭТ — испанская сыровяленая колбаса в плесени. FUET - YouTube"/>
    <s v="D:\Video\Колбаса_рецепты\Делаем ФУЭТ — испанская сыровяленая колбаса в плесени. FUET.mp9"/>
    <s v="Да"/>
    <m/>
  </r>
  <r>
    <x v="16"/>
    <x v="0"/>
    <x v="4"/>
    <s v="Перец белый молотый"/>
    <s v="Специи"/>
    <n v="1E-3"/>
    <n v="1"/>
    <n v="1.58"/>
    <n v="1000"/>
    <n v="1"/>
    <n v="1.58"/>
    <n v="0"/>
    <n v="2"/>
    <n v="4.74"/>
    <n v="3.16"/>
    <s v="Делаем ФУЭТ — испанская сыровяленая колбаса в плесени. FUET - YouTube"/>
    <s v="D:\Video\Колбаса_рецепты\Делаем ФУЭТ — испанская сыровяленая колбаса в плесени. FUET.mp10"/>
    <s v="Да"/>
    <m/>
  </r>
  <r>
    <x v="16"/>
    <x v="0"/>
    <x v="4"/>
    <s v="Кардамон"/>
    <s v="Специи"/>
    <n v="1E-3"/>
    <n v="1"/>
    <n v="1.5133333333333334"/>
    <n v="1000"/>
    <n v="1"/>
    <n v="1.5133333333333334"/>
    <n v="0"/>
    <n v="2"/>
    <n v="4.54"/>
    <n v="3.0266666666666664"/>
    <s v="Делаем ФУЭТ — испанская сыровяленая колбаса в плесени. FUET - YouTube"/>
    <s v="D:\Video\Колбаса_рецепты\Делаем ФУЭТ — испанская сыровяленая колбаса в плесени. FUET.mp11"/>
    <s v="Да"/>
    <m/>
  </r>
  <r>
    <x v="16"/>
    <x v="0"/>
    <x v="4"/>
    <s v="Нало Ферм 45/50"/>
    <s v="Оболочка"/>
    <n v="1E-3"/>
    <n v="1"/>
    <n v="32.760032760032757"/>
    <n v="1000"/>
    <n v="1"/>
    <n v="32.760032760032757"/>
    <n v="0"/>
    <n v="2"/>
    <n v="98.280098280098272"/>
    <n v="65.520065520065515"/>
    <s v="Делаем ФУЭТ — испанская сыровяленая колбаса в плесени. FUET - YouTube"/>
    <s v="D:\Video\Колбаса_рецепты\Делаем ФУЭТ — испанская сыровяленая колбаса в плесени. FUET.mp12"/>
    <s v="Да"/>
    <m/>
  </r>
  <r>
    <x v="17"/>
    <x v="0"/>
    <x v="4"/>
    <s v="Окорок свиной"/>
    <s v="Свинина"/>
    <n v="0.8"/>
    <n v="800"/>
    <n v="295.2"/>
    <n v="1000"/>
    <n v="800"/>
    <n v="295.2"/>
    <n v="0.35"/>
    <n v="2"/>
    <n v="1362.4615384615383"/>
    <n v="908.30769230769215"/>
    <s v="Испанская колбаса Чоризо в домашних условиях - YouTube"/>
    <s v="D:\Video\Колбаса_рецепты\Испанская колбаса Чоризо в домашних условиях.mp4"/>
    <s v="Да"/>
    <m/>
  </r>
  <r>
    <x v="17"/>
    <x v="0"/>
    <x v="4"/>
    <s v="Грудинка свиная"/>
    <s v="Свинина"/>
    <n v="0.2"/>
    <n v="200"/>
    <n v="85.99799999999999"/>
    <n v="1000"/>
    <n v="200"/>
    <n v="85.99799999999999"/>
    <n v="0.35"/>
    <n v="2"/>
    <n v="396.91384615384612"/>
    <n v="264.60923076923075"/>
    <s v="Испанская колбаса Чоризо в домашних условиях - YouTube"/>
    <s v="D:\Video\Колбаса_рецепты\Испанская колбаса Чоризо в домашних условиях.mp5"/>
    <s v="Нет"/>
    <m/>
  </r>
  <r>
    <x v="17"/>
    <x v="0"/>
    <x v="4"/>
    <s v="Вино белое сухое"/>
    <s v="Добавки"/>
    <n v="0.05"/>
    <n v="50"/>
    <n v="26.950000000000003"/>
    <n v="1000"/>
    <n v="50"/>
    <n v="26.950000000000003"/>
    <n v="0"/>
    <n v="2"/>
    <n v="80.850000000000009"/>
    <n v="53.900000000000006"/>
    <s v="Испанская колбаса Чоризо в домашних условиях - YouTube"/>
    <s v="D:\Video\Колбаса_рецепты\Испанская колбаса Чоризо в домашних условиях.mp6"/>
    <s v="Нет"/>
    <m/>
  </r>
  <r>
    <x v="17"/>
    <x v="0"/>
    <x v="4"/>
    <s v="Соль нитритная"/>
    <s v="Специи"/>
    <n v="2.7E-2"/>
    <n v="27"/>
    <n v="3.456"/>
    <n v="1000"/>
    <n v="27"/>
    <n v="3.456"/>
    <n v="0"/>
    <n v="2"/>
    <n v="10.368"/>
    <n v="6.9120000000000008"/>
    <s v="Испанская колбаса Чоризо в домашних условиях - YouTube"/>
    <s v="D:\Video\Колбаса_рецепты\Испанская колбаса Чоризо в домашних условиях.mp7"/>
    <s v="Да"/>
    <m/>
  </r>
  <r>
    <x v="17"/>
    <x v="0"/>
    <x v="4"/>
    <s v="Сахар"/>
    <s v="Специи"/>
    <n v="1E-3"/>
    <n v="1"/>
    <n v="8.0882352941176475E-2"/>
    <n v="1000"/>
    <n v="1"/>
    <n v="8.0882352941176475E-2"/>
    <n v="0"/>
    <n v="2"/>
    <n v="0.24264705882352944"/>
    <n v="0.16176470588235298"/>
    <s v="Испанская колбаса Чоризо в домашних условиях - YouTube"/>
    <s v="D:\Video\Колбаса_рецепты\Испанская колбаса Чоризо в домашних условиях.mp8"/>
    <s v="Да"/>
    <m/>
  </r>
  <r>
    <x v="17"/>
    <x v="0"/>
    <x v="4"/>
    <s v="Паприка копченая молотая"/>
    <s v="Специи"/>
    <n v="0.02"/>
    <n v="20"/>
    <n v="17.920000000000002"/>
    <n v="1000"/>
    <n v="20"/>
    <n v="17.920000000000002"/>
    <n v="0"/>
    <n v="2"/>
    <n v="53.760000000000005"/>
    <n v="35.840000000000003"/>
    <s v="Испанская колбаса Чоризо в домашних условиях - YouTube"/>
    <s v="D:\Video\Колбаса_рецепты\Испанская колбаса Чоризо в домашних условиях.mp9"/>
    <s v="Да"/>
    <m/>
  </r>
  <r>
    <x v="17"/>
    <x v="0"/>
    <x v="4"/>
    <s v="Перец чили молотый"/>
    <s v="Специи"/>
    <n v="2E-3"/>
    <n v="2"/>
    <n v="1.5527272727272727"/>
    <n v="1000"/>
    <n v="2"/>
    <n v="1.5527272727272727"/>
    <n v="0"/>
    <n v="2"/>
    <n v="4.6581818181818182"/>
    <n v="3.1054545454545455"/>
    <s v="Испанская колбаса Чоризо в домашних условиях - YouTube"/>
    <s v="D:\Video\Колбаса_рецепты\Испанская колбаса Чоризо в домашних условиях.mp10"/>
    <s v="Нет"/>
    <m/>
  </r>
  <r>
    <x v="17"/>
    <x v="0"/>
    <x v="4"/>
    <s v="Чеснок сушеный"/>
    <s v="Специи"/>
    <n v="2E-3"/>
    <n v="2"/>
    <n v="1.7566666666666666"/>
    <n v="1000"/>
    <n v="2"/>
    <n v="1.7566666666666666"/>
    <n v="0"/>
    <n v="2"/>
    <n v="5.27"/>
    <n v="3.5133333333333328"/>
    <s v="Испанская колбаса Чоризо в домашних условиях - YouTube"/>
    <s v="D:\Video\Колбаса_рецепты\Испанская колбаса Чоризо в домашних условиях.mp11"/>
    <s v="Да"/>
    <m/>
  </r>
  <r>
    <x v="17"/>
    <x v="0"/>
    <x v="4"/>
    <s v="Нало Ферм 45/50"/>
    <s v="Оболочка"/>
    <n v="1E-3"/>
    <n v="1"/>
    <n v="32.760032760032757"/>
    <n v="1000"/>
    <n v="1"/>
    <n v="32.760032760032757"/>
    <n v="0"/>
    <n v="2"/>
    <n v="98.280098280098272"/>
    <n v="65.520065520065515"/>
    <s v="Испанская колбаса Чоризо в домашних условиях - YouTube"/>
    <s v="D:\Video\Колбаса_рецепты\Испанская колбаса Чоризо в домашних условиях.mp12"/>
    <s v="Да"/>
    <m/>
  </r>
  <r>
    <x v="18"/>
    <x v="0"/>
    <x v="4"/>
    <s v="Окорок свиной"/>
    <s v="Свинина"/>
    <n v="1"/>
    <n v="1000"/>
    <n v="369"/>
    <n v="1000"/>
    <n v="1000"/>
    <n v="369"/>
    <n v="0.35"/>
    <n v="2"/>
    <n v="1703.0769230769229"/>
    <n v="1135.3846153846152"/>
    <s v="Итальянская сыровяленая колбаса Финоккьона в домашних условиях (youtube.com)"/>
    <s v="D:\Video\Колбаса_рецепты\Итальянская сыровяленая колбаса Финоккьона в домашних условиях.mp4"/>
    <s v="Да"/>
    <m/>
  </r>
  <r>
    <x v="18"/>
    <x v="0"/>
    <x v="4"/>
    <s v="Вино красное сухое"/>
    <s v="Добавки"/>
    <n v="0.02"/>
    <n v="20"/>
    <n v="10.34"/>
    <n v="1000"/>
    <n v="20"/>
    <n v="10.34"/>
    <n v="0"/>
    <n v="2"/>
    <n v="31.02"/>
    <n v="20.68"/>
    <s v="Итальянская сыровяленая колбаса Финоккьона в домашних условиях (youtube.com)"/>
    <s v="D:\Video\Колбаса_рецепты\Итальянская сыровяленая колбаса Финоккьона в домашних условиях.mp5"/>
    <s v="Да"/>
    <m/>
  </r>
  <r>
    <x v="18"/>
    <x v="0"/>
    <x v="4"/>
    <s v="Сухое молоко"/>
    <s v="Добавки"/>
    <n v="0.01"/>
    <n v="10"/>
    <n v="5.49"/>
    <n v="1000"/>
    <n v="10"/>
    <n v="5.49"/>
    <n v="0"/>
    <n v="2"/>
    <n v="16.47"/>
    <n v="10.979999999999999"/>
    <s v="Итальянская сыровяленая колбаса Финоккьона в домашних условиях (youtube.com)"/>
    <s v="D:\Video\Колбаса_рецепты\Итальянская сыровяленая колбаса Финоккьона в домашних условиях.mp6"/>
    <s v="Да"/>
    <m/>
  </r>
  <r>
    <x v="18"/>
    <x v="0"/>
    <x v="4"/>
    <s v="Соль нитритная"/>
    <s v="Специи"/>
    <n v="0.03"/>
    <n v="30"/>
    <n v="3.84"/>
    <n v="1000"/>
    <n v="30"/>
    <n v="3.84"/>
    <n v="0"/>
    <n v="2"/>
    <n v="11.52"/>
    <n v="7.68"/>
    <s v="Итальянская сыровяленая колбаса Финоккьона в домашних условиях (youtube.com)"/>
    <s v="D:\Video\Колбаса_рецепты\Итальянская сыровяленая колбаса Финоккьона в домашних условиях.mp7"/>
    <s v="Да"/>
    <m/>
  </r>
  <r>
    <x v="18"/>
    <x v="0"/>
    <x v="4"/>
    <s v="Фенхель"/>
    <s v="Специи"/>
    <n v="3.0000000000000001E-3"/>
    <n v="3"/>
    <n v="4.2315789473684209"/>
    <n v="1000"/>
    <n v="3"/>
    <n v="4.2315789473684209"/>
    <n v="0"/>
    <n v="2"/>
    <n v="12.694736842105263"/>
    <n v="8.4631578947368418"/>
    <s v="Итальянская сыровяленая колбаса Финоккьона в домашних условиях (youtube.com)"/>
    <s v="D:\Video\Колбаса_рецепты\Итальянская сыровяленая колбаса Финоккьона в домашних условиях.mp8"/>
    <s v="Да"/>
    <m/>
  </r>
  <r>
    <x v="18"/>
    <x v="0"/>
    <x v="4"/>
    <s v="Перец черный молотый"/>
    <s v="Специи"/>
    <n v="2.5000000000000001E-3"/>
    <n v="2.5"/>
    <n v="2.7363636363636363"/>
    <n v="1000"/>
    <n v="2.5"/>
    <n v="2.7363636363636363"/>
    <n v="0"/>
    <n v="2"/>
    <n v="8.209090909090909"/>
    <n v="5.4727272727272727"/>
    <s v="Итальянская сыровяленая колбаса Финоккьона в домашних условиях (youtube.com)"/>
    <s v="D:\Video\Колбаса_рецепты\Итальянская сыровяленая колбаса Финоккьона в домашних условиях.mp9"/>
    <s v="Да"/>
    <m/>
  </r>
  <r>
    <x v="18"/>
    <x v="0"/>
    <x v="4"/>
    <s v="Перец белый молотый"/>
    <s v="Специи"/>
    <n v="2E-3"/>
    <n v="2"/>
    <n v="3.16"/>
    <n v="1000"/>
    <n v="2"/>
    <n v="3.16"/>
    <n v="0"/>
    <n v="2"/>
    <n v="9.48"/>
    <n v="6.32"/>
    <s v="Итальянская сыровяленая колбаса Финоккьона в домашних условиях (youtube.com)"/>
    <s v="D:\Video\Колбаса_рецепты\Итальянская сыровяленая колбаса Финоккьона в домашних условиях.mp10"/>
    <s v="Да"/>
    <m/>
  </r>
  <r>
    <x v="18"/>
    <x v="0"/>
    <x v="4"/>
    <s v="Чеснок сушеный"/>
    <s v="Специи"/>
    <n v="2E-3"/>
    <n v="2"/>
    <n v="1.7566666666666666"/>
    <n v="1000"/>
    <n v="2"/>
    <n v="1.7566666666666666"/>
    <n v="0"/>
    <n v="2"/>
    <n v="5.27"/>
    <n v="3.5133333333333328"/>
    <s v="Итальянская сыровяленая колбаса Финоккьона в домашних условиях (youtube.com)"/>
    <s v="D:\Video\Колбаса_рецепты\Итальянская сыровяленая колбаса Финоккьона в домашних условиях.mp11"/>
    <s v="Да"/>
    <m/>
  </r>
  <r>
    <x v="18"/>
    <x v="0"/>
    <x v="4"/>
    <s v="Нало Ферм 45/50"/>
    <s v="Оболочка"/>
    <n v="1E-3"/>
    <n v="1"/>
    <n v="32.760032760032757"/>
    <n v="1000"/>
    <n v="1"/>
    <n v="32.760032760032757"/>
    <n v="0"/>
    <n v="2"/>
    <n v="98.280098280098272"/>
    <n v="65.520065520065515"/>
    <s v="Итальянская сыровяленая колбаса Финоккьона в домашних условиях (youtube.com)"/>
    <s v="D:\Video\Колбаса_рецепты\Итальянская сыровяленая колбаса Финоккьона в домашних условиях.mp12"/>
    <s v="Да"/>
    <m/>
  </r>
  <r>
    <x v="19"/>
    <x v="2"/>
    <x v="5"/>
    <s v="Сало свиное"/>
    <s v="Свинина"/>
    <n v="1"/>
    <n v="1000"/>
    <n v="300"/>
    <n v="1000"/>
    <n v="1000"/>
    <n v="300"/>
    <n v="0.05"/>
    <n v="0.5"/>
    <n v="473.68421052631578"/>
    <n v="157.89473684210526"/>
    <s v="Лучший рецепт засолки сала!! Готовим по ГОСТу 1938г (youtube.com)"/>
    <s v="D:\Video\Колбаса_рецепты\Лучший рецепт засолки сала!! Готовим по ГОСТу 1938г.mp4"/>
    <s v="Да"/>
    <m/>
  </r>
  <r>
    <x v="19"/>
    <x v="2"/>
    <x v="5"/>
    <s v="Вода"/>
    <s v="Добавки"/>
    <n v="1"/>
    <n v="1000"/>
    <n v="1"/>
    <n v="1000"/>
    <n v="1000"/>
    <n v="1"/>
    <n v="0"/>
    <n v="0.5"/>
    <n v="1.5"/>
    <n v="0.5"/>
    <s v="Лучший рецепт засолки сала!! Готовим по ГОСТу 1938г (youtube.com)"/>
    <s v="D:\Video\Колбаса_рецепты\Лучший рецепт засолки сала!! Готовим по ГОСТу 1938г.mp5"/>
    <s v="Да"/>
    <m/>
  </r>
  <r>
    <x v="19"/>
    <x v="2"/>
    <x v="5"/>
    <s v="Соль пищевая"/>
    <s v="Специи"/>
    <n v="0.1"/>
    <n v="100"/>
    <n v="3.85"/>
    <n v="1000"/>
    <n v="100"/>
    <n v="3.85"/>
    <n v="0"/>
    <n v="0.5"/>
    <n v="5.7750000000000004"/>
    <n v="1.9250000000000003"/>
    <s v="Лучший рецепт засолки сала!! Готовим по ГОСТу 1938г (youtube.com)"/>
    <s v="D:\Video\Колбаса_рецепты\Лучший рецепт засолки сала!! Готовим по ГОСТу 1938г.mp6"/>
    <s v="Да"/>
    <m/>
  </r>
  <r>
    <x v="19"/>
    <x v="2"/>
    <x v="5"/>
    <s v="Вода"/>
    <s v="Добавки"/>
    <n v="1"/>
    <n v="1000"/>
    <n v="1"/>
    <n v="1000"/>
    <n v="1000"/>
    <n v="1"/>
    <n v="0"/>
    <n v="0.5"/>
    <n v="1.5"/>
    <n v="0.5"/>
    <s v="Лучший рецепт засолки сала!! Готовим по ГОСТу 1938г (youtube.com)"/>
    <s v="D:\Video\Колбаса_рецепты\Лучший рецепт засолки сала!! Готовим по ГОСТу 1938г.mp7"/>
    <s v="Да"/>
    <m/>
  </r>
  <r>
    <x v="19"/>
    <x v="2"/>
    <x v="5"/>
    <s v="Соль пищевая"/>
    <s v="Специи"/>
    <n v="0.11"/>
    <n v="110"/>
    <n v="4.2350000000000003"/>
    <n v="1000"/>
    <n v="110"/>
    <n v="4.2350000000000003"/>
    <n v="0"/>
    <n v="0.5"/>
    <n v="6.3525000000000009"/>
    <n v="2.1175000000000006"/>
    <s v="Лучший рецепт засолки сала!! Готовим по ГОСТу 1938г (youtube.com)"/>
    <s v="D:\Video\Колбаса_рецепты\Лучший рецепт засолки сала!! Готовим по ГОСТу 1938г.mp8"/>
    <s v="Да"/>
    <m/>
  </r>
  <r>
    <x v="20"/>
    <x v="0"/>
    <x v="1"/>
    <s v="Говядина"/>
    <s v="Говядина"/>
    <n v="0.3"/>
    <n v="300"/>
    <n v="212.99700000000001"/>
    <n v="1000"/>
    <n v="300"/>
    <n v="212.99700000000001"/>
    <n v="0.15"/>
    <n v="0.9"/>
    <n v="476.11094117647065"/>
    <n v="225.52623529411767"/>
    <s v="Классическая Краковская колбаса полукопченая своими руками - YouTube"/>
    <s v="D:\Video\Колбаса_рецепты\Классическая Краковская колбаса полукопченая своими руками.mp4"/>
    <s v="Да"/>
    <m/>
  </r>
  <r>
    <x v="20"/>
    <x v="0"/>
    <x v="1"/>
    <s v="Окорок свиной"/>
    <s v="Свинина"/>
    <n v="0.4"/>
    <n v="400"/>
    <n v="147.6"/>
    <n v="1000"/>
    <n v="400"/>
    <n v="147.6"/>
    <n v="0.15"/>
    <n v="0.9"/>
    <n v="329.92941176470589"/>
    <n v="156.28235294117647"/>
    <s v="Классическая Краковская колбаса полукопченая своими руками - YouTube"/>
    <s v="D:\Video\Колбаса_рецепты\Классическая Краковская колбаса полукопченая своими руками.mp4"/>
    <s v="Да"/>
    <m/>
  </r>
  <r>
    <x v="20"/>
    <x v="0"/>
    <x v="1"/>
    <s v="Грудинка свиная"/>
    <s v="Свинина"/>
    <n v="0.3"/>
    <n v="300"/>
    <n v="128.99699999999999"/>
    <n v="1000"/>
    <n v="300"/>
    <n v="128.99699999999999"/>
    <n v="0.15"/>
    <n v="0.9"/>
    <n v="288.34623529411761"/>
    <n v="136.58505882352938"/>
    <s v="Классическая Краковская колбаса полукопченая своими руками - YouTube"/>
    <s v="D:\Video\Колбаса_рецепты\Классическая Краковская колбаса полукопченая своими руками.mp4"/>
    <s v="Нет"/>
    <m/>
  </r>
  <r>
    <x v="20"/>
    <x v="0"/>
    <x v="1"/>
    <s v="Соль пищевая"/>
    <s v="Специи"/>
    <n v="0.01"/>
    <n v="10"/>
    <n v="0.38500000000000001"/>
    <n v="1000"/>
    <n v="10"/>
    <n v="0.38500000000000001"/>
    <n v="0"/>
    <n v="0.9"/>
    <n v="0.73150000000000004"/>
    <n v="0.34650000000000003"/>
    <s v="Классическая Краковская колбаса полукопченая своими руками - YouTube"/>
    <s v="D:\Video\Колбаса_рецепты\Классическая Краковская колбаса полукопченая своими руками.mp4"/>
    <s v="Да"/>
    <m/>
  </r>
  <r>
    <x v="20"/>
    <x v="0"/>
    <x v="1"/>
    <s v="Соль нитритная"/>
    <s v="Специи"/>
    <n v="0.01"/>
    <n v="10"/>
    <n v="1.28"/>
    <n v="1000"/>
    <n v="10"/>
    <n v="1.28"/>
    <n v="0"/>
    <n v="0.9"/>
    <n v="2.4320000000000004"/>
    <n v="1.1520000000000004"/>
    <s v="Классическая Краковская колбаса полукопченая своими руками - YouTube"/>
    <s v="D:\Video\Колбаса_рецепты\Классическая Краковская колбаса полукопченая своими руками.mp4"/>
    <s v="Да"/>
    <m/>
  </r>
  <r>
    <x v="20"/>
    <x v="0"/>
    <x v="1"/>
    <s v="Сахар"/>
    <s v="Специи"/>
    <n v="1E-3"/>
    <n v="1"/>
    <n v="8.0882352941176475E-2"/>
    <n v="1000"/>
    <n v="1"/>
    <n v="8.0882352941176475E-2"/>
    <n v="0"/>
    <n v="0.9"/>
    <n v="0.1536764705882353"/>
    <n v="7.2794117647058829E-2"/>
    <s v="Классическая Краковская колбаса полукопченая своими руками - YouTube"/>
    <s v="D:\Video\Колбаса_рецепты\Классическая Краковская колбаса полукопченая своими руками.mp4"/>
    <s v="Да"/>
    <m/>
  </r>
  <r>
    <x v="20"/>
    <x v="0"/>
    <x v="1"/>
    <s v="Перец черный молотый"/>
    <s v="Специи"/>
    <n v="5.0000000000000001E-4"/>
    <n v="0.5"/>
    <n v="0.54727272727272724"/>
    <n v="1000"/>
    <n v="0.5"/>
    <n v="0.54727272727272724"/>
    <n v="0"/>
    <n v="0.9"/>
    <n v="1.0398181818181818"/>
    <n v="0.49254545454545451"/>
    <s v="Классическая Краковская колбаса полукопченая своими руками - YouTube"/>
    <s v="D:\Video\Колбаса_рецепты\Классическая Краковская колбаса полукопченая своими руками.mp4"/>
    <s v="Да"/>
    <m/>
  </r>
  <r>
    <x v="20"/>
    <x v="0"/>
    <x v="1"/>
    <s v="Перец душистый горошек"/>
    <s v="Специи"/>
    <n v="5.0000000000000001E-4"/>
    <n v="0.5"/>
    <n v="0.998"/>
    <n v="1000"/>
    <n v="0.5"/>
    <n v="0.998"/>
    <n v="0"/>
    <n v="0.9"/>
    <n v="1.8961999999999999"/>
    <n v="0.89819999999999989"/>
    <s v="Классическая Краковская колбаса полукопченая своими руками - YouTube"/>
    <s v="D:\Video\Колбаса_рецепты\Классическая Краковская колбаса полукопченая своими руками.mp4"/>
    <s v="Да"/>
    <m/>
  </r>
  <r>
    <x v="20"/>
    <x v="0"/>
    <x v="1"/>
    <s v="Чеснок сушеный"/>
    <s v="Специи"/>
    <n v="5.0000000000000001E-4"/>
    <n v="0.5"/>
    <n v="0.43916666666666665"/>
    <n v="1000"/>
    <n v="0.5"/>
    <n v="0.43916666666666665"/>
    <n v="0"/>
    <n v="0.9"/>
    <n v="0.83441666666666658"/>
    <n v="0.39524999999999993"/>
    <s v="Классическая Краковская колбаса полукопченая своими руками - YouTube"/>
    <s v="D:\Video\Колбаса_рецепты\Классическая Краковская колбаса полукопченая своими руками.mp4"/>
    <s v="Да"/>
    <m/>
  </r>
  <r>
    <x v="20"/>
    <x v="0"/>
    <x v="1"/>
    <s v="Свиная черева 38/40"/>
    <s v="Оболочка"/>
    <n v="1E-3"/>
    <n v="1"/>
    <n v="26.014326334208224"/>
    <n v="1000"/>
    <n v="1"/>
    <n v="26.014326334208224"/>
    <n v="0"/>
    <n v="0.9"/>
    <n v="49.427220034995628"/>
    <n v="23.412893700787404"/>
    <s v="Классическая Краковская колбаса полукопченая своими руками - YouTube"/>
    <s v="D:\Video\Колбаса_рецепты\Классическая Краковская колбаса полукопченая своими руками.mp4"/>
    <s v="Да"/>
    <m/>
  </r>
  <r>
    <x v="21"/>
    <x v="0"/>
    <x v="0"/>
    <s v="Окорок свиной"/>
    <s v="Свинина"/>
    <n v="1"/>
    <n v="1000"/>
    <n v="369"/>
    <n v="1000"/>
    <n v="1000"/>
    <n v="369"/>
    <n v="0.15"/>
    <n v="0.7"/>
    <n v="738"/>
    <n v="303.88235294117646"/>
    <s v="Очень вкусная домашняя колбаса - Дрогобычская. Просто, дома, своими руками - YouTube"/>
    <s v="D:\Video\Колбаса_рецепты\Очень вкусная домашняя колбаса - Дрогобычская. Просто, дома, своими руками.mp4"/>
    <s v="Да"/>
    <m/>
  </r>
  <r>
    <x v="21"/>
    <x v="0"/>
    <x v="0"/>
    <s v="Вода"/>
    <s v="Добавки"/>
    <n v="0.13"/>
    <n v="130"/>
    <n v="0.13"/>
    <n v="1000"/>
    <n v="130"/>
    <n v="0.13"/>
    <n v="0"/>
    <n v="0.7"/>
    <n v="0.221"/>
    <n v="9.0999999999999998E-2"/>
    <s v="Очень вкусная домашняя колбаса - Дрогобычская. Просто, дома, своими руками - YouTube"/>
    <s v="D:\Video\Колбаса_рецепты\Очень вкусная домашняя колбаса - Дрогобычская. Просто, дома, своими руками.mp4"/>
    <s v="Да"/>
    <m/>
  </r>
  <r>
    <x v="21"/>
    <x v="0"/>
    <x v="0"/>
    <s v="Соль нитритная"/>
    <s v="Специи"/>
    <n v="0.02"/>
    <n v="20"/>
    <n v="2.56"/>
    <n v="1000"/>
    <n v="20"/>
    <n v="2.56"/>
    <n v="0"/>
    <n v="0.7"/>
    <n v="4.3520000000000003"/>
    <n v="1.7920000000000003"/>
    <s v="Очень вкусная домашняя колбаса - Дрогобычская. Просто, дома, своими руками - YouTube"/>
    <s v="D:\Video\Колбаса_рецепты\Очень вкусная домашняя колбаса - Дрогобычская. Просто, дома, своими руками.mp4"/>
    <s v="Да"/>
    <m/>
  </r>
  <r>
    <x v="21"/>
    <x v="0"/>
    <x v="0"/>
    <s v="Сахар"/>
    <s v="Специи"/>
    <n v="2E-3"/>
    <n v="2"/>
    <n v="0.16176470588235295"/>
    <n v="1000"/>
    <n v="2"/>
    <n v="0.16176470588235295"/>
    <n v="0"/>
    <n v="0.7"/>
    <n v="0.27500000000000002"/>
    <n v="0.11323529411764707"/>
    <s v="Очень вкусная домашняя колбаса - Дрогобычская. Просто, дома, своими руками - YouTube"/>
    <s v="D:\Video\Колбаса_рецепты\Очень вкусная домашняя колбаса - Дрогобычская. Просто, дома, своими руками.mp4"/>
    <s v="Да"/>
    <m/>
  </r>
  <r>
    <x v="21"/>
    <x v="0"/>
    <x v="0"/>
    <s v="Фосфат"/>
    <s v="Специи"/>
    <n v="2E-3"/>
    <n v="2"/>
    <n v="1.496"/>
    <n v="1000"/>
    <n v="2"/>
    <n v="1.496"/>
    <n v="0"/>
    <n v="0.7"/>
    <n v="2.5431999999999997"/>
    <n v="1.0471999999999997"/>
    <s v="Очень вкусная домашняя колбаса - Дрогобычская. Просто, дома, своими руками - YouTube"/>
    <s v="D:\Video\Колбаса_рецепты\Очень вкусная домашняя колбаса - Дрогобычская. Просто, дома, своими руками.mp4"/>
    <s v="Да"/>
    <m/>
  </r>
  <r>
    <x v="21"/>
    <x v="0"/>
    <x v="0"/>
    <s v="Перец черный молотый"/>
    <s v="Специи"/>
    <n v="2E-3"/>
    <n v="2"/>
    <n v="2.189090909090909"/>
    <n v="1000"/>
    <n v="2"/>
    <n v="2.189090909090909"/>
    <n v="0"/>
    <n v="0.7"/>
    <n v="3.7214545454545451"/>
    <n v="1.5323636363636362"/>
    <s v="Очень вкусная домашняя колбаса - Дрогобычская. Просто, дома, своими руками - YouTube"/>
    <s v="D:\Video\Колбаса_рецепты\Очень вкусная домашняя колбаса - Дрогобычская. Просто, дома, своими руками.mp4"/>
    <s v="Да"/>
    <m/>
  </r>
  <r>
    <x v="21"/>
    <x v="0"/>
    <x v="0"/>
    <s v="Перец душистый горошек"/>
    <s v="Специи"/>
    <n v="1E-3"/>
    <n v="1"/>
    <n v="1.996"/>
    <n v="1000"/>
    <n v="1"/>
    <n v="1.996"/>
    <n v="0"/>
    <n v="0.7"/>
    <n v="3.3932000000000002"/>
    <n v="1.3972000000000002"/>
    <s v="Очень вкусная домашняя колбаса - Дрогобычская. Просто, дома, своими руками - YouTube"/>
    <s v="D:\Video\Колбаса_рецепты\Очень вкусная домашняя колбаса - Дрогобычская. Просто, дома, своими руками.mp4"/>
    <s v="Да"/>
    <m/>
  </r>
  <r>
    <x v="21"/>
    <x v="0"/>
    <x v="0"/>
    <s v="Тмин"/>
    <s v="Специи"/>
    <n v="2E-3"/>
    <n v="2"/>
    <n v="2.2639999999999998"/>
    <n v="1000"/>
    <n v="2"/>
    <n v="2.2639999999999998"/>
    <n v="0"/>
    <n v="0.7"/>
    <n v="3.8487999999999998"/>
    <n v="1.5848"/>
    <s v="Очень вкусная домашняя колбаса - Дрогобычская. Просто, дома, своими руками - YouTube"/>
    <s v="D:\Video\Колбаса_рецепты\Очень вкусная домашняя колбаса - Дрогобычская. Просто, дома, своими руками.mp4"/>
    <s v="Да"/>
    <m/>
  </r>
  <r>
    <x v="21"/>
    <x v="0"/>
    <x v="0"/>
    <s v="Чеснок сушеный"/>
    <s v="Специи"/>
    <n v="3.0000000000000001E-3"/>
    <n v="3"/>
    <n v="2.6349999999999998"/>
    <n v="1000"/>
    <n v="3"/>
    <n v="2.6349999999999998"/>
    <n v="0"/>
    <n v="0.7"/>
    <n v="4.4794999999999998"/>
    <n v="1.8445"/>
    <s v="Очень вкусная домашняя колбаса - Дрогобычская. Просто, дома, своими руками - YouTube"/>
    <s v="D:\Video\Колбаса_рецепты\Очень вкусная домашняя колбаса - Дрогобычская. Просто, дома, своими руками.mp4"/>
    <s v="Да"/>
    <m/>
  </r>
  <r>
    <x v="21"/>
    <x v="0"/>
    <x v="0"/>
    <s v="Коллагеновая 45/50"/>
    <s v="Оболочка"/>
    <n v="1E-3"/>
    <n v="1"/>
    <n v="29.333333333333332"/>
    <n v="1000"/>
    <n v="1"/>
    <n v="29.333333333333332"/>
    <n v="0"/>
    <n v="0.7"/>
    <n v="49.86666666666666"/>
    <n v="20.533333333333328"/>
    <s v="Очень вкусная домашняя колбаса - Дрогобычская. Просто, дома, своими руками - YouTube"/>
    <s v="D:\Video\Колбаса_рецепты\Очень вкусная домашняя колбаса - Дрогобычская. Просто, дома, своими руками.mp4"/>
    <s v="Да"/>
    <m/>
  </r>
  <r>
    <x v="22"/>
    <x v="0"/>
    <x v="0"/>
    <s v="Грудка куриная"/>
    <s v="Птица"/>
    <n v="0.5"/>
    <n v="500"/>
    <n v="139.995"/>
    <n v="1000"/>
    <n v="500"/>
    <n v="139.995"/>
    <n v="0.15"/>
    <n v="0.7"/>
    <n v="279.99"/>
    <n v="115.28999999999999"/>
    <s v="Ветчина куриная в духовке по семейному рецепту (youtube.com)"/>
    <s v="D:\Video\Колбаса_рецепты\Ветчина куриная в духовке по семейному рецепту.mp4"/>
    <s v="Нет"/>
    <m/>
  </r>
  <r>
    <x v="22"/>
    <x v="0"/>
    <x v="0"/>
    <s v="Бедра куриные"/>
    <s v="Птица"/>
    <n v="0.5"/>
    <n v="500"/>
    <n v="130.58823529411765"/>
    <n v="1000"/>
    <n v="500"/>
    <n v="130.58823529411765"/>
    <n v="0.15"/>
    <n v="0.7"/>
    <n v="261.1764705882353"/>
    <n v="107.54325259515571"/>
    <s v="Ветчина куриная в духовке по семейному рецепту (youtube.com)"/>
    <s v="D:\Video\Колбаса_рецепты\Ветчина куриная в духовке по семейному рецепту.mp4"/>
    <s v="Нет"/>
    <m/>
  </r>
  <r>
    <x v="22"/>
    <x v="0"/>
    <x v="0"/>
    <s v="Вода"/>
    <s v="Добавки"/>
    <n v="0.13"/>
    <n v="130"/>
    <n v="0.13"/>
    <n v="1000"/>
    <n v="130"/>
    <n v="0.13"/>
    <n v="0"/>
    <n v="0.7"/>
    <n v="0.221"/>
    <n v="9.0999999999999998E-2"/>
    <s v="Ветчина куриная в духовке по семейному рецепту (youtube.com)"/>
    <s v="D:\Video\Колбаса_рецепты\Ветчина куриная в духовке по семейному рецепту.mp4"/>
    <s v="Да"/>
    <m/>
  </r>
  <r>
    <x v="22"/>
    <x v="0"/>
    <x v="0"/>
    <s v="Соль нитритная"/>
    <s v="Специи"/>
    <n v="8.9999999999999993E-3"/>
    <n v="9"/>
    <n v="1.1520000000000001"/>
    <n v="1000"/>
    <n v="9"/>
    <n v="1.1520000000000001"/>
    <n v="0"/>
    <n v="0.7"/>
    <n v="1.9584000000000001"/>
    <n v="0.80640000000000001"/>
    <s v="Ветчина куриная в духовке по семейному рецепту (youtube.com)"/>
    <s v="D:\Video\Колбаса_рецепты\Ветчина куриная в духовке по семейному рецепту.mp4"/>
    <s v="Да"/>
    <m/>
  </r>
  <r>
    <x v="22"/>
    <x v="0"/>
    <x v="0"/>
    <s v="Соль пищевая"/>
    <s v="Специи"/>
    <n v="8.9999999999999993E-3"/>
    <n v="9"/>
    <n v="0.34649999999999997"/>
    <n v="1000"/>
    <n v="9"/>
    <n v="0.34649999999999997"/>
    <n v="0"/>
    <n v="0.7"/>
    <n v="0.58904999999999996"/>
    <n v="0.24254999999999999"/>
    <s v="Ветчина куриная в духовке по семейному рецепту (youtube.com)"/>
    <s v="D:\Video\Колбаса_рецепты\Ветчина куриная в духовке по семейному рецепту.mp4"/>
    <s v="Да"/>
    <m/>
  </r>
  <r>
    <x v="22"/>
    <x v="0"/>
    <x v="0"/>
    <s v="Сахар"/>
    <s v="Специи"/>
    <n v="2E-3"/>
    <n v="2"/>
    <n v="0.16176470588235295"/>
    <n v="1000"/>
    <n v="2"/>
    <n v="0.16176470588235295"/>
    <n v="0"/>
    <n v="0.7"/>
    <n v="0.27500000000000002"/>
    <n v="0.11323529411764707"/>
    <s v="Ветчина куриная в духовке по семейному рецепту (youtube.com)"/>
    <s v="D:\Video\Колбаса_рецепты\Ветчина куриная в духовке по семейному рецепту.mp4"/>
    <s v="Да"/>
    <m/>
  </r>
  <r>
    <x v="22"/>
    <x v="0"/>
    <x v="0"/>
    <s v="Перец черный молотый"/>
    <s v="Специи"/>
    <n v="1E-3"/>
    <n v="1"/>
    <n v="1.0945454545454545"/>
    <n v="1000"/>
    <n v="1"/>
    <n v="1.0945454545454545"/>
    <n v="0"/>
    <n v="0.7"/>
    <n v="1.8607272727272726"/>
    <n v="0.76618181818181808"/>
    <s v="Ветчина куриная в духовке по семейному рецепту (youtube.com)"/>
    <s v="D:\Video\Колбаса_рецепты\Ветчина куриная в духовке по семейному рецепту.mp4"/>
    <s v="Да"/>
    <m/>
  </r>
  <r>
    <x v="22"/>
    <x v="0"/>
    <x v="0"/>
    <s v="Чеснок сушеный"/>
    <s v="Специи"/>
    <n v="1.5E-3"/>
    <n v="1.5"/>
    <n v="1.3174999999999999"/>
    <n v="1000"/>
    <n v="1.5"/>
    <n v="1.3174999999999999"/>
    <n v="0"/>
    <n v="0.7"/>
    <n v="2.2397499999999999"/>
    <n v="0.92225000000000001"/>
    <s v="Ветчина куриная в духовке по семейному рецепту (youtube.com)"/>
    <s v="D:\Video\Колбаса_рецепты\Ветчина куриная в духовке по семейному рецепту.mp4"/>
    <s v="Да"/>
    <m/>
  </r>
  <r>
    <x v="22"/>
    <x v="0"/>
    <x v="0"/>
    <s v="Мускатный орех"/>
    <s v="Специи"/>
    <n v="6.9999999999999999E-4"/>
    <n v="0.7"/>
    <n v="1.4540909090909089"/>
    <n v="1000"/>
    <n v="0.7"/>
    <n v="1.4540909090909089"/>
    <n v="0"/>
    <n v="0.7"/>
    <n v="2.4719545454545448"/>
    <n v="1.017863636363636"/>
    <s v="Ветчина куриная в духовке по семейному рецепту (youtube.com)"/>
    <s v="D:\Video\Колбаса_рецепты\Ветчина куриная в духовке по семейному рецепту.mp4"/>
    <s v="Да"/>
    <m/>
  </r>
  <r>
    <x v="22"/>
    <x v="0"/>
    <x v="0"/>
    <s v="Фосфат"/>
    <s v="Специи"/>
    <n v="3.0000000000000001E-3"/>
    <n v="3"/>
    <n v="2.2439999999999998"/>
    <n v="1000"/>
    <n v="3"/>
    <n v="2.2439999999999998"/>
    <n v="0"/>
    <n v="0.7"/>
    <n v="3.8147999999999995"/>
    <n v="1.5707999999999998"/>
    <s v="Ветчина куриная в духовке по семейному рецепту (youtube.com)"/>
    <s v="D:\Video\Колбаса_рецепты\Ветчина куриная в духовке по семейному рецепту.mp4"/>
    <s v="Да"/>
    <m/>
  </r>
  <r>
    <x v="22"/>
    <x v="0"/>
    <x v="0"/>
    <s v="Полиамидная 80"/>
    <s v="Оболочка"/>
    <n v="1E-3"/>
    <n v="1"/>
    <n v="9.7374533266692147"/>
    <n v="1000"/>
    <n v="1"/>
    <n v="9.7374533266692147"/>
    <n v="0"/>
    <n v="0.7"/>
    <n v="16.553670655337665"/>
    <n v="6.8162173286684506"/>
    <s v="Ветчина куриная в духовке по семейному рецепту (youtube.com)"/>
    <s v="D:\Video\Колбаса_рецепты\Ветчина куриная в духовке по семейному рецепту.mp4"/>
    <s v="Да"/>
    <m/>
  </r>
  <r>
    <x v="23"/>
    <x v="2"/>
    <x v="4"/>
    <s v="Грудинка свиная"/>
    <s v="Свинина"/>
    <n v="1"/>
    <n v="1000"/>
    <n v="429.99"/>
    <n v="1000"/>
    <n v="1000"/>
    <n v="429.99"/>
    <n v="0.35"/>
    <n v="2"/>
    <n v="1984.5692307692307"/>
    <n v="1323.0461538461536"/>
    <s v="Панчетта арротолата - сыровяленный итальянский бекон в ДОМАШНИХ условиях (youtube.com)"/>
    <s v="D:\Video\Колбаса_рецепты\Панчетта арротолата - сыровяленный итальянский бекон в ДОМАШНИХ условиях.mp4"/>
    <s v="Нет"/>
    <m/>
  </r>
  <r>
    <x v="23"/>
    <x v="2"/>
    <x v="4"/>
    <s v="Соль нитритная"/>
    <s v="Специи"/>
    <n v="2.1999999999999999E-2"/>
    <n v="22"/>
    <n v="2.8159999999999998"/>
    <n v="1000"/>
    <n v="22"/>
    <n v="2.8159999999999998"/>
    <n v="0"/>
    <n v="2"/>
    <n v="8.4480000000000004"/>
    <n v="5.6320000000000006"/>
    <s v="Домашняя панчетта. Итальянский бекон, вяленая свиная грудинка. Приготовление панчетты дома. (youtube.com)"/>
    <s v="D:\Video\Колбаса_рецепты\Pancetta Artesanal.mp4"/>
    <s v="Да"/>
    <m/>
  </r>
  <r>
    <x v="23"/>
    <x v="2"/>
    <x v="4"/>
    <s v="Перец черный молотый"/>
    <s v="Специи"/>
    <n v="7.0000000000000001E-3"/>
    <n v="7"/>
    <n v="7.6618181818181812"/>
    <n v="1000"/>
    <n v="7"/>
    <n v="7.6618181818181812"/>
    <n v="0"/>
    <n v="2"/>
    <n v="22.985454545454544"/>
    <n v="15.323636363636364"/>
    <s v="Домашняя панчетта. Итальянский бекон, вяленая свиная грудинка. Приготовление панчетты дома. (youtube.com)"/>
    <s v="D:\Video\Колбаса_рецепты\Pancetta Artesanal.mp5"/>
    <s v="Да"/>
    <m/>
  </r>
  <r>
    <x v="23"/>
    <x v="2"/>
    <x v="4"/>
    <s v="Гвоздика"/>
    <s v="Специи"/>
    <n v="5.0000000000000001E-4"/>
    <n v="0.5"/>
    <n v="1.3966666666666667"/>
    <n v="1000"/>
    <n v="0.5"/>
    <n v="1.3966666666666667"/>
    <n v="0"/>
    <n v="2"/>
    <n v="4.1900000000000004"/>
    <n v="2.7933333333333339"/>
    <s v="Домашняя панчетта. Итальянский бекон, вяленая свиная грудинка. Приготовление панчетты дома. (youtube.com)"/>
    <s v="D:\Video\Колбаса_рецепты\Pancetta Artesanal.mp6"/>
    <s v="Да"/>
    <m/>
  </r>
  <r>
    <x v="23"/>
    <x v="2"/>
    <x v="4"/>
    <s v="Кориандр"/>
    <s v="Специи"/>
    <n v="5.0000000000000001E-3"/>
    <n v="5"/>
    <n v="2.5111111111111111"/>
    <n v="1000"/>
    <n v="5"/>
    <n v="2.5111111111111111"/>
    <n v="0"/>
    <n v="2"/>
    <n v="7.5333333333333332"/>
    <n v="5.0222222222222221"/>
    <s v="Домашняя панчетта. Итальянский бекон, вяленая свиная грудинка. Приготовление панчетты дома. (youtube.com)"/>
    <s v="D:\Video\Колбаса_рецепты\Pancetta Artesanal.mp7"/>
    <s v="Да"/>
    <m/>
  </r>
  <r>
    <x v="23"/>
    <x v="2"/>
    <x v="4"/>
    <s v="Горчица семена"/>
    <s v="Специи"/>
    <n v="5.0000000000000001E-3"/>
    <n v="5"/>
    <n v="2.3449999999999998"/>
    <n v="1000"/>
    <n v="5"/>
    <n v="2.3449999999999998"/>
    <n v="0"/>
    <n v="2"/>
    <n v="7.0349999999999993"/>
    <n v="4.6899999999999995"/>
    <s v="Домашняя панчетта. Итальянский бекон, вяленая свиная грудинка. Приготовление панчетты дома. (youtube.com)"/>
    <s v="D:\Video\Колбаса_рецепты\Pancetta Artesanal.mp8"/>
    <s v="Нет"/>
    <m/>
  </r>
  <r>
    <x v="24"/>
    <x v="0"/>
    <x v="0"/>
    <s v="Лопатка свиная"/>
    <s v="Свинина"/>
    <n v="0.7"/>
    <n v="700"/>
    <n v="258.3"/>
    <n v="1000"/>
    <n v="700"/>
    <n v="258.3"/>
    <n v="0.15"/>
    <n v="0.7"/>
    <n v="516.6"/>
    <n v="212.71764705882356"/>
    <s v="🇮🇹🔥🍽️ Классическая Итальянская МОРТАДЕЛЛА в Духовке! 🍞👨‍🍳👩‍🍳🇮🇹🍖👌 - YouTube"/>
    <s v="D:\Video\Колбаса_рецепты\🇮🇹🔥🍽️ Классическая Итальянская МОРТАДЕЛЛА в Духовке! 🍞👨‍🍳👩‍🍳🇮🇹🍖👌.mp4"/>
    <s v="Нет"/>
    <m/>
  </r>
  <r>
    <x v="24"/>
    <x v="0"/>
    <x v="0"/>
    <s v="Сало свиное"/>
    <s v="Свинина"/>
    <n v="0.15"/>
    <n v="150"/>
    <n v="45"/>
    <n v="1000"/>
    <n v="150"/>
    <n v="45"/>
    <n v="0.15"/>
    <n v="0.7"/>
    <n v="90"/>
    <n v="37.058823529411761"/>
    <s v="🇮🇹🔥🍽️ Классическая Итальянская МОРТАДЕЛЛА в Духовке! 🍞👨‍🍳👩‍🍳🇮🇹🍖👌 - YouTube"/>
    <s v="D:\Video\Колбаса_рецепты\🇮🇹🔥🍽️ Классическая Итальянская МОРТАДЕЛЛА в Духовке! 🍞👨‍🍳👩‍🍳🇮🇹🍖👌.mp5"/>
    <s v="Да"/>
    <m/>
  </r>
  <r>
    <x v="24"/>
    <x v="0"/>
    <x v="0"/>
    <s v="Сало свиное"/>
    <s v="Свинина"/>
    <n v="0.15"/>
    <n v="150"/>
    <n v="45"/>
    <n v="1000"/>
    <n v="150"/>
    <n v="45"/>
    <n v="0.15"/>
    <n v="0.7"/>
    <n v="90"/>
    <n v="37.058823529411761"/>
    <s v="🇮🇹🔥🍽️ Классическая Итальянская МОРТАДЕЛЛА в Духовке! 🍞👨‍🍳👩‍🍳🇮🇹🍖👌 - YouTube"/>
    <s v="D:\Video\Колбаса_рецепты\🇮🇹🔥🍽️ Классическая Итальянская МОРТАДЕЛЛА в Духовке! 🍞👨‍🍳👩‍🍳🇮🇹🍖👌.mp6"/>
    <s v="Да"/>
    <m/>
  </r>
  <r>
    <x v="24"/>
    <x v="0"/>
    <x v="0"/>
    <s v="Вода"/>
    <s v="Добавки"/>
    <n v="0.15"/>
    <n v="150"/>
    <n v="0.15"/>
    <n v="1000"/>
    <n v="150"/>
    <n v="0.15"/>
    <n v="0"/>
    <n v="0.7"/>
    <n v="0.255"/>
    <n v="0.10500000000000001"/>
    <s v="🇮🇹🔥🍽️ Классическая Итальянская МОРТАДЕЛЛА в Духовке! 🍞👨‍🍳👩‍🍳🇮🇹🍖👌 - YouTube"/>
    <s v="D:\Video\Колбаса_рецепты\🇮🇹🔥🍽️ Классическая Итальянская МОРТАДЕЛЛА в Духовке! 🍞👨‍🍳👩‍🍳🇮🇹🍖👌.mp7"/>
    <s v="Да"/>
    <m/>
  </r>
  <r>
    <x v="24"/>
    <x v="0"/>
    <x v="0"/>
    <s v="Соль нитритная"/>
    <s v="Специи"/>
    <n v="1.7999999999999999E-2"/>
    <n v="18"/>
    <n v="2.3040000000000003"/>
    <n v="1000"/>
    <n v="18"/>
    <n v="2.3040000000000003"/>
    <n v="0"/>
    <n v="0.7"/>
    <n v="3.9168000000000003"/>
    <n v="1.6128"/>
    <s v="🇮🇹🔥🍽️ Классическая Итальянская МОРТАДЕЛЛА в Духовке! 🍞👨‍🍳👩‍🍳🇮🇹🍖👌 - YouTube"/>
    <s v="D:\Video\Колбаса_рецепты\🇮🇹🔥🍽️ Классическая Итальянская МОРТАДЕЛЛА в Духовке! 🍞👨‍🍳👩‍🍳🇮🇹🍖👌.mp8"/>
    <s v="Да"/>
    <m/>
  </r>
  <r>
    <x v="24"/>
    <x v="0"/>
    <x v="0"/>
    <s v="Сахар"/>
    <s v="Специи"/>
    <n v="5.0000000000000001E-3"/>
    <n v="5"/>
    <n v="0.40441176470588236"/>
    <n v="1000"/>
    <n v="5"/>
    <n v="0.40441176470588236"/>
    <n v="0"/>
    <n v="0.7"/>
    <n v="0.6875"/>
    <n v="0.28308823529411764"/>
    <s v="🇮🇹🔥🍽️ Классическая Итальянская МОРТАДЕЛЛА в Духовке! 🍞👨‍🍳👩‍🍳🇮🇹🍖👌 - YouTube"/>
    <s v="D:\Video\Колбаса_рецепты\🇮🇹🔥🍽️ Классическая Итальянская МОРТАДЕЛЛА в Духовке! 🍞👨‍🍳👩‍🍳🇮🇹🍖👌.mp9"/>
    <s v="Да"/>
    <m/>
  </r>
  <r>
    <x v="24"/>
    <x v="0"/>
    <x v="0"/>
    <s v="Перец белый молотый"/>
    <s v="Специи"/>
    <n v="2E-3"/>
    <n v="2"/>
    <n v="3.16"/>
    <n v="1000"/>
    <n v="2"/>
    <n v="3.16"/>
    <n v="0"/>
    <n v="0.7"/>
    <n v="5.3719999999999999"/>
    <n v="2.2119999999999997"/>
    <s v="🇮🇹🔥🍽️ Классическая Итальянская МОРТАДЕЛЛА в Духовке! 🍞👨‍🍳👩‍🍳🇮🇹🍖👌 - YouTube"/>
    <s v="D:\Video\Колбаса_рецепты\🇮🇹🔥🍽️ Классическая Итальянская МОРТАДЕЛЛА в Духовке! 🍞👨‍🍳👩‍🍳🇮🇹🍖👌.mp10"/>
    <s v="Да"/>
    <m/>
  </r>
  <r>
    <x v="24"/>
    <x v="0"/>
    <x v="0"/>
    <s v="Мускатный орех"/>
    <s v="Специи"/>
    <n v="1E-3"/>
    <n v="1"/>
    <n v="2.0772727272727272"/>
    <n v="1000"/>
    <n v="1"/>
    <n v="2.0772727272727272"/>
    <n v="0"/>
    <n v="0.7"/>
    <n v="3.5313636363636363"/>
    <n v="1.4540909090909091"/>
    <s v="🇮🇹🔥🍽️ Классическая Итальянская МОРТАДЕЛЛА в Духовке! 🍞👨‍🍳👩‍🍳🇮🇹🍖👌 - YouTube"/>
    <s v="D:\Video\Колбаса_рецепты\🇮🇹🔥🍽️ Классическая Итальянская МОРТАДЕЛЛА в Духовке! 🍞👨‍🍳👩‍🍳🇮🇹🍖👌.mp11"/>
    <s v="Да"/>
    <m/>
  </r>
  <r>
    <x v="24"/>
    <x v="0"/>
    <x v="0"/>
    <s v="Кардамон"/>
    <s v="Специи"/>
    <n v="5.0000000000000001E-4"/>
    <n v="0.5"/>
    <n v="0.75666666666666671"/>
    <n v="1000"/>
    <n v="0.5"/>
    <n v="0.75666666666666671"/>
    <n v="0"/>
    <n v="0.7"/>
    <n v="1.2863333333333333"/>
    <n v="0.52966666666666662"/>
    <s v="🇮🇹🔥🍽️ Классическая Итальянская МОРТАДЕЛЛА в Духовке! 🍞👨‍🍳👩‍🍳🇮🇹🍖👌 - YouTube"/>
    <s v="D:\Video\Колбаса_рецепты\🇮🇹🔥🍽️ Классическая Итальянская МОРТАДЕЛЛА в Духовке! 🍞👨‍🍳👩‍🍳🇮🇹🍖👌.mp12"/>
    <s v="Да"/>
    <m/>
  </r>
  <r>
    <x v="24"/>
    <x v="0"/>
    <x v="0"/>
    <s v="Чеснок сушеный"/>
    <s v="Специи"/>
    <n v="1.5E-3"/>
    <n v="1.5"/>
    <n v="1.3174999999999999"/>
    <n v="1000"/>
    <n v="1.5"/>
    <n v="1.3174999999999999"/>
    <n v="0"/>
    <n v="0.7"/>
    <n v="2.2397499999999999"/>
    <n v="0.92225000000000001"/>
    <s v="🇮🇹🔥🍽️ Классическая Итальянская МОРТАДЕЛЛА в Духовке! 🍞👨‍🍳👩‍🍳🇮🇹🍖👌 - YouTube"/>
    <s v="D:\Video\Колбаса_рецепты\🇮🇹🔥🍽️ Классическая Итальянская МОРТАДЕЛЛА в Духовке! 🍞👨‍🍳👩‍🍳🇮🇹🍖👌.mp13"/>
    <s v="Да"/>
    <m/>
  </r>
  <r>
    <x v="24"/>
    <x v="0"/>
    <x v="0"/>
    <s v="Полиамидная 80"/>
    <s v="Оболочка"/>
    <n v="1E-3"/>
    <n v="1"/>
    <n v="9.7374533266692147"/>
    <n v="1000"/>
    <n v="1"/>
    <n v="9.7374533266692147"/>
    <n v="0"/>
    <n v="0.7"/>
    <n v="16.553670655337665"/>
    <n v="6.8162173286684506"/>
    <s v="🇮🇹🔥🍽️ Классическая Итальянская МОРТАДЕЛЛА в Духовке! 🍞👨‍🍳👩‍🍳🇮🇹🍖👌 - YouTube"/>
    <s v="D:\Video\Колбаса_рецепты\🇮🇹🔥🍽️ Классическая Итальянская МОРТАДЕЛЛА в Духовке! 🍞👨‍🍳👩‍🍳🇮🇹🍖👌.mp14"/>
    <s v="Да"/>
    <m/>
  </r>
  <r>
    <x v="25"/>
    <x v="1"/>
    <x v="0"/>
    <s v="Индейка"/>
    <s v="Птица"/>
    <n v="0.84"/>
    <n v="840"/>
    <n v="478.79160000000002"/>
    <n v="1000"/>
    <n v="840"/>
    <n v="478.79160000000002"/>
    <n v="0.15"/>
    <n v="0.7"/>
    <n v="957.58320000000003"/>
    <n v="394.29896470588233"/>
    <s v="Сосиски детские молочные БЕЗ НИТРИТНОЙ СОЛИ - YouTube"/>
    <s v="D:\Video\Колбаса_рецепты\Сосиски детские молочные БЕЗ НИТРИТНОЙ СОЛИ.mp4"/>
    <s v="Нет"/>
    <m/>
  </r>
  <r>
    <x v="25"/>
    <x v="1"/>
    <x v="0"/>
    <s v="Сливки"/>
    <s v="Добавки"/>
    <n v="0.16"/>
    <n v="160"/>
    <n v="80.960000000000008"/>
    <n v="1000"/>
    <n v="160"/>
    <n v="80.960000000000008"/>
    <n v="0"/>
    <n v="0.7"/>
    <n v="137.63200000000001"/>
    <n v="56.671999999999997"/>
    <s v="Сосиски детские молочные БЕЗ НИТРИТНОЙ СОЛИ - YouTube"/>
    <s v="D:\Video\Колбаса_рецепты\Сосиски детские молочные БЕЗ НИТРИТНОЙ СОЛИ.mp5"/>
    <s v="Да"/>
    <m/>
  </r>
  <r>
    <x v="25"/>
    <x v="1"/>
    <x v="0"/>
    <s v="Соль пищевая"/>
    <s v="Специи"/>
    <n v="8.9999999999999993E-3"/>
    <n v="9"/>
    <n v="0.34649999999999997"/>
    <n v="1000"/>
    <n v="9"/>
    <n v="0.34649999999999997"/>
    <n v="0"/>
    <n v="0.7"/>
    <n v="0.58904999999999996"/>
    <n v="0.24254999999999999"/>
    <s v="Сосиски детские молочные БЕЗ НИТРИТНОЙ СОЛИ - YouTube"/>
    <s v="D:\Video\Колбаса_рецепты\Сосиски детские молочные БЕЗ НИТРИТНОЙ СОЛИ.mp6"/>
    <s v="Да"/>
    <m/>
  </r>
  <r>
    <x v="25"/>
    <x v="1"/>
    <x v="0"/>
    <s v="Соль нитритная"/>
    <s v="Специи"/>
    <n v="8.9999999999999993E-3"/>
    <n v="9"/>
    <n v="1.1520000000000001"/>
    <n v="1000"/>
    <n v="9"/>
    <n v="1.1520000000000001"/>
    <n v="0"/>
    <n v="0.7"/>
    <n v="1.9584000000000001"/>
    <n v="0.80640000000000001"/>
    <s v="Сосиски детские молочные БЕЗ НИТРИТНОЙ СОЛИ - YouTube"/>
    <s v="D:\Video\Колбаса_рецепты\Сосиски детские молочные БЕЗ НИТРИТНОЙ СОЛИ.mp7"/>
    <s v="Да"/>
    <m/>
  </r>
  <r>
    <x v="25"/>
    <x v="1"/>
    <x v="0"/>
    <s v="Перец белый молотый"/>
    <s v="Специи"/>
    <n v="5.0000000000000001E-4"/>
    <n v="0.5"/>
    <n v="0.79"/>
    <n v="1000"/>
    <n v="0.5"/>
    <n v="0.79"/>
    <n v="0"/>
    <n v="0.7"/>
    <n v="1.343"/>
    <n v="0.55299999999999994"/>
    <s v="Сосиски детские молочные БЕЗ НИТРИТНОЙ СОЛИ - YouTube"/>
    <s v="D:\Video\Колбаса_рецепты\Сосиски детские молочные БЕЗ НИТРИТНОЙ СОЛИ.mp8"/>
    <s v="Да"/>
    <m/>
  </r>
  <r>
    <x v="25"/>
    <x v="1"/>
    <x v="0"/>
    <s v="Мускатный орех"/>
    <s v="Специи"/>
    <n v="5.0000000000000001E-4"/>
    <n v="0.5"/>
    <n v="1.0386363636363636"/>
    <n v="1000"/>
    <n v="0.5"/>
    <n v="1.0386363636363636"/>
    <n v="0"/>
    <n v="0.7"/>
    <n v="1.7656818181818181"/>
    <n v="0.72704545454545455"/>
    <s v="Сосиски детские молочные БЕЗ НИТРИТНОЙ СОЛИ - YouTube"/>
    <s v="D:\Video\Колбаса_рецепты\Сосиски детские молочные БЕЗ НИТРИТНОЙ СОЛИ.mp9"/>
    <s v="Да"/>
    <m/>
  </r>
  <r>
    <x v="25"/>
    <x v="1"/>
    <x v="0"/>
    <s v="Сахар"/>
    <s v="Специи"/>
    <n v="3.0000000000000001E-3"/>
    <n v="3"/>
    <n v="0.24264705882352944"/>
    <n v="1000"/>
    <n v="3"/>
    <n v="0.24264705882352944"/>
    <n v="0"/>
    <n v="0.7"/>
    <n v="0.41250000000000003"/>
    <n v="0.1698529411764706"/>
    <s v="Сосиски детские молочные БЕЗ НИТРИТНОЙ СОЛИ - YouTube"/>
    <s v="D:\Video\Колбаса_рецепты\Сосиски детские молочные БЕЗ НИТРИТНОЙ СОЛИ.mp10"/>
    <s v="Да"/>
    <m/>
  </r>
  <r>
    <x v="25"/>
    <x v="1"/>
    <x v="0"/>
    <s v="Фосфат"/>
    <s v="Специи"/>
    <n v="3.0000000000000001E-3"/>
    <n v="3"/>
    <n v="2.2439999999999998"/>
    <n v="1000"/>
    <n v="3"/>
    <n v="2.2439999999999998"/>
    <n v="0"/>
    <n v="0.7"/>
    <n v="3.8147999999999995"/>
    <n v="1.5707999999999998"/>
    <s v="Сосиски детские молочные БЕЗ НИТРИТНОЙ СОЛИ - YouTube"/>
    <s v="D:\Video\Колбаса_рецепты\Сосиски детские молочные БЕЗ НИТРИТНОЙ СОЛИ.mp11"/>
    <s v="Да"/>
    <m/>
  </r>
  <r>
    <x v="25"/>
    <x v="1"/>
    <x v="0"/>
    <s v="Свиная черева 32/34"/>
    <s v="Оболочка"/>
    <n v="1E-3"/>
    <n v="1"/>
    <n v="39.348206474190725"/>
    <n v="1000"/>
    <n v="1"/>
    <n v="39.348206474190725"/>
    <n v="0"/>
    <n v="0.7"/>
    <n v="66.891951006124231"/>
    <n v="27.543744531933505"/>
    <s v="Сосиски детские молочные БЕЗ НИТРИТНОЙ СОЛИ - YouTube"/>
    <s v="D:\Video\Колбаса_рецепты\Сосиски детские молочные БЕЗ НИТРИТНОЙ СОЛИ.mp12"/>
    <s v="Нет"/>
    <m/>
  </r>
  <r>
    <x v="26"/>
    <x v="2"/>
    <x v="1"/>
    <s v="Ребра свиные"/>
    <s v="Свинина"/>
    <n v="1"/>
    <n v="1000"/>
    <n v="289.99"/>
    <n v="1000"/>
    <n v="1000"/>
    <n v="289.99"/>
    <n v="0.15"/>
    <n v="0.9"/>
    <n v="648.21294117647062"/>
    <n v="307.04823529411766"/>
    <m/>
    <m/>
    <s v="Нет"/>
    <m/>
  </r>
  <r>
    <x v="26"/>
    <x v="2"/>
    <x v="1"/>
    <s v="Вода"/>
    <s v="Добавки"/>
    <n v="0.1"/>
    <n v="100"/>
    <n v="0.1"/>
    <n v="1000"/>
    <n v="100"/>
    <n v="0.1"/>
    <n v="0"/>
    <n v="0.9"/>
    <n v="0.19"/>
    <n v="0.09"/>
    <m/>
    <m/>
    <s v="Да"/>
    <m/>
  </r>
  <r>
    <x v="26"/>
    <x v="2"/>
    <x v="1"/>
    <s v="Соль нитритная"/>
    <s v="Специи"/>
    <n v="1.6E-2"/>
    <n v="16"/>
    <n v="2.048"/>
    <n v="1000"/>
    <n v="16"/>
    <n v="2.048"/>
    <n v="0"/>
    <n v="0.9"/>
    <n v="3.8912000000000004"/>
    <n v="1.8432000000000004"/>
    <m/>
    <m/>
    <s v="Да"/>
    <m/>
  </r>
  <r>
    <x v="26"/>
    <x v="2"/>
    <x v="1"/>
    <s v="Сахар"/>
    <s v="Специи"/>
    <n v="4.0000000000000001E-3"/>
    <n v="4"/>
    <n v="0.3235294117647059"/>
    <n v="1000"/>
    <n v="4"/>
    <n v="0.3235294117647059"/>
    <n v="0"/>
    <n v="0.9"/>
    <n v="0.61470588235294121"/>
    <n v="0.29117647058823531"/>
    <m/>
    <m/>
    <s v="Да"/>
    <m/>
  </r>
  <r>
    <x v="26"/>
    <x v="2"/>
    <x v="1"/>
    <s v="Перец черный молотый"/>
    <s v="Специи"/>
    <n v="2E-3"/>
    <n v="2"/>
    <n v="2.189090909090909"/>
    <n v="1000"/>
    <n v="2"/>
    <n v="2.189090909090909"/>
    <n v="0"/>
    <n v="0.9"/>
    <n v="4.159272727272727"/>
    <n v="1.970181818181818"/>
    <m/>
    <m/>
    <s v="Да"/>
    <m/>
  </r>
  <r>
    <x v="26"/>
    <x v="2"/>
    <x v="1"/>
    <s v="Паприка красная молотая"/>
    <s v="Специи"/>
    <n v="8.0000000000000002E-3"/>
    <n v="8"/>
    <n v="6.2545454545454549"/>
    <n v="1000"/>
    <n v="8"/>
    <n v="6.2545454545454549"/>
    <n v="0"/>
    <n v="0.9"/>
    <n v="11.883636363636365"/>
    <n v="5.6290909090909098"/>
    <m/>
    <m/>
    <s v="Нет"/>
    <m/>
  </r>
  <r>
    <x v="26"/>
    <x v="2"/>
    <x v="1"/>
    <s v="Чеснок сушеный"/>
    <s v="Специи"/>
    <n v="3.0000000000000001E-3"/>
    <n v="3"/>
    <n v="2.6349999999999998"/>
    <n v="1000"/>
    <n v="3"/>
    <n v="2.6349999999999998"/>
    <n v="0"/>
    <n v="0.9"/>
    <n v="5.0064999999999991"/>
    <n v="2.3714999999999993"/>
    <m/>
    <m/>
    <s v="Да"/>
    <m/>
  </r>
  <r>
    <x v="26"/>
    <x v="2"/>
    <x v="1"/>
    <s v="Тмин"/>
    <s v="Специи"/>
    <n v="1.5E-3"/>
    <n v="1.5"/>
    <n v="1.698"/>
    <n v="1000"/>
    <n v="1.5"/>
    <n v="1.698"/>
    <n v="0"/>
    <n v="0.9"/>
    <n v="3.2262"/>
    <n v="1.5282"/>
    <m/>
    <m/>
    <s v="Да"/>
    <m/>
  </r>
  <r>
    <x v="27"/>
    <x v="2"/>
    <x v="1"/>
    <s v="Карбонад свиной"/>
    <s v="Свинина"/>
    <n v="1"/>
    <n v="1000"/>
    <n v="399.99"/>
    <n v="1000"/>
    <n v="1000"/>
    <n v="399.99"/>
    <n v="0.15"/>
    <n v="0.9"/>
    <n v="894.0952941176472"/>
    <n v="423.51882352941186"/>
    <s v="Сколько соли нужно для рассола, которым шприцуют мясо. Карбонад (балык) варено-копченый. - YouTube"/>
    <s v="D:\Video\Колбаса_рецепты\Сколько соли нужно для рассола, которым шприцуют мясо. Карбонад (балык) варено-копченый.mp4"/>
    <s v="Нет"/>
    <m/>
  </r>
  <r>
    <x v="27"/>
    <x v="2"/>
    <x v="1"/>
    <s v="Вода"/>
    <s v="Добавки"/>
    <n v="0.1"/>
    <n v="100"/>
    <n v="0.1"/>
    <n v="1000"/>
    <n v="100"/>
    <n v="0.1"/>
    <n v="0"/>
    <n v="0.9"/>
    <n v="0.19"/>
    <n v="0.09"/>
    <s v="Сколько соли нужно для рассола, которым шприцуют мясо. Карбонад (балык) варено-копченый. - YouTube"/>
    <s v="D:\Video\Колбаса_рецепты\Сколько соли нужно для рассола, которым шприцуют мясо. Карбонад (балык) варено-копченый.mp5"/>
    <s v="Да"/>
    <m/>
  </r>
  <r>
    <x v="27"/>
    <x v="2"/>
    <x v="1"/>
    <s v="Соль пищевая"/>
    <s v="Специи"/>
    <n v="1.0999999999999999E-2"/>
    <n v="11"/>
    <n v="0.42349999999999999"/>
    <n v="1000"/>
    <n v="11"/>
    <n v="0.42349999999999999"/>
    <n v="0"/>
    <n v="0.9"/>
    <n v="0.80464999999999998"/>
    <n v="0.38114999999999999"/>
    <s v="Сколько соли нужно для рассола, которым шприцуют мясо. Карбонад (балык) варено-копченый. - YouTube"/>
    <s v="D:\Video\Колбаса_рецепты\Сколько соли нужно для рассола, которым шприцуют мясо. Карбонад (балык) варено-копченый.mp6"/>
    <s v="Да"/>
    <m/>
  </r>
  <r>
    <x v="27"/>
    <x v="2"/>
    <x v="1"/>
    <s v="Соль нитритная"/>
    <s v="Специи"/>
    <n v="1.0999999999999999E-2"/>
    <n v="11"/>
    <n v="1.4079999999999999"/>
    <n v="1000"/>
    <n v="11"/>
    <n v="1.4079999999999999"/>
    <n v="0"/>
    <n v="0.9"/>
    <n v="2.6751999999999998"/>
    <n v="1.2671999999999999"/>
    <s v="Сколько соли нужно для рассола, которым шприцуют мясо. Карбонад (балык) варено-копченый. - YouTube"/>
    <s v="D:\Video\Колбаса_рецепты\Сколько соли нужно для рассола, которым шприцуют мясо. Карбонад (балык) варено-копченый.mp7"/>
    <s v="Да"/>
    <m/>
  </r>
  <r>
    <x v="27"/>
    <x v="2"/>
    <x v="1"/>
    <s v="Сахар"/>
    <s v="Специи"/>
    <n v="5.0000000000000001E-3"/>
    <n v="5"/>
    <n v="0.40441176470588236"/>
    <n v="1000"/>
    <n v="5"/>
    <n v="0.40441176470588236"/>
    <n v="0"/>
    <n v="0.9"/>
    <n v="0.76838235294117652"/>
    <n v="0.36397058823529416"/>
    <s v="Сколько соли нужно для рассола, которым шприцуют мясо. Карбонад (балык) варено-копченый. - YouTube"/>
    <s v="D:\Video\Колбаса_рецепты\Сколько соли нужно для рассола, которым шприцуют мясо. Карбонад (балык) варено-копченый.mp8"/>
    <s v="Да"/>
    <m/>
  </r>
  <r>
    <x v="28"/>
    <x v="0"/>
    <x v="1"/>
    <s v="Окорок свиной"/>
    <s v="Свинина"/>
    <n v="0.5"/>
    <n v="500"/>
    <n v="184.5"/>
    <n v="1000"/>
    <n v="500"/>
    <n v="184.5"/>
    <n v="0.15"/>
    <n v="0.9"/>
    <n v="412.41176470588238"/>
    <n v="195.35294117647061"/>
    <s v="Кабаносы (Kabanosy) в домашних условиях - YouTube"/>
    <s v="D:\Video\Колбаса_рецепты\Кабаносы (Kabanosy) в домашних условиях.mp4"/>
    <s v="Да"/>
    <m/>
  </r>
  <r>
    <x v="28"/>
    <x v="0"/>
    <x v="1"/>
    <s v="Грудинка свиная"/>
    <s v="Свинина"/>
    <n v="0.5"/>
    <n v="500"/>
    <n v="214.995"/>
    <n v="1000"/>
    <n v="500"/>
    <n v="214.995"/>
    <n v="0.15"/>
    <n v="0.9"/>
    <n v="480.57705882352946"/>
    <n v="227.64176470588239"/>
    <s v="Кабаносы (Kabanosy) в домашних условиях - YouTube"/>
    <s v="D:\Video\Колбаса_рецепты\Кабаносы (Kabanosy) в домашних условиях.mp5"/>
    <s v="Нет"/>
    <m/>
  </r>
  <r>
    <x v="28"/>
    <x v="0"/>
    <x v="1"/>
    <s v="Вода"/>
    <s v="Добавки"/>
    <n v="0.17499999999999999"/>
    <n v="175"/>
    <n v="0.17500000000000002"/>
    <n v="1000"/>
    <n v="175"/>
    <n v="0.17500000000000002"/>
    <n v="0"/>
    <n v="0.9"/>
    <n v="0.33250000000000002"/>
    <n v="0.1575"/>
    <s v="Кабаносы (Kabanosy) в домашних условиях - YouTube"/>
    <s v="D:\Video\Колбаса_рецепты\Кабаносы (Kabanosy) в домашних условиях.mp6"/>
    <s v="Да"/>
    <m/>
  </r>
  <r>
    <x v="28"/>
    <x v="0"/>
    <x v="1"/>
    <s v="Фосфат"/>
    <s v="Специи"/>
    <n v="1.5E-3"/>
    <n v="1.5"/>
    <n v="1.1219999999999999"/>
    <n v="1000"/>
    <n v="1.5"/>
    <n v="1.1219999999999999"/>
    <n v="0"/>
    <n v="0.9"/>
    <n v="2.1318000000000001"/>
    <n v="1.0098000000000003"/>
    <s v="Кабаносы (Kabanosy) в домашних условиях - YouTube"/>
    <s v="D:\Video\Колбаса_рецепты\Кабаносы (Kabanosy) в домашних условиях.mp7"/>
    <s v="Да"/>
    <m/>
  </r>
  <r>
    <x v="28"/>
    <x v="0"/>
    <x v="1"/>
    <s v="Соль нитритная"/>
    <s v="Специи"/>
    <n v="0.01"/>
    <n v="10"/>
    <n v="1.28"/>
    <n v="1000"/>
    <n v="10"/>
    <n v="1.28"/>
    <n v="0"/>
    <n v="0.9"/>
    <n v="2.4320000000000004"/>
    <n v="1.1520000000000004"/>
    <s v="Кабаносы (Kabanosy) в домашних условиях - YouTube"/>
    <s v="D:\Video\Колбаса_рецепты\Кабаносы (Kabanosy) в домашних условиях.mp8"/>
    <s v="Да"/>
    <m/>
  </r>
  <r>
    <x v="28"/>
    <x v="0"/>
    <x v="1"/>
    <s v="Соль пищевая"/>
    <s v="Специи"/>
    <n v="0.01"/>
    <n v="10"/>
    <n v="0.38500000000000001"/>
    <n v="1000"/>
    <n v="10"/>
    <n v="0.38500000000000001"/>
    <n v="0"/>
    <n v="0.9"/>
    <n v="0.73150000000000004"/>
    <n v="0.34650000000000003"/>
    <s v="Кабаносы (Kabanosy) в домашних условиях - YouTube"/>
    <s v="D:\Video\Колбаса_рецепты\Кабаносы (Kabanosy) в домашних условиях.mp9"/>
    <s v="Да"/>
    <m/>
  </r>
  <r>
    <x v="28"/>
    <x v="0"/>
    <x v="1"/>
    <s v="Перец черный молотый"/>
    <s v="Специи"/>
    <n v="2E-3"/>
    <n v="2"/>
    <n v="2.189090909090909"/>
    <n v="1000"/>
    <n v="2"/>
    <n v="2.189090909090909"/>
    <n v="0"/>
    <n v="0.9"/>
    <n v="4.159272727272727"/>
    <n v="1.970181818181818"/>
    <s v="Кабаносы (Kabanosy) в домашних условиях - YouTube"/>
    <s v="D:\Video\Колбаса_рецепты\Кабаносы (Kabanosy) в домашних условиях.mp10"/>
    <s v="Да"/>
    <m/>
  </r>
  <r>
    <x v="28"/>
    <x v="0"/>
    <x v="1"/>
    <s v="Перец белый молотый"/>
    <s v="Специи"/>
    <n v="1E-3"/>
    <n v="1"/>
    <n v="1.58"/>
    <n v="1000"/>
    <n v="1"/>
    <n v="1.58"/>
    <n v="0"/>
    <n v="0.9"/>
    <n v="3.0020000000000002"/>
    <n v="1.4220000000000002"/>
    <s v="Кабаносы (Kabanosy) в домашних условиях - YouTube"/>
    <s v="D:\Video\Колбаса_рецепты\Кабаносы (Kabanosy) в домашних условиях.mp11"/>
    <s v="Да"/>
    <m/>
  </r>
  <r>
    <x v="28"/>
    <x v="0"/>
    <x v="1"/>
    <s v="Тмин"/>
    <s v="Специи"/>
    <n v="1E-3"/>
    <n v="1"/>
    <n v="1.1319999999999999"/>
    <n v="1000"/>
    <n v="1"/>
    <n v="1.1319999999999999"/>
    <n v="0"/>
    <n v="0.9"/>
    <n v="2.1507999999999998"/>
    <n v="1.0187999999999999"/>
    <s v="Кабаносы (Kabanosy) в домашних условиях - YouTube"/>
    <s v="D:\Video\Колбаса_рецепты\Кабаносы (Kabanosy) в домашних условиях.mp12"/>
    <s v="Да"/>
    <m/>
  </r>
  <r>
    <x v="28"/>
    <x v="0"/>
    <x v="1"/>
    <s v="Чеснок сушеный"/>
    <s v="Специи"/>
    <n v="2E-3"/>
    <n v="2"/>
    <n v="1.7566666666666666"/>
    <n v="1000"/>
    <n v="2"/>
    <n v="1.7566666666666666"/>
    <n v="0"/>
    <n v="0.9"/>
    <n v="3.3376666666666663"/>
    <n v="1.5809999999999997"/>
    <s v="Кабаносы (Kabanosy) в домашних условиях - YouTube"/>
    <s v="D:\Video\Колбаса_рецепты\Кабаносы (Kabanosy) в домашних условиях.mp13"/>
    <s v="Да"/>
    <m/>
  </r>
  <r>
    <x v="28"/>
    <x v="0"/>
    <x v="1"/>
    <s v="Горчица семена"/>
    <s v="Специи"/>
    <n v="2E-3"/>
    <n v="2"/>
    <n v="0.93799999999999994"/>
    <n v="1000"/>
    <n v="2"/>
    <n v="0.93799999999999994"/>
    <n v="0"/>
    <n v="0.9"/>
    <n v="1.7822"/>
    <n v="0.84420000000000006"/>
    <s v="Кабаносы (Kabanosy) в домашних условиях - YouTube"/>
    <s v="D:\Video\Колбаса_рецепты\Кабаносы (Kabanosy) в домашних условиях.mp14"/>
    <s v="Нет"/>
    <m/>
  </r>
  <r>
    <x v="28"/>
    <x v="0"/>
    <x v="1"/>
    <s v="Свиная черева 32/34"/>
    <s v="Оболочка"/>
    <n v="1E-3"/>
    <n v="1"/>
    <n v="39.348206474190725"/>
    <n v="1000"/>
    <n v="1"/>
    <n v="39.348206474190725"/>
    <n v="0"/>
    <n v="0.9"/>
    <n v="74.761592300962377"/>
    <n v="35.413385826771652"/>
    <s v="Кабаносы (Kabanosy) в домашних условиях - YouTube"/>
    <s v="D:\Video\Колбаса_рецепты\Кабаносы (Kabanosy) в домашних условиях.mp15"/>
    <s v="Нет"/>
    <m/>
  </r>
  <r>
    <x v="29"/>
    <x v="1"/>
    <x v="0"/>
    <s v="Лопатка свиная"/>
    <s v="Свинина"/>
    <n v="1"/>
    <n v="1000"/>
    <n v="369"/>
    <n v="1000"/>
    <n v="1000"/>
    <n v="369"/>
    <n v="0.15"/>
    <n v="0.7"/>
    <n v="738"/>
    <n v="303.88235294117646"/>
    <s v="Рецепт колбасок из МОЕЙ ХОТДОЖНОЙ в Питере! - YouTube"/>
    <s v="D:\Video\Колбаса_рецепты\Рецепт колбасок из МОЕЙ ХОТДОЖНОЙ в Питере!.mp4"/>
    <s v="Нет"/>
    <m/>
  </r>
  <r>
    <x v="29"/>
    <x v="1"/>
    <x v="0"/>
    <s v="Вода"/>
    <s v="Добавки"/>
    <n v="0.15"/>
    <n v="150"/>
    <n v="0.15"/>
    <n v="1000"/>
    <n v="150"/>
    <n v="0.15"/>
    <n v="0"/>
    <n v="0.7"/>
    <n v="0.255"/>
    <n v="0.10500000000000001"/>
    <s v="Рецепт колбасок из МОЕЙ ХОТДОЖНОЙ в Питере! - YouTube"/>
    <s v="D:\Video\Колбаса_рецепты\Рецепт колбасок из МОЕЙ ХОТДОЖНОЙ в Питере!.mp5"/>
    <s v="Да"/>
    <m/>
  </r>
  <r>
    <x v="29"/>
    <x v="1"/>
    <x v="0"/>
    <s v="Соль нитритная"/>
    <s v="Специи"/>
    <n v="1.6E-2"/>
    <n v="16"/>
    <n v="2.048"/>
    <n v="1000"/>
    <n v="16"/>
    <n v="2.048"/>
    <n v="0"/>
    <n v="0.7"/>
    <n v="3.4816000000000003"/>
    <n v="1.4336000000000002"/>
    <s v="Рецепт колбасок из МОЕЙ ХОТДОЖНОЙ в Питере! - YouTube"/>
    <s v="D:\Video\Колбаса_рецепты\Рецепт колбасок из МОЕЙ ХОТДОЖНОЙ в Питере!.mp6"/>
    <s v="Да"/>
    <m/>
  </r>
  <r>
    <x v="29"/>
    <x v="1"/>
    <x v="0"/>
    <s v="Фосфат"/>
    <s v="Специи"/>
    <n v="3.0000000000000001E-3"/>
    <n v="3"/>
    <n v="2.2439999999999998"/>
    <n v="1000"/>
    <n v="3"/>
    <n v="2.2439999999999998"/>
    <n v="0"/>
    <n v="0.7"/>
    <n v="3.8147999999999995"/>
    <n v="1.5707999999999998"/>
    <s v="Рецепт колбасок из МОЕЙ ХОТДОЖНОЙ в Питере! - YouTube"/>
    <s v="D:\Video\Колбаса_рецепты\Рецепт колбасок из МОЕЙ ХОТДОЖНОЙ в Питере!.mp7"/>
    <s v="Да"/>
    <m/>
  </r>
  <r>
    <x v="29"/>
    <x v="1"/>
    <x v="0"/>
    <s v="Перец черный молотый"/>
    <s v="Специи"/>
    <n v="2E-3"/>
    <n v="2"/>
    <n v="2.189090909090909"/>
    <n v="1000"/>
    <n v="2"/>
    <n v="2.189090909090909"/>
    <n v="0"/>
    <n v="0.7"/>
    <n v="3.7214545454545451"/>
    <n v="1.5323636363636362"/>
    <s v="Рецепт колбасок из МОЕЙ ХОТДОЖНОЙ в Питере! - YouTube"/>
    <s v="D:\Video\Колбаса_рецепты\Рецепт колбасок из МОЕЙ ХОТДОЖНОЙ в Питере!.mp8"/>
    <s v="Да"/>
    <m/>
  </r>
  <r>
    <x v="29"/>
    <x v="1"/>
    <x v="0"/>
    <s v="Перец белый молотый"/>
    <s v="Специи"/>
    <n v="2E-3"/>
    <n v="2"/>
    <n v="3.16"/>
    <n v="1000"/>
    <n v="2"/>
    <n v="3.16"/>
    <n v="0"/>
    <n v="0.7"/>
    <n v="5.3719999999999999"/>
    <n v="2.2119999999999997"/>
    <s v="Рецепт колбасок из МОЕЙ ХОТДОЖНОЙ в Питере! - YouTube"/>
    <s v="D:\Video\Колбаса_рецепты\Рецепт колбасок из МОЕЙ ХОТДОЖНОЙ в Питере!.mp9"/>
    <s v="Да"/>
    <m/>
  </r>
  <r>
    <x v="29"/>
    <x v="1"/>
    <x v="0"/>
    <s v="Перец чили молотый"/>
    <s v="Специи"/>
    <n v="3.0000000000000001E-3"/>
    <n v="3"/>
    <n v="2.3290909090909091"/>
    <n v="1000"/>
    <n v="3"/>
    <n v="2.3290909090909091"/>
    <n v="0"/>
    <n v="0.7"/>
    <n v="3.9594545454545456"/>
    <n v="1.6303636363636365"/>
    <s v="Рецепт колбасок из МОЕЙ ХОТДОЖНОЙ в Питере! - YouTube"/>
    <s v="D:\Video\Колбаса_рецепты\Рецепт колбасок из МОЕЙ ХОТДОЖНОЙ в Питере!.mp10"/>
    <s v="Нет"/>
    <m/>
  </r>
  <r>
    <x v="29"/>
    <x v="1"/>
    <x v="0"/>
    <s v="Перец чили целый"/>
    <s v="Специи"/>
    <n v="3.0000000000000001E-3"/>
    <n v="3"/>
    <n v="3.8789999999999996"/>
    <n v="1000"/>
    <n v="3"/>
    <n v="3.8789999999999996"/>
    <n v="0"/>
    <n v="0.7"/>
    <n v="6.5942999999999987"/>
    <n v="2.7152999999999992"/>
    <s v="Рецепт колбасок из МОЕЙ ХОТДОЖНОЙ в Питере! - YouTube"/>
    <s v="D:\Video\Колбаса_рецепты\Рецепт колбасок из МОЕЙ ХОТДОЖНОЙ в Питере!.mp11"/>
    <s v="Нет"/>
    <m/>
  </r>
  <r>
    <x v="29"/>
    <x v="1"/>
    <x v="0"/>
    <s v="Горчица семена"/>
    <s v="Специи"/>
    <n v="3.0000000000000001E-3"/>
    <n v="3"/>
    <n v="1.407"/>
    <n v="1000"/>
    <n v="3"/>
    <n v="1.407"/>
    <n v="0"/>
    <n v="0.7"/>
    <n v="2.3919000000000001"/>
    <n v="0.98490000000000011"/>
    <s v="Рецепт колбасок из МОЕЙ ХОТДОЖНОЙ в Питере! - YouTube"/>
    <s v="D:\Video\Колбаса_рецепты\Рецепт колбасок из МОЕЙ ХОТДОЖНОЙ в Питере!.mp12"/>
    <s v="Нет"/>
    <m/>
  </r>
  <r>
    <x v="29"/>
    <x v="1"/>
    <x v="0"/>
    <s v="Паприка красная молотая"/>
    <s v="Специи"/>
    <n v="6.0000000000000001E-3"/>
    <n v="6"/>
    <n v="4.6909090909090914"/>
    <n v="1000"/>
    <n v="6"/>
    <n v="4.6909090909090914"/>
    <n v="0"/>
    <n v="0.7"/>
    <n v="7.9745454545454546"/>
    <n v="3.2836363636363632"/>
    <s v="Рецепт колбасок из МОЕЙ ХОТДОЖНОЙ в Питере! - YouTube"/>
    <s v="D:\Video\Колбаса_рецепты\Рецепт колбасок из МОЕЙ ХОТДОЖНОЙ в Питере!.mp13"/>
    <s v="Нет"/>
    <m/>
  </r>
  <r>
    <x v="29"/>
    <x v="1"/>
    <x v="0"/>
    <s v="Свиная черева 32/34"/>
    <s v="Оболочка"/>
    <n v="1E-3"/>
    <n v="1"/>
    <n v="39.348206474190725"/>
    <n v="1000"/>
    <n v="1"/>
    <n v="39.348206474190725"/>
    <n v="0"/>
    <n v="0.7"/>
    <n v="66.891951006124231"/>
    <n v="27.543744531933505"/>
    <s v="Рецепт колбасок из МОЕЙ ХОТДОЖНОЙ в Питере! - YouTube"/>
    <s v="D:\Video\Колбаса_рецепты\Рецепт колбасок из МОЕЙ ХОТДОЖНОЙ в Питере!.mp14"/>
    <s v="Нет"/>
    <m/>
  </r>
  <r>
    <x v="30"/>
    <x v="1"/>
    <x v="0"/>
    <s v="Индейка"/>
    <s v="Птица"/>
    <n v="1"/>
    <n v="1000"/>
    <n v="569.99"/>
    <n v="1000"/>
    <n v="1000"/>
    <n v="569.99"/>
    <n v="0.15"/>
    <n v="0.7"/>
    <n v="1139.98"/>
    <n v="469.40352941176468"/>
    <s v="Сосиски Крепыш, без нитритной соли. Сравнение рецептур с фосфатом и цитратом - консистенция и вкус. - YouTube"/>
    <s v="D:\Video\Колбаса_рецепты\Сосиски Крепыш, без нитритной соли. Сравнение рецептур с фосфатом и цитратом - консистенция и вкус.mp4"/>
    <s v="Нет"/>
    <m/>
  </r>
  <r>
    <x v="30"/>
    <x v="1"/>
    <x v="0"/>
    <s v="Соль пищевая"/>
    <s v="Специи"/>
    <n v="1.7999999999999999E-2"/>
    <n v="18"/>
    <n v="0.69299999999999995"/>
    <n v="1000"/>
    <n v="18"/>
    <n v="0.69299999999999995"/>
    <n v="0"/>
    <n v="0.7"/>
    <n v="1.1780999999999999"/>
    <n v="0.48509999999999998"/>
    <s v="Сосиски Крепыш, без нитритной соли. Сравнение рецептур с фосфатом и цитратом - консистенция и вкус. - YouTube"/>
    <s v="D:\Video\Колбаса_рецепты\Сосиски Крепыш, без нитритной соли. Сравнение рецептур с фосфатом и цитратом - консистенция и вкус.mp5"/>
    <s v="Да"/>
    <m/>
  </r>
  <r>
    <x v="30"/>
    <x v="1"/>
    <x v="0"/>
    <s v="Смесь приправ «Молочные сосиски»"/>
    <s v="Специи"/>
    <n v="5.0000000000000001E-3"/>
    <n v="5"/>
    <n v="7.165"/>
    <n v="1000"/>
    <n v="5"/>
    <n v="7.165"/>
    <n v="0"/>
    <n v="0.7"/>
    <n v="12.180499999999999"/>
    <n v="5.0154999999999985"/>
    <s v="Сосиски Крепыш, без нитритной соли. Сравнение рецептур с фосфатом и цитратом - консистенция и вкус. - YouTube"/>
    <s v="D:\Video\Колбаса_рецепты\Сосиски Крепыш, без нитритной соли. Сравнение рецептур с фосфатом и цитратом - консистенция и вкус.mp6"/>
    <s v="Нет"/>
    <m/>
  </r>
  <r>
    <x v="30"/>
    <x v="1"/>
    <x v="0"/>
    <s v="Цитрат натрия E331"/>
    <s v="Специи"/>
    <n v="5.0000000000000001E-3"/>
    <n v="5"/>
    <n v="1.335"/>
    <n v="1000"/>
    <n v="5"/>
    <n v="1.335"/>
    <n v="0"/>
    <n v="0.7"/>
    <n v="2.2694999999999999"/>
    <n v="0.93449999999999989"/>
    <s v="Сосиски Крепыш, без нитритной соли. Сравнение рецептур с фосфатом и цитратом - консистенция и вкус. - YouTube"/>
    <s v="D:\Video\Колбаса_рецепты\Сосиски Крепыш, без нитритной соли. Сравнение рецептур с фосфатом и цитратом - консистенция и вкус.mp7"/>
    <s v="Нет"/>
    <m/>
  </r>
  <r>
    <x v="30"/>
    <x v="1"/>
    <x v="0"/>
    <s v="Вода"/>
    <s v="Добавки"/>
    <n v="0.15"/>
    <n v="150"/>
    <n v="0.15"/>
    <n v="1000"/>
    <n v="150"/>
    <n v="0.15"/>
    <n v="0"/>
    <n v="0.7"/>
    <n v="0.255"/>
    <n v="0.10500000000000001"/>
    <s v="Сосиски Крепыш, без нитритной соли. Сравнение рецептур с фосфатом и цитратом - консистенция и вкус. - YouTube"/>
    <s v="D:\Video\Колбаса_рецепты\Сосиски Крепыш, без нитритной соли. Сравнение рецептур с фосфатом и цитратом - консистенция и вкус.mp8"/>
    <s v="Да"/>
    <m/>
  </r>
  <r>
    <x v="30"/>
    <x v="1"/>
    <x v="0"/>
    <s v="Подсолнечное масло"/>
    <s v="Добавки"/>
    <n v="0.15"/>
    <n v="150"/>
    <n v="24.75"/>
    <n v="1000"/>
    <n v="150"/>
    <n v="24.75"/>
    <n v="0"/>
    <n v="0.7"/>
    <n v="42.075000000000003"/>
    <n v="17.325000000000003"/>
    <s v="Сосиски Крепыш, без нитритной соли. Сравнение рецептур с фосфатом и цитратом - консистенция и вкус. - YouTube"/>
    <s v="D:\Video\Колбаса_рецепты\Сосиски Крепыш, без нитритной соли. Сравнение рецептур с фосфатом и цитратом - консистенция и вкус.mp9"/>
    <s v="Да"/>
    <m/>
  </r>
  <r>
    <x v="30"/>
    <x v="1"/>
    <x v="0"/>
    <s v="Полиамидная сосисочная"/>
    <s v="Оболочка"/>
    <n v="1E-3"/>
    <n v="1"/>
    <n v="15.407180149631303"/>
    <n v="1000"/>
    <n v="1"/>
    <n v="15.407180149631303"/>
    <n v="0"/>
    <n v="0.7"/>
    <n v="26.192206254373215"/>
    <n v="10.785026104741911"/>
    <s v="Сосиски Крепыш, без нитритной соли. Сравнение рецептур с фосфатом и цитратом - консистенция и вкус. - YouTube"/>
    <s v="D:\Video\Колбаса_рецепты\Сосиски Крепыш, без нитритной соли. Сравнение рецептур с фосфатом и цитратом - консистенция и вкус.mp10"/>
    <s v="Да"/>
    <m/>
  </r>
  <r>
    <x v="31"/>
    <x v="0"/>
    <x v="0"/>
    <s v="Лопатка свиная"/>
    <s v="Свинина"/>
    <n v="1"/>
    <n v="1000"/>
    <n v="369"/>
    <n v="1000"/>
    <n v="1000"/>
    <n v="369"/>
    <n v="0.15"/>
    <n v="0.7"/>
    <n v="738"/>
    <n v="303.88235294117646"/>
    <s v="РОЗЫГРЫШ и АКЦИЯ. Мортаделла в духовке + рецептура сыровяленой Луканки, вялим в холодильнике - YouTube"/>
    <s v="D:\Video\Колбаса_рецепты\РОЗЫГРЫШ и АКЦИЯ. Мортаделла в духовке + рецептура сыровяленой Луканки, вялим в холодильнике.mp4"/>
    <s v="Нет"/>
    <m/>
  </r>
  <r>
    <x v="31"/>
    <x v="0"/>
    <x v="0"/>
    <s v="Шпик"/>
    <s v="Свинина"/>
    <n v="0.05"/>
    <n v="50"/>
    <n v="15"/>
    <n v="1000"/>
    <n v="50"/>
    <n v="15"/>
    <n v="0.15"/>
    <n v="0.7"/>
    <n v="30"/>
    <n v="12.352941176470587"/>
    <s v="РОЗЫГРЫШ и АКЦИЯ. Мортаделла в духовке + рецептура сыровяленой Луканки, вялим в холодильнике - YouTube"/>
    <s v="D:\Video\Колбаса_рецепты\РОЗЫГРЫШ и АКЦИЯ. Мортаделла в духовке + рецептура сыровяленой Луканки, вялим в холодильнике.mp5"/>
    <s v="Нет"/>
    <m/>
  </r>
  <r>
    <x v="31"/>
    <x v="0"/>
    <x v="0"/>
    <s v="Фисташки"/>
    <s v="Добавки"/>
    <n v="0.05"/>
    <n v="50"/>
    <n v="109.99999999999999"/>
    <n v="1000"/>
    <n v="50"/>
    <n v="109.99999999999999"/>
    <n v="0"/>
    <n v="0.7"/>
    <n v="186.99999999999997"/>
    <n v="76.999999999999986"/>
    <s v="РОЗЫГРЫШ и АКЦИЯ. Мортаделла в духовке + рецептура сыровяленой Луканки, вялим в холодильнике - YouTube"/>
    <s v="D:\Video\Колбаса_рецепты\РОЗЫГРЫШ и АКЦИЯ. Мортаделла в духовке + рецептура сыровяленой Луканки, вялим в холодильнике.mp6"/>
    <s v="Нет"/>
    <m/>
  </r>
  <r>
    <x v="31"/>
    <x v="0"/>
    <x v="0"/>
    <s v="Смесь приправ Мортаделла"/>
    <s v="Специи"/>
    <n v="6.4999999999999997E-3"/>
    <n v="6.5"/>
    <n v="10.679500000000001"/>
    <n v="1000"/>
    <n v="6.5"/>
    <n v="10.679500000000001"/>
    <n v="0"/>
    <n v="0.7"/>
    <n v="18.155149999999999"/>
    <n v="7.4756499999999981"/>
    <s v="РОЗЫГРЫШ и АКЦИЯ. Мортаделла в духовке + рецептура сыровяленой Луканки, вялим в холодильнике - YouTube"/>
    <s v="D:\Video\Колбаса_рецепты\РОЗЫГРЫШ и АКЦИЯ. Мортаделла в духовке + рецептура сыровяленой Луканки, вялим в холодильнике.mp7"/>
    <s v="Нет"/>
    <m/>
  </r>
  <r>
    <x v="31"/>
    <x v="0"/>
    <x v="0"/>
    <s v="Вода"/>
    <s v="Добавки"/>
    <n v="0.1"/>
    <n v="100"/>
    <n v="0.1"/>
    <n v="1000"/>
    <n v="100"/>
    <n v="0.1"/>
    <n v="0"/>
    <n v="0.7"/>
    <n v="0.16999999999999998"/>
    <n v="6.9999999999999979E-2"/>
    <s v="РОЗЫГРЫШ и АКЦИЯ. Мортаделла в духовке + рецептура сыровяленой Луканки, вялим в холодильнике - YouTube"/>
    <s v="D:\Video\Колбаса_рецепты\РОЗЫГРЫШ и АКЦИЯ. Мортаделла в духовке + рецептура сыровяленой Луканки, вялим в холодильнике.mp8"/>
    <s v="Да"/>
    <m/>
  </r>
  <r>
    <x v="31"/>
    <x v="0"/>
    <x v="0"/>
    <s v="Фосфат"/>
    <s v="Специи"/>
    <n v="3.0000000000000001E-3"/>
    <n v="3"/>
    <n v="2.2439999999999998"/>
    <n v="1000"/>
    <n v="3"/>
    <n v="2.2439999999999998"/>
    <n v="0"/>
    <n v="0.7"/>
    <n v="3.8147999999999995"/>
    <n v="1.5707999999999998"/>
    <s v="РОЗЫГРЫШ и АКЦИЯ. Мортаделла в духовке + рецептура сыровяленой Луканки, вялим в холодильнике - YouTube"/>
    <s v="D:\Video\Колбаса_рецепты\РОЗЫГРЫШ и АКЦИЯ. Мортаделла в духовке + рецептура сыровяленой Луканки, вялим в холодильнике.mp9"/>
    <s v="Да"/>
    <m/>
  </r>
  <r>
    <x v="31"/>
    <x v="0"/>
    <x v="0"/>
    <s v="Полиамидная 80"/>
    <s v="Оболочка"/>
    <n v="1E-3"/>
    <n v="1"/>
    <n v="9.7374533266692147"/>
    <n v="1000"/>
    <n v="1"/>
    <n v="9.7374533266692147"/>
    <n v="0"/>
    <n v="0.7"/>
    <n v="16.553670655337665"/>
    <n v="6.8162173286684506"/>
    <s v="РОЗЫГРЫШ и АКЦИЯ. Мортаделла в духовке + рецептура сыровяленой Луканки, вялим в холодильнике - YouTube"/>
    <s v="D:\Video\Колбаса_рецепты\РОЗЫГРЫШ и АКЦИЯ. Мортаделла в духовке + рецептура сыровяленой Луканки, вялим в холодильнике.mp10"/>
    <s v="Да"/>
    <m/>
  </r>
  <r>
    <x v="32"/>
    <x v="0"/>
    <x v="4"/>
    <s v="Лопатка свиная"/>
    <s v="Свинина"/>
    <n v="0.25"/>
    <n v="250"/>
    <n v="92.25"/>
    <n v="1000"/>
    <n v="250"/>
    <n v="92.25"/>
    <n v="0.35"/>
    <n v="2"/>
    <n v="425.76923076923072"/>
    <n v="283.84615384615381"/>
    <s v="Луканка болгарская. Адаптированный рецепт для начинающих. - YouTube"/>
    <s v="D:\Video\Колбаса_рецепты\Луканка болгарская. Адаптированный рецепт для начинающих.mp4"/>
    <s v="Нет"/>
    <m/>
  </r>
  <r>
    <x v="32"/>
    <x v="0"/>
    <x v="4"/>
    <s v="Грудинка свиная"/>
    <s v="Свинина"/>
    <n v="0.25"/>
    <n v="250"/>
    <n v="107.4975"/>
    <n v="1000"/>
    <n v="250"/>
    <n v="107.4975"/>
    <n v="0.35"/>
    <n v="2"/>
    <n v="496.14230769230767"/>
    <n v="330.76153846153841"/>
    <s v="Луканка болгарская. Адаптированный рецепт для начинающих. - YouTube"/>
    <s v="D:\Video\Колбаса_рецепты\Луканка болгарская. Адаптированный рецепт для начинающих.mp5"/>
    <s v="Нет"/>
    <m/>
  </r>
  <r>
    <x v="32"/>
    <x v="0"/>
    <x v="4"/>
    <s v="Говядина"/>
    <s v="Говядина"/>
    <n v="0.5"/>
    <n v="500"/>
    <n v="354.995"/>
    <n v="1000"/>
    <n v="500"/>
    <n v="354.995"/>
    <n v="0.35"/>
    <n v="2"/>
    <n v="1638.4384615384615"/>
    <n v="1092.2923076923075"/>
    <s v="Луканка болгарская. Адаптированный рецепт для начинающих. - YouTube"/>
    <s v="D:\Video\Колбаса_рецепты\Луканка болгарская. Адаптированный рецепт для начинающих.mp6"/>
    <s v="Да"/>
    <m/>
  </r>
  <r>
    <x v="32"/>
    <x v="0"/>
    <x v="4"/>
    <s v="Соль нитритная"/>
    <s v="Специи"/>
    <n v="2.5000000000000001E-2"/>
    <n v="25"/>
    <n v="3.2"/>
    <n v="1000"/>
    <n v="25"/>
    <n v="3.2"/>
    <n v="0"/>
    <n v="2"/>
    <n v="9.6000000000000014"/>
    <n v="6.4000000000000012"/>
    <s v="Луканка болгарская. Адаптированный рецепт для начинающих. - YouTube"/>
    <s v="D:\Video\Колбаса_рецепты\Луканка болгарская. Адаптированный рецепт для начинающих.mp7"/>
    <s v="Да"/>
    <m/>
  </r>
  <r>
    <x v="32"/>
    <x v="0"/>
    <x v="4"/>
    <s v="Смесь приправ «Луканка»"/>
    <s v="Специи"/>
    <n v="0.01"/>
    <n v="10"/>
    <n v="11"/>
    <n v="1000"/>
    <n v="10"/>
    <n v="11"/>
    <n v="0"/>
    <n v="2"/>
    <n v="33"/>
    <n v="22"/>
    <s v="Луканка болгарская. Адаптированный рецепт для начинающих. - YouTube"/>
    <s v="D:\Video\Колбаса_рецепты\Луканка болгарская. Адаптированный рецепт для начинающих.mp8"/>
    <s v="Нет"/>
    <m/>
  </r>
  <r>
    <x v="32"/>
    <x v="0"/>
    <x v="4"/>
    <s v="Аскорбиновая кислота"/>
    <s v="Специи"/>
    <n v="3.0000000000000001E-3"/>
    <n v="3"/>
    <n v="5.1059999999999999"/>
    <n v="1000"/>
    <n v="3"/>
    <n v="5.1059999999999999"/>
    <n v="0"/>
    <n v="2"/>
    <n v="15.318"/>
    <n v="10.212"/>
    <s v="Луканка болгарская. Адаптированный рецепт для начинающих. - YouTube"/>
    <s v="D:\Video\Колбаса_рецепты\Луканка болгарская. Адаптированный рецепт для начинающих.mp9"/>
    <s v="Да"/>
    <m/>
  </r>
  <r>
    <x v="32"/>
    <x v="0"/>
    <x v="4"/>
    <s v="Мембрин кольцевой 42 мм"/>
    <s v="Оболочка"/>
    <n v="1E-3"/>
    <n v="1"/>
    <n v="35.564871777750035"/>
    <n v="1000"/>
    <n v="1"/>
    <n v="35.564871777750035"/>
    <n v="0"/>
    <n v="2"/>
    <n v="106.69461533325011"/>
    <n v="71.129743555500085"/>
    <s v="Луканка болгарская. Адаптированный рецепт для начинающих. - YouTube"/>
    <s v="D:\Video\Колбаса_рецепты\Луканка болгарская. Адаптированный рецепт для начинающих.mp10"/>
    <s v="Нет"/>
    <m/>
  </r>
  <r>
    <x v="33"/>
    <x v="4"/>
    <x v="6"/>
    <s v="Молоко"/>
    <s v="Добавки"/>
    <n v="1"/>
    <n v="1000"/>
    <n v="66.66"/>
    <n v="1000"/>
    <n v="1000"/>
    <n v="66.66"/>
    <n v="0.92"/>
    <n v="3"/>
    <n v="3333.0000000000014"/>
    <n v="2499.7500000000009"/>
    <s v="ВСЕГО ДВА ИНГРЕДИЕНТА! КАК ПРИГОТОВИТЬ СЫР КОСИЧКУ (ЧЕЧИЛ) В ДОМАШНИХ УСЛОВИЯХ - YouTube"/>
    <s v="D:\Video\Колбаса_рецепты\ВСЕГО ДВА ИНГРЕДИЕНТА! КАК ПРИГОТОВИТЬ СЫР КОСИЧКУ (ЧЕЧИЛ) В ДОМАШНИХ УСЛОВИЯХ.mp4"/>
    <s v="Да"/>
    <m/>
  </r>
  <r>
    <x v="33"/>
    <x v="4"/>
    <x v="6"/>
    <s v="Уксус 9%"/>
    <s v="Добавки"/>
    <n v="0.03"/>
    <n v="30"/>
    <n v="5.1899999999999995"/>
    <n v="1000"/>
    <n v="30"/>
    <n v="5.1899999999999995"/>
    <n v="0"/>
    <n v="3"/>
    <n v="20.759999999999998"/>
    <n v="15.569999999999999"/>
    <s v="ВСЕГО ДВА ИНГРЕДИЕНТА! КАК ПРИГОТОВИТЬ СЫР КОСИЧКУ (ЧЕЧИЛ) В ДОМАШНИХ УСЛОВИЯХ - YouTube"/>
    <s v="D:\Video\Колбаса_рецепты\ВСЕГО ДВА ИНГРЕДИЕНТА! КАК ПРИГОТОВИТЬ СЫР КОСИЧКУ (ЧЕЧИЛ) В ДОМАШНИХ УСЛОВИЯХ.mp4"/>
    <s v="Да"/>
    <m/>
  </r>
  <r>
    <x v="33"/>
    <x v="4"/>
    <x v="6"/>
    <s v="Вода"/>
    <s v="Добавки"/>
    <n v="0.5"/>
    <n v="500"/>
    <n v="0.5"/>
    <n v="1000"/>
    <n v="500"/>
    <n v="0.5"/>
    <n v="0"/>
    <n v="3"/>
    <n v="2"/>
    <n v="1.5"/>
    <s v="ВСЕГО ДВА ИНГРЕДИЕНТА! КАК ПРИГОТОВИТЬ СЫР КОСИЧКУ (ЧЕЧИЛ) В ДОМАШНИХ УСЛОВИЯХ - YouTube"/>
    <s v="D:\Video\Колбаса_рецепты\ВСЕГО ДВА ИНГРЕДИЕНТА! КАК ПРИГОТОВИТЬ СЫР КОСИЧКУ (ЧЕЧИЛ) В ДОМАШНИХ УСЛОВИЯХ.mp4"/>
    <s v="Да"/>
    <m/>
  </r>
  <r>
    <x v="33"/>
    <x v="4"/>
    <x v="6"/>
    <s v="Соль пищевая"/>
    <s v="Специи"/>
    <n v="0.1"/>
    <n v="100"/>
    <n v="3.85"/>
    <n v="1000"/>
    <n v="100"/>
    <n v="3.85"/>
    <n v="0"/>
    <n v="3"/>
    <n v="15.4"/>
    <n v="11.55"/>
    <s v="ВСЕГО ДВА ИНГРЕДИЕНТА! КАК ПРИГОТОВИТЬ СЫР КОСИЧКУ (ЧЕЧИЛ) В ДОМАШНИХ УСЛОВИЯХ - YouTube"/>
    <s v="D:\Video\Колбаса_рецепты\ВСЕГО ДВА ИНГРЕДИЕНТА! КАК ПРИГОТОВИТЬ СЫР КОСИЧКУ (ЧЕЧИЛ) В ДОМАШНИХ УСЛОВИЯХ.mp4"/>
    <s v="Да"/>
    <m/>
  </r>
  <r>
    <x v="34"/>
    <x v="4"/>
    <x v="6"/>
    <s v="Молоко"/>
    <s v="Добавки"/>
    <n v="1"/>
    <n v="1000"/>
    <n v="66.66"/>
    <n v="1000"/>
    <n v="1000"/>
    <n v="66.66"/>
    <n v="0.92"/>
    <n v="3"/>
    <n v="3333.0000000000014"/>
    <n v="2499.7500000000009"/>
    <s v="ДОМАШНИЙ СЫР ПАНИР - рецепт сыра, который можно жарить, как тофу ☆ Как сделать сыр из молока дома? - YouTube"/>
    <s v="D:\Video\Колбаса_рецепты\ДОМАШНИЙ СЫР ПАНИР - рецепт сыра, который можно жарить, как тофу ☆ Как сделать сыр из молока дома_.mp4"/>
    <s v="Да"/>
    <m/>
  </r>
  <r>
    <x v="34"/>
    <x v="4"/>
    <x v="6"/>
    <s v="Лимонная кислота"/>
    <s v="Добавки"/>
    <n v="1.5E-3"/>
    <n v="1.5"/>
    <n v="0.26650000000000001"/>
    <n v="1000"/>
    <n v="1.5"/>
    <n v="0.26650000000000001"/>
    <n v="0"/>
    <n v="3"/>
    <n v="1.0660000000000001"/>
    <n v="0.7995000000000001"/>
    <s v="ДОМАШНИЙ СЫР ПАНИР - рецепт сыра, который можно жарить, как тофу ☆ Как сделать сыр из молока дома? - YouTube"/>
    <s v="D:\Video\Колбаса_рецепты\ДОМАШНИЙ СЫР ПАНИР - рецепт сыра, который можно жарить, как тофу ☆ Как сделать сыр из молока дома_.mp4"/>
    <s v="Да"/>
    <m/>
  </r>
  <r>
    <x v="34"/>
    <x v="4"/>
    <x v="6"/>
    <s v="Вода"/>
    <s v="Добавки"/>
    <n v="0.05"/>
    <n v="50"/>
    <n v="0.05"/>
    <n v="1000"/>
    <n v="50"/>
    <n v="0.05"/>
    <n v="0"/>
    <n v="3"/>
    <n v="0.2"/>
    <n v="0.15000000000000002"/>
    <s v="ДОМАШНИЙ СЫР ПАНИР - рецепт сыра, который можно жарить, как тофу ☆ Как сделать сыр из молока дома? - YouTube"/>
    <s v="D:\Video\Колбаса_рецепты\ДОМАШНИЙ СЫР ПАНИР - рецепт сыра, который можно жарить, как тофу ☆ Как сделать сыр из молока дома_.mp4"/>
    <s v="Да"/>
    <m/>
  </r>
  <r>
    <x v="34"/>
    <x v="4"/>
    <x v="6"/>
    <s v="Соль пищевая"/>
    <s v="Специи"/>
    <n v="1E-3"/>
    <n v="1"/>
    <n v="3.85E-2"/>
    <n v="1000"/>
    <n v="1"/>
    <n v="3.85E-2"/>
    <n v="0"/>
    <n v="3"/>
    <n v="0.154"/>
    <n v="0.11549999999999999"/>
    <s v="ДОМАШНИЙ СЫР ПАНИР - рецепт сыра, который можно жарить, как тофу ☆ Как сделать сыр из молока дома? - YouTube"/>
    <s v="D:\Video\Колбаса_рецепты\ДОМАШНИЙ СЫР ПАНИР - рецепт сыра, который можно жарить, как тофу ☆ Как сделать сыр из молока дома_.mp4"/>
    <s v="Да"/>
    <m/>
  </r>
  <r>
    <x v="35"/>
    <x v="0"/>
    <x v="1"/>
    <s v="Щука"/>
    <s v="Рыба"/>
    <n v="1"/>
    <n v="1000"/>
    <n v="307.69230769230774"/>
    <n v="1000"/>
    <n v="1000"/>
    <n v="307.69230769230774"/>
    <n v="0.15"/>
    <n v="0.9"/>
    <n v="687.78280542986431"/>
    <n v="325.79185520361989"/>
    <s v="Колбаса рыбная (щука) (youtube.com)"/>
    <s v="D:\Video\Колбаса_рецепты\Колбаса рыбная (щука).mp4"/>
    <s v="Да"/>
    <m/>
  </r>
  <r>
    <x v="35"/>
    <x v="0"/>
    <x v="1"/>
    <s v="Соль пищевая"/>
    <s v="Специи"/>
    <n v="1.6E-2"/>
    <n v="16"/>
    <n v="0.61599999999999999"/>
    <n v="1000"/>
    <n v="16"/>
    <n v="0.61599999999999999"/>
    <n v="0"/>
    <n v="0.9"/>
    <n v="1.1703999999999999"/>
    <n v="0.55439999999999989"/>
    <s v="Колбаса рыбная (щука) (youtube.com)"/>
    <s v="D:\Video\Колбаса_рецепты\Колбаса рыбная (щука).mp4"/>
    <s v="Да"/>
    <m/>
  </r>
  <r>
    <x v="35"/>
    <x v="0"/>
    <x v="1"/>
    <s v="Сахар"/>
    <s v="Специи"/>
    <n v="3.5000000000000001E-3"/>
    <n v="3.5"/>
    <n v="0.28308823529411764"/>
    <n v="1000"/>
    <n v="3.5"/>
    <n v="0.28308823529411764"/>
    <n v="0"/>
    <n v="0.9"/>
    <n v="0.53786764705882351"/>
    <n v="0.25477941176470587"/>
    <s v="Колбаса рыбная (щука) (youtube.com)"/>
    <s v="D:\Video\Колбаса_рецепты\Колбаса рыбная (щука).mp4"/>
    <s v="Да"/>
    <m/>
  </r>
  <r>
    <x v="35"/>
    <x v="0"/>
    <x v="1"/>
    <s v="Мускатный орех"/>
    <s v="Специи"/>
    <n v="1E-3"/>
    <n v="1"/>
    <n v="2.0772727272727272"/>
    <n v="1000"/>
    <n v="1"/>
    <n v="2.0772727272727272"/>
    <n v="0"/>
    <n v="0.9"/>
    <n v="3.9468181818181813"/>
    <n v="1.8695454545454542"/>
    <s v="Колбаса рыбная (щука) (youtube.com)"/>
    <s v="D:\Video\Колбаса_рецепты\Колбаса рыбная (щука).mp4"/>
    <s v="Да"/>
    <m/>
  </r>
  <r>
    <x v="35"/>
    <x v="0"/>
    <x v="1"/>
    <s v="Перец белый молотый"/>
    <s v="Специи"/>
    <n v="2.5000000000000001E-3"/>
    <n v="2.5"/>
    <n v="3.95"/>
    <n v="1000"/>
    <n v="2.5"/>
    <n v="3.95"/>
    <n v="0"/>
    <n v="0.9"/>
    <n v="7.5050000000000008"/>
    <n v="3.5550000000000006"/>
    <s v="Колбаса рыбная (щука) (youtube.com)"/>
    <s v="D:\Video\Колбаса_рецепты\Колбаса рыбная (щука).mp4"/>
    <s v="Да"/>
    <m/>
  </r>
  <r>
    <x v="35"/>
    <x v="0"/>
    <x v="1"/>
    <s v="Чеснок сушеный"/>
    <s v="Специи"/>
    <n v="3.0000000000000001E-3"/>
    <n v="3"/>
    <n v="2.6349999999999998"/>
    <n v="1000"/>
    <n v="3"/>
    <n v="2.6349999999999998"/>
    <n v="0"/>
    <n v="0.9"/>
    <n v="5.0064999999999991"/>
    <n v="2.3714999999999993"/>
    <s v="Колбаса рыбная (щука) (youtube.com)"/>
    <s v="D:\Video\Колбаса_рецепты\Колбаса рыбная (щука).mp4"/>
    <s v="Да"/>
    <m/>
  </r>
  <r>
    <x v="35"/>
    <x v="0"/>
    <x v="1"/>
    <s v="Тмин"/>
    <s v="Специи"/>
    <n v="5.0000000000000001E-4"/>
    <n v="0.5"/>
    <n v="0.56599999999999995"/>
    <n v="1000"/>
    <n v="0.5"/>
    <n v="0.56599999999999995"/>
    <n v="0"/>
    <n v="0.9"/>
    <n v="1.0753999999999999"/>
    <n v="0.50939999999999996"/>
    <s v="Колбаса рыбная (щука) (youtube.com)"/>
    <s v="D:\Video\Колбаса_рецепты\Колбаса рыбная (щука).mp4"/>
    <s v="Да"/>
    <m/>
  </r>
  <r>
    <x v="35"/>
    <x v="0"/>
    <x v="1"/>
    <s v="Краситель пищевой"/>
    <s v="Добавки"/>
    <n v="1E-4"/>
    <n v="0.1"/>
    <n v="0.90769230769230769"/>
    <n v="1000"/>
    <n v="0.1"/>
    <n v="0.90769230769230769"/>
    <n v="0"/>
    <n v="0.9"/>
    <n v="1.7246153846153847"/>
    <n v="0.81692307692307697"/>
    <s v="Колбаса рыбная (щука) (youtube.com)"/>
    <s v="D:\Video\Колбаса_рецепты\Колбаса рыбная (щука).mp4"/>
    <s v="Нет"/>
    <m/>
  </r>
  <r>
    <x v="35"/>
    <x v="0"/>
    <x v="1"/>
    <s v="Вода"/>
    <s v="Добавки"/>
    <n v="5.0000000000000001E-3"/>
    <n v="5"/>
    <n v="5.0000000000000001E-3"/>
    <n v="1000"/>
    <n v="5"/>
    <n v="5.0000000000000001E-3"/>
    <n v="0"/>
    <n v="0.9"/>
    <n v="9.5000000000000015E-3"/>
    <n v="4.5000000000000014E-3"/>
    <s v="Колбаса рыбная (щука) (youtube.com)"/>
    <s v="D:\Video\Колбаса_рецепты\Колбаса рыбная (щука).mp4"/>
    <s v="Да"/>
    <m/>
  </r>
  <r>
    <x v="35"/>
    <x v="0"/>
    <x v="1"/>
    <s v="Свиная черева 32/34"/>
    <s v="Оболочка"/>
    <n v="1E-3"/>
    <n v="1"/>
    <n v="39.348206474190725"/>
    <n v="1000"/>
    <n v="1"/>
    <n v="39.348206474190725"/>
    <n v="0"/>
    <n v="0.9"/>
    <n v="74.761592300962377"/>
    <n v="35.413385826771652"/>
    <s v="Колбаса рыбная (щука) (youtube.com)"/>
    <s v="D:\Video\Колбаса_рецепты\Колбаса рыбная (щука).mp4"/>
    <s v="Нет"/>
    <m/>
  </r>
  <r>
    <x v="36"/>
    <x v="0"/>
    <x v="0"/>
    <s v="Шкуры, голова, обрезь"/>
    <s v="Свинина"/>
    <n v="1"/>
    <n v="1000"/>
    <n v="100"/>
    <n v="1000"/>
    <n v="1000"/>
    <n v="100"/>
    <n v="0.15"/>
    <n v="0.7"/>
    <n v="200"/>
    <n v="82.35294117647058"/>
    <s v="Немецкий холодец - Зельц. Как приготовить Зельц правильно. (youtube.com)"/>
    <s v="D:\Video\Колбаса_рецепты\Немецкий холодец - Зельц. Как приготовить Зельц правильно..mp4"/>
    <s v="Да"/>
    <m/>
  </r>
  <r>
    <x v="36"/>
    <x v="0"/>
    <x v="0"/>
    <s v="Вода"/>
    <s v="Добавки"/>
    <n v="0.8"/>
    <n v="800"/>
    <n v="0.8"/>
    <n v="1000"/>
    <n v="800"/>
    <n v="0.8"/>
    <n v="0"/>
    <n v="0.7"/>
    <n v="1.3599999999999999"/>
    <n v="0.55999999999999983"/>
    <s v="Немецкий холодец - Зельц. Как приготовить Зельц правильно. - YouTube"/>
    <s v="D:\Video\Колбаса_рецепты\Немецкий холодец - Зельц. Как приготовить Зельц правильно..mp4"/>
    <s v="Да"/>
    <m/>
  </r>
  <r>
    <x v="36"/>
    <x v="0"/>
    <x v="0"/>
    <s v="Соль нитритная"/>
    <s v="Специи"/>
    <n v="0.01"/>
    <n v="10"/>
    <n v="1.28"/>
    <n v="1000"/>
    <n v="10"/>
    <n v="1.28"/>
    <n v="0"/>
    <n v="0.7"/>
    <n v="2.1760000000000002"/>
    <n v="0.89600000000000013"/>
    <s v="Немецкий холодец - Зельц. Как приготовить Зельц правильно. - YouTube"/>
    <s v="D:\Video\Колбаса_рецепты\Немецкий холодец - Зельц. Как приготовить Зельц правильно..mp4"/>
    <s v="Да"/>
    <m/>
  </r>
  <r>
    <x v="36"/>
    <x v="0"/>
    <x v="0"/>
    <s v="Соль пищевая"/>
    <s v="Специи"/>
    <n v="5.0000000000000001E-3"/>
    <n v="5"/>
    <n v="0.1925"/>
    <n v="1000"/>
    <n v="5"/>
    <n v="0.1925"/>
    <n v="0"/>
    <n v="0.7"/>
    <n v="0.32724999999999999"/>
    <n v="0.13474999999999998"/>
    <s v="Немецкий холодец - Зельц. Как приготовить Зельц правильно. (youtube.com)"/>
    <s v="D:\Video\Колбаса_рецепты\Немецкий холодец - Зельц. Как приготовить Зельц правильно..mp4"/>
    <s v="Да"/>
    <m/>
  </r>
  <r>
    <x v="36"/>
    <x v="0"/>
    <x v="0"/>
    <s v="Чеснок сушеный"/>
    <s v="Специи"/>
    <n v="0.01"/>
    <n v="10"/>
    <n v="8.7833333333333332"/>
    <n v="1000"/>
    <n v="10"/>
    <n v="8.7833333333333332"/>
    <n v="0"/>
    <n v="0.7"/>
    <n v="14.931666666666665"/>
    <n v="6.1483333333333317"/>
    <s v="Немецкий холодец - Зельц. Как приготовить Зельц правильно. - YouTube"/>
    <s v="D:\Video\Колбаса_рецепты\Немецкий холодец - Зельц. Как приготовить Зельц правильно..mp4"/>
    <s v="Да"/>
    <m/>
  </r>
  <r>
    <x v="36"/>
    <x v="0"/>
    <x v="0"/>
    <s v="Перец черный молотый"/>
    <s v="Специи"/>
    <n v="4.0000000000000001E-3"/>
    <n v="4"/>
    <n v="4.378181818181818"/>
    <n v="1000"/>
    <n v="4"/>
    <n v="4.378181818181818"/>
    <n v="0"/>
    <n v="0.7"/>
    <n v="7.4429090909090903"/>
    <n v="3.0647272727272723"/>
    <s v="Немецкий холодец - Зельц. Как приготовить Зельц правильно. - YouTube"/>
    <s v="D:\Video\Колбаса_рецепты\Немецкий холодец - Зельц. Как приготовить Зельц правильно..mp4"/>
    <s v="Да"/>
    <m/>
  </r>
  <r>
    <x v="36"/>
    <x v="0"/>
    <x v="0"/>
    <s v="Кориандр"/>
    <s v="Специи"/>
    <n v="3.0000000000000001E-3"/>
    <n v="3"/>
    <n v="1.5066666666666668"/>
    <n v="1000"/>
    <n v="3"/>
    <n v="1.5066666666666668"/>
    <n v="0"/>
    <n v="0.7"/>
    <n v="2.5613333333333337"/>
    <n v="1.0546666666666669"/>
    <s v="Немецкий холодец - Зельц. Как приготовить Зельц правильно. (youtube.com)"/>
    <s v="D:\Video\Колбаса_рецепты\Немецкий холодец - Зельц. Как приготовить Зельц правильно..mp4"/>
    <s v="Да"/>
    <m/>
  </r>
  <r>
    <x v="36"/>
    <x v="0"/>
    <x v="0"/>
    <s v="Полиамидная 80"/>
    <s v="Оболочка"/>
    <n v="1E-3"/>
    <n v="1"/>
    <n v="9.7374533266692147"/>
    <n v="1000"/>
    <n v="1"/>
    <n v="9.7374533266692147"/>
    <n v="0"/>
    <n v="0.7"/>
    <n v="16.553670655337665"/>
    <n v="6.8162173286684506"/>
    <s v="Немецкий холодец - Зельц. Как приготовить Зельц правильно. - YouTube"/>
    <s v="D:\Video\Колбаса_рецепты\Немецкий холодец - Зельц. Как приготовить Зельц правильно..mp4"/>
    <s v="Да"/>
    <m/>
  </r>
  <r>
    <x v="37"/>
    <x v="1"/>
    <x v="0"/>
    <s v="Бедра куриные"/>
    <s v="Птица"/>
    <n v="1"/>
    <n v="1000"/>
    <n v="261.1764705882353"/>
    <n v="1000"/>
    <n v="1000"/>
    <n v="261.1764705882353"/>
    <n v="0.15"/>
    <n v="0.7"/>
    <n v="522.35294117647061"/>
    <n v="215.08650519031141"/>
    <s v="🍗 Сосиски Сливочные Куриные 🌭🔥🥣 Делаем Дома! Просто и Вкусно! 🤤✨ (youtube.com)"/>
    <s v="D:\Video\Колбаса_рецепты\🍗 Сосиски Сливочные Куриные 🌭🔥🥣 Делаем Дома! Просто и Вкусно! 🤤✨.mp4"/>
    <s v="Нет"/>
    <m/>
  </r>
  <r>
    <x v="37"/>
    <x v="1"/>
    <x v="0"/>
    <s v="Сливки"/>
    <s v="Добавки"/>
    <n v="0.15"/>
    <n v="150"/>
    <n v="75.900000000000006"/>
    <n v="1000"/>
    <n v="150"/>
    <n v="75.900000000000006"/>
    <n v="0"/>
    <n v="0.7"/>
    <n v="129.03"/>
    <n v="53.129999999999995"/>
    <s v="🍗 Сосиски Сливочные Куриные 🌭🔥🥣 Делаем Дома! Просто и Вкусно! 🤤✨ (youtube.com)"/>
    <s v="D:\Video\Колбаса_рецепты\🍗 Сосиски Сливочные Куриные 🌭🔥🥣 Делаем Дома! Просто и Вкусно! 🤤✨.mp4"/>
    <s v="Да"/>
    <m/>
  </r>
  <r>
    <x v="37"/>
    <x v="1"/>
    <x v="0"/>
    <s v="Соль нитритная"/>
    <s v="Специи"/>
    <n v="1.4999999999999999E-2"/>
    <n v="15"/>
    <n v="1.92"/>
    <n v="1000"/>
    <n v="15"/>
    <n v="1.92"/>
    <n v="0"/>
    <n v="0.7"/>
    <n v="3.2639999999999998"/>
    <n v="1.3439999999999999"/>
    <s v="🍗 Сосиски Сливочные Куриные 🌭🔥🥣 Делаем Дома! Просто и Вкусно! 🤤✨ (youtube.com)"/>
    <s v="D:\Video\Колбаса_рецепты\🍗 Сосиски Сливочные Куриные 🌭🔥🥣 Делаем Дома! Просто и Вкусно! 🤤✨.mp4"/>
    <s v="Да"/>
    <m/>
  </r>
  <r>
    <x v="37"/>
    <x v="1"/>
    <x v="0"/>
    <s v="Сахар"/>
    <s v="Специи"/>
    <n v="5.0000000000000001E-3"/>
    <n v="5"/>
    <n v="0.40441176470588236"/>
    <n v="1000"/>
    <n v="5"/>
    <n v="0.40441176470588236"/>
    <n v="0"/>
    <n v="0.7"/>
    <n v="0.6875"/>
    <n v="0.28308823529411764"/>
    <s v="🍗 Сосиски Сливочные Куриные 🌭🔥🥣 Делаем Дома! Просто и Вкусно! 🤤✨ (youtube.com)"/>
    <s v="D:\Video\Колбаса_рецепты\🍗 Сосиски Сливочные Куриные 🌭🔥🥣 Делаем Дома! Просто и Вкусно! 🤤✨.mp4"/>
    <s v="Да"/>
    <m/>
  </r>
  <r>
    <x v="37"/>
    <x v="1"/>
    <x v="0"/>
    <s v="Перец черный молотый"/>
    <s v="Специи"/>
    <n v="1E-3"/>
    <n v="1"/>
    <n v="1.0945454545454545"/>
    <n v="1000"/>
    <n v="1"/>
    <n v="1.0945454545454545"/>
    <n v="0"/>
    <n v="0.7"/>
    <n v="1.8607272727272726"/>
    <n v="0.76618181818181808"/>
    <s v="🍗 Сосиски Сливочные Куриные 🌭🔥🥣 Делаем Дома! Просто и Вкусно! 🤤✨ (youtube.com)"/>
    <s v="D:\Video\Колбаса_рецепты\🍗 Сосиски Сливочные Куриные 🌭🔥🥣 Делаем Дома! Просто и Вкусно! 🤤✨.mp4"/>
    <s v="Да"/>
    <m/>
  </r>
  <r>
    <x v="37"/>
    <x v="1"/>
    <x v="0"/>
    <s v="Мускатный орех"/>
    <s v="Специи"/>
    <n v="1E-3"/>
    <n v="1"/>
    <n v="2.0772727272727272"/>
    <n v="1000"/>
    <n v="1"/>
    <n v="2.0772727272727272"/>
    <n v="0"/>
    <n v="0.7"/>
    <n v="3.5313636363636363"/>
    <n v="1.4540909090909091"/>
    <s v="🍗 Сосиски Сливочные Куриные 🌭🔥🥣 Делаем Дома! Просто и Вкусно! 🤤✨ (youtube.com)"/>
    <s v="D:\Video\Колбаса_рецепты\🍗 Сосиски Сливочные Куриные 🌭🔥🥣 Делаем Дома! Просто и Вкусно! 🤤✨.mp4"/>
    <s v="Да"/>
    <m/>
  </r>
  <r>
    <x v="37"/>
    <x v="1"/>
    <x v="0"/>
    <s v="Кардамон"/>
    <s v="Специи"/>
    <n v="5.0000000000000001E-4"/>
    <n v="0.5"/>
    <n v="0.75666666666666671"/>
    <n v="1000"/>
    <n v="0.5"/>
    <n v="0.75666666666666671"/>
    <n v="0"/>
    <n v="0.7"/>
    <n v="1.2863333333333333"/>
    <n v="0.52966666666666662"/>
    <s v="🍗 Сосиски Сливочные Куриные 🌭🔥🥣 Делаем Дома! Просто и Вкусно! 🤤✨ (youtube.com)"/>
    <s v="D:\Video\Колбаса_рецепты\🍗 Сосиски Сливочные Куриные 🌭🔥🥣 Делаем Дома! Просто и Вкусно! 🤤✨.mp4"/>
    <s v="Да"/>
    <m/>
  </r>
  <r>
    <x v="37"/>
    <x v="1"/>
    <x v="0"/>
    <s v="Фосфат"/>
    <s v="Специи"/>
    <n v="2E-3"/>
    <n v="2"/>
    <n v="1.496"/>
    <n v="1000"/>
    <n v="2"/>
    <n v="1.496"/>
    <n v="0"/>
    <n v="0.7"/>
    <n v="2.5431999999999997"/>
    <n v="1.0471999999999997"/>
    <s v="🍗 Сосиски Сливочные Куриные 🌭🔥🥣 Делаем Дома! Просто и Вкусно! 🤤✨ (youtube.com)"/>
    <s v="D:\Video\Колбаса_рецепты\🍗 Сосиски Сливочные Куриные 🌭🔥🥣 Делаем Дома! Просто и Вкусно! 🤤✨.mp4"/>
    <s v="Да"/>
    <m/>
  </r>
  <r>
    <x v="37"/>
    <x v="1"/>
    <x v="0"/>
    <s v="Свиная черева 32/34"/>
    <s v="Оболочка"/>
    <n v="1E-3"/>
    <n v="1"/>
    <n v="39.348206474190725"/>
    <n v="1000"/>
    <n v="1"/>
    <n v="39.348206474190725"/>
    <n v="0"/>
    <n v="0.7"/>
    <n v="66.891951006124231"/>
    <n v="27.543744531933505"/>
    <s v="🍗 Сосиски Сливочные Куриные 🌭🔥🥣 Делаем Дома! Просто и Вкусно! 🤤✨ (youtube.com)"/>
    <s v="D:\Video\Колбаса_рецепты\🍗 Сосиски Сливочные Куриные 🌭🔥🥣 Делаем Дома! Просто и Вкусно! 🤤✨.mp4"/>
    <s v="Нет"/>
    <m/>
  </r>
  <r>
    <x v="38"/>
    <x v="2"/>
    <x v="0"/>
    <s v="Шея свиная"/>
    <s v="Свинина"/>
    <n v="1"/>
    <n v="1000"/>
    <n v="580"/>
    <n v="1000"/>
    <n v="1000"/>
    <n v="580"/>
    <n v="0.15"/>
    <n v="0.7"/>
    <n v="1160"/>
    <n v="477.64705882352939"/>
    <s v="как сделать ШАШЛЫК максимально СОЧНЫМ наглядный эксперимент (youtube.com)"/>
    <s v="D:\Video\Колбаса_рецепты\как сделать ШАШЛЫК максимально СОЧНЫМ наглядный эксперимент.mkv"/>
    <s v="Нет"/>
    <m/>
  </r>
  <r>
    <x v="38"/>
    <x v="2"/>
    <x v="0"/>
    <s v="Вода"/>
    <s v="Добавки"/>
    <n v="0.15"/>
    <n v="150"/>
    <n v="0.15"/>
    <n v="1000"/>
    <n v="150"/>
    <n v="0.15"/>
    <n v="0"/>
    <n v="0.7"/>
    <n v="0.255"/>
    <n v="0.10500000000000001"/>
    <s v="как сделать ШАШЛЫК максимально СОЧНЫМ наглядный эксперимент (youtube.com)"/>
    <s v="D:\Video\Колбаса_рецепты\как сделать ШАШЛЫК максимально СОЧНЫМ наглядный эксперимент.mkv"/>
    <s v="Да"/>
    <m/>
  </r>
  <r>
    <x v="38"/>
    <x v="2"/>
    <x v="0"/>
    <s v="Подсолнечное масло"/>
    <s v="Добавки"/>
    <n v="0.02"/>
    <n v="20"/>
    <n v="3.3000000000000003"/>
    <n v="1000"/>
    <n v="20"/>
    <n v="3.3000000000000003"/>
    <n v="0"/>
    <n v="0.7"/>
    <n v="5.61"/>
    <n v="2.31"/>
    <s v="как сделать ШАШЛЫК максимально СОЧНЫМ наглядный эксперимент (youtube.com)"/>
    <s v="D:\Video\Колбаса_рецепты\как сделать ШАШЛЫК максимально СОЧНЫМ наглядный эксперимент.mkv"/>
    <s v="Да"/>
    <m/>
  </r>
  <r>
    <x v="38"/>
    <x v="2"/>
    <x v="0"/>
    <s v="Лук репчатый"/>
    <s v="Специи"/>
    <n v="0.2"/>
    <n v="200"/>
    <n v="9.9979999999999993"/>
    <n v="1000"/>
    <n v="200"/>
    <n v="9.9979999999999993"/>
    <n v="0"/>
    <n v="0.7"/>
    <n v="16.996599999999997"/>
    <n v="6.9985999999999979"/>
    <s v="как сделать ШАШЛЫК максимально СОЧНЫМ наглядный эксперимент (youtube.com)"/>
    <s v="D:\Video\Колбаса_рецепты\как сделать ШАШЛЫК максимально СОЧНЫМ наглядный эксперимент.mkv"/>
    <s v="Да"/>
    <m/>
  </r>
  <r>
    <x v="38"/>
    <x v="2"/>
    <x v="0"/>
    <s v="Соль пищевая"/>
    <s v="Специи"/>
    <n v="8.0000000000000002E-3"/>
    <n v="8"/>
    <n v="0.308"/>
    <n v="1000"/>
    <n v="8"/>
    <n v="0.308"/>
    <n v="0"/>
    <n v="0.7"/>
    <n v="0.52359999999999995"/>
    <n v="0.21559999999999996"/>
    <s v="как сделать ШАШЛЫК максимально СОЧНЫМ наглядный эксперимент (youtube.com)"/>
    <s v="D:\Video\Колбаса_рецепты\как сделать ШАШЛЫК максимально СОЧНЫМ наглядный эксперимент.mkv"/>
    <s v="Да"/>
    <m/>
  </r>
  <r>
    <x v="38"/>
    <x v="2"/>
    <x v="0"/>
    <s v="Перец черный молотый"/>
    <s v="Специи"/>
    <n v="2E-3"/>
    <n v="2"/>
    <n v="2.189090909090909"/>
    <n v="1000"/>
    <n v="2"/>
    <n v="2.189090909090909"/>
    <n v="0"/>
    <n v="0.7"/>
    <n v="3.7214545454545451"/>
    <n v="1.5323636363636362"/>
    <s v="как сделать ШАШЛЫК максимально СОЧНЫМ наглядный эксперимент (youtube.com)"/>
    <s v="D:\Video\Колбаса_рецепты\как сделать ШАШЛЫК максимально СОЧНЫМ наглядный эксперимент.mkv"/>
    <s v="Да"/>
    <m/>
  </r>
  <r>
    <x v="38"/>
    <x v="2"/>
    <x v="0"/>
    <s v="Кориандр"/>
    <s v="Специи"/>
    <n v="2E-3"/>
    <n v="2"/>
    <n v="1.0044444444444445"/>
    <n v="1000"/>
    <n v="2"/>
    <n v="1.0044444444444445"/>
    <n v="0"/>
    <n v="0.7"/>
    <n v="1.7075555555555555"/>
    <n v="0.70311111111111102"/>
    <s v="как сделать ШАШЛЫК максимально СОЧНЫМ наглядный эксперимент (youtube.com)"/>
    <s v="D:\Video\Колбаса_рецепты\как сделать ШАШЛЫК максимально СОЧНЫМ наглядный эксперимент.mkv"/>
    <s v="Да"/>
    <m/>
  </r>
  <r>
    <x v="38"/>
    <x v="2"/>
    <x v="0"/>
    <s v="Горчица семена"/>
    <s v="Специи"/>
    <n v="3.0000000000000001E-3"/>
    <n v="3"/>
    <n v="1.407"/>
    <n v="1000"/>
    <n v="3"/>
    <n v="1.407"/>
    <n v="0"/>
    <n v="0.7"/>
    <n v="2.3919000000000001"/>
    <n v="0.98490000000000011"/>
    <s v="как сделать ШАШЛЫК максимально СОЧНЫМ наглядный эксперимент (youtube.com)"/>
    <s v="D:\Video\Колбаса_рецепты\как сделать ШАШЛЫК максимально СОЧНЫМ наглядный эксперимент.mkv"/>
    <s v="Нет"/>
    <m/>
  </r>
  <r>
    <x v="38"/>
    <x v="2"/>
    <x v="0"/>
    <s v="Перец чили молотый"/>
    <s v="Специи"/>
    <n v="2.0000000000000001E-4"/>
    <n v="0.2"/>
    <n v="0.15527272727272728"/>
    <n v="1000"/>
    <n v="0.2"/>
    <n v="0.15527272727272728"/>
    <n v="0"/>
    <n v="0.7"/>
    <n v="0.2639636363636364"/>
    <n v="0.10869090909090912"/>
    <s v="как сделать ШАШЛЫК максимально СОЧНЫМ наглядный эксперимент (youtube.com)"/>
    <s v="D:\Video\Колбаса_рецепты\как сделать ШАШЛЫК максимально СОЧНЫМ наглядный эксперимент.mkv"/>
    <s v="Нет"/>
    <m/>
  </r>
  <r>
    <x v="38"/>
    <x v="2"/>
    <x v="0"/>
    <s v="Имбирь молотый"/>
    <s v="Специи"/>
    <n v="5.0000000000000001E-4"/>
    <n v="0.5"/>
    <n v="0.29099999999999998"/>
    <n v="1000"/>
    <n v="0.5"/>
    <n v="0.29099999999999998"/>
    <n v="0"/>
    <n v="0.7"/>
    <n v="0.49469999999999992"/>
    <n v="0.20369999999999994"/>
    <s v="как сделать ШАШЛЫК максимально СОЧНЫМ наглядный эксперимент (youtube.com)"/>
    <s v="D:\Video\Колбаса_рецепты\как сделать ШАШЛЫК максимально СОЧНЫМ наглядный эксперимент.mkv"/>
    <s v="Нет"/>
    <m/>
  </r>
  <r>
    <x v="39"/>
    <x v="5"/>
    <x v="7"/>
    <s v="Окорок свиной"/>
    <s v="Свинина"/>
    <n v="0.5"/>
    <n v="500"/>
    <n v="184.5"/>
    <n v="1000"/>
    <n v="500"/>
    <n v="184.5"/>
    <n v="0.05"/>
    <n v="0.5"/>
    <n v="291.31578947368422"/>
    <n v="97.10526315789474"/>
    <s v="Пельмени домашние классические рецепт фото пошагово и видео - 1000.menu"/>
    <m/>
    <s v="Да"/>
    <m/>
  </r>
  <r>
    <x v="39"/>
    <x v="5"/>
    <x v="7"/>
    <s v="Говядина"/>
    <s v="Говядина"/>
    <n v="0.5"/>
    <n v="500"/>
    <n v="354.995"/>
    <n v="1000"/>
    <n v="500"/>
    <n v="354.995"/>
    <n v="0.05"/>
    <n v="0.5"/>
    <n v="560.51842105263154"/>
    <n v="186.83947368421047"/>
    <s v="Пельмени домашние классические рецепт фото пошагово и видео - 1000.menu"/>
    <m/>
    <s v="Да"/>
    <m/>
  </r>
  <r>
    <x v="39"/>
    <x v="5"/>
    <x v="7"/>
    <s v="Лук репчатый"/>
    <s v="Специи"/>
    <n v="0.5"/>
    <n v="500"/>
    <n v="24.995000000000001"/>
    <n v="1000"/>
    <n v="500"/>
    <n v="24.995000000000001"/>
    <n v="0"/>
    <n v="0.5"/>
    <n v="37.4925"/>
    <n v="12.497499999999999"/>
    <s v="Пельмени домашние классические рецепт фото пошагово и видео - 1000.menu"/>
    <m/>
    <s v="Да"/>
    <m/>
  </r>
  <r>
    <x v="39"/>
    <x v="5"/>
    <x v="7"/>
    <s v="Соль пищевая"/>
    <s v="Специи"/>
    <n v="0.01"/>
    <n v="10"/>
    <n v="0.38500000000000001"/>
    <n v="1000"/>
    <n v="10"/>
    <n v="0.38500000000000001"/>
    <n v="0"/>
    <n v="0.5"/>
    <n v="0.57750000000000001"/>
    <n v="0.1925"/>
    <s v="Пельмени домашние классические рецепт фото пошагово и видео - 1000.menu"/>
    <m/>
    <s v="Да"/>
    <m/>
  </r>
  <r>
    <x v="39"/>
    <x v="5"/>
    <x v="7"/>
    <s v="Перец черный молотый"/>
    <s v="Специи"/>
    <n v="8.0000000000000002E-3"/>
    <n v="8"/>
    <n v="8.7563636363636359"/>
    <n v="1000"/>
    <n v="8"/>
    <n v="8.7563636363636359"/>
    <n v="0"/>
    <n v="0.5"/>
    <n v="13.134545454545453"/>
    <n v="4.3781818181818171"/>
    <s v="Пельмени домашние классические рецепт фото пошагово и видео - 1000.menu"/>
    <m/>
    <s v="Да"/>
    <m/>
  </r>
  <r>
    <x v="39"/>
    <x v="5"/>
    <x v="7"/>
    <s v="Мука пшеничная"/>
    <s v="Добавки"/>
    <n v="0.5"/>
    <n v="500"/>
    <n v="24.2"/>
    <n v="1000"/>
    <n v="500"/>
    <n v="24.2"/>
    <n v="0"/>
    <n v="0.5"/>
    <n v="36.299999999999997"/>
    <n v="12.099999999999998"/>
    <s v="Пельмени домашние классические рецепт фото пошагово и видео - 1000.menu"/>
    <m/>
    <s v="Да"/>
    <m/>
  </r>
  <r>
    <x v="39"/>
    <x v="5"/>
    <x v="7"/>
    <s v="Вода"/>
    <s v="Добавки"/>
    <n v="0.25"/>
    <n v="250"/>
    <n v="0.25"/>
    <n v="1000"/>
    <n v="250"/>
    <n v="0.25"/>
    <n v="0"/>
    <n v="0.5"/>
    <n v="0.375"/>
    <n v="0.125"/>
    <s v="Пельмени домашние классические рецепт фото пошагово и видео - 1000.menu"/>
    <m/>
    <s v="Да"/>
    <m/>
  </r>
  <r>
    <x v="39"/>
    <x v="5"/>
    <x v="7"/>
    <s v="Яйцо"/>
    <s v="Добавки"/>
    <n v="0.06"/>
    <n v="60"/>
    <n v="6.6666666666666661"/>
    <n v="1000"/>
    <n v="60"/>
    <n v="6.6666666666666661"/>
    <n v="0"/>
    <n v="0.5"/>
    <n v="10"/>
    <n v="3.3333333333333339"/>
    <s v="Пельмени домашние классические рецепт фото пошагово и видео - 1000.menu"/>
    <m/>
    <s v="Да"/>
    <m/>
  </r>
  <r>
    <x v="39"/>
    <x v="5"/>
    <x v="7"/>
    <s v="Подсолнечное масло"/>
    <s v="Добавки"/>
    <n v="1.4999999999999999E-2"/>
    <n v="15"/>
    <n v="2.4750000000000001"/>
    <n v="1000"/>
    <n v="15"/>
    <n v="2.4750000000000001"/>
    <n v="0"/>
    <n v="0.5"/>
    <n v="3.7125000000000004"/>
    <n v="1.2375000000000003"/>
    <s v="Пельмени домашние классические рецепт фото пошагово и видео - 1000.menu"/>
    <m/>
    <s v="Да"/>
    <m/>
  </r>
  <r>
    <x v="40"/>
    <x v="3"/>
    <x v="4"/>
    <s v="Белый амур"/>
    <s v="Рыба"/>
    <n v="1"/>
    <n v="1000"/>
    <n v="666.66666666666674"/>
    <n v="1000"/>
    <n v="1000"/>
    <n v="666.66666666666674"/>
    <n v="0.35"/>
    <n v="2"/>
    <n v="3076.9230769230771"/>
    <n v="2051.2820512820517"/>
    <s v="https://www.youtube.com/watch?v=RcLAgLhXOwU"/>
    <s v="D:\Video\Колбаса_рецепты\БЕЛЫЙ АМУР ,свежий , холодного копчения в коптилтне москит.mkv"/>
    <s v="Да"/>
    <m/>
  </r>
  <r>
    <x v="40"/>
    <x v="3"/>
    <x v="4"/>
    <s v="Соль пищевая"/>
    <s v="Специи"/>
    <n v="0.2"/>
    <n v="200"/>
    <n v="7.7"/>
    <n v="1000"/>
    <n v="200"/>
    <n v="7.7"/>
    <n v="0"/>
    <n v="2"/>
    <n v="23.1"/>
    <n v="15.400000000000002"/>
    <s v="https://www.youtube.com/watch?v=RcLAgLhXOwU"/>
    <s v="D:\Video\Колбаса_рецепты\БЕЛЫЙ АМУР ,свежий , холодного копчения в коптилтне москит.mkv"/>
    <s v="Да"/>
    <m/>
  </r>
  <r>
    <x v="40"/>
    <x v="3"/>
    <x v="4"/>
    <s v="Сахар"/>
    <s v="Специи"/>
    <n v="0.02"/>
    <n v="20"/>
    <n v="1.6176470588235294"/>
    <n v="1000"/>
    <n v="20"/>
    <n v="1.6176470588235294"/>
    <n v="0"/>
    <n v="2"/>
    <n v="4.8529411764705888"/>
    <n v="3.2352941176470593"/>
    <s v="https://www.youtube.com/watch?v=RcLAgLhXOwU"/>
    <s v="D:\Video\Колбаса_рецепты\БЕЛЫЙ АМУР ,свежий , холодного копчения в коптилтне москит.mkv"/>
    <s v="Да"/>
    <m/>
  </r>
  <r>
    <x v="41"/>
    <x v="3"/>
    <x v="8"/>
    <s v="Сельдь"/>
    <s v="Рыба"/>
    <n v="1"/>
    <n v="1000"/>
    <n v="342.85714285714283"/>
    <n v="1000"/>
    <n v="1000"/>
    <n v="342.85714285714283"/>
    <n v="0.1"/>
    <n v="0.9"/>
    <n v="723.80952380952374"/>
    <n v="342.85714285714283"/>
    <s v="https://www.youtube.com/watch?v=21IM6up08eo"/>
    <s v="D:\Video\Колбаса_рецепты\СЕЛЬДЬ ПРОВЕСНАЯ(скумбрия).mkv"/>
    <s v="Нет"/>
    <m/>
  </r>
  <r>
    <x v="41"/>
    <x v="3"/>
    <x v="8"/>
    <s v="Соль пищевая"/>
    <s v="Специи"/>
    <n v="5.5E-2"/>
    <n v="55"/>
    <n v="2.1175000000000002"/>
    <n v="1000"/>
    <n v="55"/>
    <n v="2.1175000000000002"/>
    <n v="0"/>
    <n v="0.9"/>
    <n v="4.0232500000000009"/>
    <n v="1.9057500000000007"/>
    <s v="https://www.youtube.com/watch?v=21IM6up08eo"/>
    <s v="D:\Video\Колбаса_рецепты\СЕЛЬДЬ ПРОВЕСНАЯ(скумбрия).mkv"/>
    <s v="Да"/>
    <m/>
  </r>
  <r>
    <x v="41"/>
    <x v="3"/>
    <x v="8"/>
    <s v="Вода"/>
    <s v="Добавки"/>
    <n v="1"/>
    <n v="1000"/>
    <n v="1"/>
    <n v="1000"/>
    <n v="1000"/>
    <n v="1"/>
    <n v="0"/>
    <n v="0.9"/>
    <n v="1.9"/>
    <n v="0.89999999999999991"/>
    <s v="https://www.youtube.com/watch?v=21IM6up08eo"/>
    <s v="D:\Video\Колбаса_рецепты\СЕЛЬДЬ ПРОВЕСНАЯ(скумбрия).mkv"/>
    <s v="Да"/>
    <m/>
  </r>
  <r>
    <x v="41"/>
    <x v="3"/>
    <x v="8"/>
    <s v="Соль рассол"/>
    <s v="Специи"/>
    <n v="0.2"/>
    <n v="200"/>
    <n v="7.7"/>
    <n v="1000"/>
    <n v="200"/>
    <n v="7.7"/>
    <n v="0"/>
    <n v="0.9"/>
    <n v="14.63"/>
    <n v="6.9300000000000006"/>
    <s v="https://www.youtube.com/watch?v=21IM6up08eo"/>
    <s v="D:\Video\Колбаса_рецепты\СЕЛЬДЬ ПРОВЕСНАЯ(скумбрия).mkv"/>
    <s v="Да"/>
    <m/>
  </r>
  <r>
    <x v="41"/>
    <x v="3"/>
    <x v="8"/>
    <s v="Сахар"/>
    <s v="Специи"/>
    <n v="0.01"/>
    <n v="10"/>
    <n v="0.80882352941176472"/>
    <n v="1000"/>
    <n v="10"/>
    <n v="0.80882352941176472"/>
    <n v="0"/>
    <n v="0.9"/>
    <n v="1.536764705882353"/>
    <n v="0.72794117647058831"/>
    <s v="https://www.youtube.com/watch?v=21IM6up08eo"/>
    <s v="D:\Video\Колбаса_рецепты\СЕЛЬДЬ ПРОВЕСНАЯ(скумбрия).mkv"/>
    <s v="Да"/>
    <m/>
  </r>
  <r>
    <x v="41"/>
    <x v="3"/>
    <x v="8"/>
    <s v="Перец черный молотый"/>
    <s v="Специи"/>
    <n v="1E-3"/>
    <n v="1"/>
    <n v="1.0945454545454545"/>
    <n v="1000"/>
    <n v="1"/>
    <n v="1.0945454545454545"/>
    <n v="0"/>
    <n v="0.9"/>
    <n v="2.0796363636363635"/>
    <n v="0.98509090909090902"/>
    <s v="https://www.youtube.com/watch?v=21IM6up08eo"/>
    <s v="D:\Video\Колбаса_рецепты\СЕЛЬДЬ ПРОВЕСНАЯ(скумбрия).mkv"/>
    <s v="Да"/>
    <m/>
  </r>
  <r>
    <x v="41"/>
    <x v="3"/>
    <x v="8"/>
    <s v="Перец душистый горошек"/>
    <s v="Специи"/>
    <n v="1E-3"/>
    <n v="1"/>
    <n v="1.996"/>
    <n v="1000"/>
    <n v="1"/>
    <n v="1.996"/>
    <n v="0"/>
    <n v="0.9"/>
    <n v="3.7923999999999998"/>
    <n v="1.7963999999999998"/>
    <s v="https://www.youtube.com/watch?v=21IM6up08eo"/>
    <s v="D:\Video\Колбаса_рецепты\СЕЛЬДЬ ПРОВЕСНАЯ(скумбрия).mkv"/>
    <s v="Да"/>
    <m/>
  </r>
  <r>
    <x v="41"/>
    <x v="3"/>
    <x v="8"/>
    <s v="Гвоздика"/>
    <s v="Специи"/>
    <n v="5.0000000000000001E-4"/>
    <n v="0.5"/>
    <n v="1.3966666666666667"/>
    <n v="1000"/>
    <n v="0.5"/>
    <n v="1.3966666666666667"/>
    <n v="0"/>
    <n v="0.9"/>
    <n v="2.6536666666666671"/>
    <n v="1.2570000000000003"/>
    <s v="https://www.youtube.com/watch?v=21IM6up08eo"/>
    <s v="D:\Video\Колбаса_рецепты\СЕЛЬДЬ ПРОВЕСНАЯ(скумбрия).mkv"/>
    <s v="Да"/>
    <m/>
  </r>
  <r>
    <x v="41"/>
    <x v="3"/>
    <x v="8"/>
    <s v="Мята сухая"/>
    <s v="Специи"/>
    <n v="1E-4"/>
    <n v="0.1"/>
    <n v="6.93E-2"/>
    <n v="1000"/>
    <n v="0.1"/>
    <n v="6.93E-2"/>
    <n v="0"/>
    <n v="0.9"/>
    <n v="0.13167000000000001"/>
    <n v="6.2370000000000009E-2"/>
    <s v="https://www.youtube.com/watch?v=21IM6up08eo"/>
    <s v="D:\Video\Колбаса_рецепты\СЕЛЬДЬ ПРОВЕСНАЯ(скумбрия).mkv"/>
    <s v="Да"/>
    <m/>
  </r>
  <r>
    <x v="41"/>
    <x v="3"/>
    <x v="8"/>
    <s v="Анис"/>
    <s v="Специи"/>
    <n v="1E-4"/>
    <n v="0.1"/>
    <n v="0.16450000000000001"/>
    <n v="1000"/>
    <n v="0.1"/>
    <n v="0.16450000000000001"/>
    <n v="0"/>
    <n v="0.9"/>
    <n v="0.31254999999999999"/>
    <n v="0.14804999999999999"/>
    <s v="https://www.youtube.com/watch?v=21IM6up08eo"/>
    <s v="D:\Video\Колбаса_рецепты\СЕЛЬДЬ ПРОВЕСНАЯ(скумбрия).mkv"/>
    <s v="Нет"/>
    <m/>
  </r>
  <r>
    <x v="41"/>
    <x v="3"/>
    <x v="8"/>
    <s v="Лавровый лист"/>
    <s v="Специи"/>
    <n v="1E-4"/>
    <n v="0.1"/>
    <n v="0.46799999999999997"/>
    <n v="1000"/>
    <n v="0.1"/>
    <n v="0.46799999999999997"/>
    <n v="0"/>
    <n v="0.9"/>
    <n v="0.88919999999999999"/>
    <n v="0.42120000000000002"/>
    <s v="https://www.youtube.com/watch?v=21IM6up08eo"/>
    <s v="D:\Video\Колбаса_рецепты\СЕЛЬДЬ ПРОВЕСНАЯ(скумбрия).mkv"/>
    <s v="Да"/>
    <m/>
  </r>
  <r>
    <x v="41"/>
    <x v="3"/>
    <x v="8"/>
    <s v="Корица молотая"/>
    <s v="Специи"/>
    <n v="2.0000000000000001E-4"/>
    <n v="0.2"/>
    <n v="0.15733333333333333"/>
    <n v="1000"/>
    <n v="0.2"/>
    <n v="0.15733333333333333"/>
    <n v="0"/>
    <n v="0.9"/>
    <n v="0.29893333333333333"/>
    <n v="0.1416"/>
    <s v="https://www.youtube.com/watch?v=21IM6up08eo"/>
    <s v="D:\Video\Колбаса_рецепты\СЕЛЬДЬ ПРОВЕСНАЯ(скумбрия).mkv"/>
    <s v="Да"/>
    <m/>
  </r>
  <r>
    <x v="42"/>
    <x v="3"/>
    <x v="4"/>
    <s v="Сельдь"/>
    <s v="Рыба"/>
    <n v="1"/>
    <n v="1000"/>
    <n v="342.85714285714283"/>
    <n v="1000"/>
    <n v="1000"/>
    <n v="342.85714285714283"/>
    <n v="0.35"/>
    <n v="2"/>
    <n v="1582.4175824175823"/>
    <n v="1054.9450549450548"/>
    <s v="https://www.youtube.com/watch?v=i3ucJSd3mXw"/>
    <s v="D:\Video\Колбаса_рецепты\СЕЛЬДЬ ВЯЛЕНАЯ.mkv"/>
    <s v="Нет"/>
    <m/>
  </r>
  <r>
    <x v="42"/>
    <x v="3"/>
    <x v="4"/>
    <s v="Вода"/>
    <s v="Добавки"/>
    <n v="0.15"/>
    <n v="150"/>
    <n v="0.15"/>
    <n v="1000"/>
    <n v="150"/>
    <n v="0.15"/>
    <n v="0"/>
    <n v="2"/>
    <n v="0.44999999999999996"/>
    <n v="0.29999999999999993"/>
    <s v="https://www.youtube.com/watch?v=i3ucJSd3mXw"/>
    <s v="D:\Video\Колбаса_рецепты\СЕЛЬДЬ ВЯЛЕНАЯ.mkv"/>
    <s v="Да"/>
    <m/>
  </r>
  <r>
    <x v="42"/>
    <x v="3"/>
    <x v="4"/>
    <s v="Соль пищевая"/>
    <s v="Специи"/>
    <n v="0.05"/>
    <n v="50"/>
    <n v="1.925"/>
    <n v="1000"/>
    <n v="50"/>
    <n v="1.925"/>
    <n v="0"/>
    <n v="2"/>
    <n v="5.7750000000000004"/>
    <n v="3.8500000000000005"/>
    <s v="https://www.youtube.com/watch?v=i3ucJSd3mXw"/>
    <s v="D:\Video\Колбаса_рецепты\СЕЛЬДЬ ВЯЛЕНАЯ.mkv"/>
    <s v="Да"/>
    <m/>
  </r>
  <r>
    <x v="42"/>
    <x v="3"/>
    <x v="4"/>
    <s v="Крахмал картофельный"/>
    <s v="Добавки"/>
    <n v="0.02"/>
    <n v="20"/>
    <n v="4.3"/>
    <n v="1000"/>
    <n v="20"/>
    <n v="4.3"/>
    <n v="0"/>
    <n v="2"/>
    <n v="12.899999999999999"/>
    <n v="8.5999999999999979"/>
    <s v="https://www.youtube.com/watch?v=i3ucJSd3mXw"/>
    <s v="D:\Video\Колбаса_рецепты\СЕЛЬДЬ ВЯЛЕНАЯ.mkv"/>
    <s v="Нет"/>
    <m/>
  </r>
  <r>
    <x v="42"/>
    <x v="3"/>
    <x v="4"/>
    <s v="Сахар"/>
    <s v="Специи"/>
    <n v="2.5000000000000001E-2"/>
    <n v="25"/>
    <n v="2.0220588235294117"/>
    <n v="1000"/>
    <n v="25"/>
    <n v="2.0220588235294117"/>
    <n v="0"/>
    <n v="2"/>
    <n v="6.0661764705882355"/>
    <n v="4.0441176470588243"/>
    <s v="https://www.youtube.com/watch?v=i3ucJSd3mXw"/>
    <s v="D:\Video\Колбаса_рецепты\СЕЛЬДЬ ВЯЛЕНАЯ.mkv"/>
    <s v="Да"/>
    <m/>
  </r>
  <r>
    <x v="42"/>
    <x v="3"/>
    <x v="4"/>
    <s v="Чеснок сушеный"/>
    <s v="Специи"/>
    <n v="1.4999999999999999E-2"/>
    <n v="15"/>
    <n v="13.174999999999999"/>
    <n v="1000"/>
    <n v="15"/>
    <n v="13.174999999999999"/>
    <n v="0"/>
    <n v="2"/>
    <n v="39.524999999999999"/>
    <n v="26.35"/>
    <s v="https://www.youtube.com/watch?v=i3ucJSd3mXw"/>
    <s v="D:\Video\Колбаса_рецепты\СЕЛЬДЬ ВЯЛЕНАЯ.mkv"/>
    <s v="Да"/>
    <m/>
  </r>
  <r>
    <x v="42"/>
    <x v="3"/>
    <x v="4"/>
    <s v="Паприка копченая молотая"/>
    <s v="Специи"/>
    <n v="0.01"/>
    <n v="10"/>
    <n v="8.9600000000000009"/>
    <n v="1000"/>
    <n v="10"/>
    <n v="8.9600000000000009"/>
    <n v="0"/>
    <n v="2"/>
    <n v="26.880000000000003"/>
    <n v="17.920000000000002"/>
    <s v="https://www.youtube.com/watch?v=i3ucJSd3mXw"/>
    <s v="D:\Video\Колбаса_рецепты\СЕЛЬДЬ ВЯЛЕНАЯ.mkv"/>
    <s v="Да"/>
    <m/>
  </r>
  <r>
    <x v="43"/>
    <x v="3"/>
    <x v="8"/>
    <s v="Скумбрия"/>
    <s v="Рыба"/>
    <n v="1"/>
    <n v="1000"/>
    <n v="425"/>
    <n v="1000"/>
    <n v="1000"/>
    <n v="425"/>
    <n v="0.1"/>
    <n v="0.9"/>
    <n v="897.22222222222217"/>
    <n v="424.99999999999994"/>
    <s v="https://www.youtube.com/watch?v=zrSgFE-1bv8"/>
    <s v="D:\Video\Колбаса_рецепты\СКУМБРИЯ провесная.mkv"/>
    <s v="Нет"/>
    <m/>
  </r>
  <r>
    <x v="43"/>
    <x v="3"/>
    <x v="8"/>
    <s v="Соль пищевая"/>
    <s v="Специи"/>
    <n v="0.17"/>
    <n v="170"/>
    <n v="6.5449999999999999"/>
    <n v="1000"/>
    <n v="170"/>
    <n v="6.5449999999999999"/>
    <n v="0"/>
    <n v="0.9"/>
    <n v="12.435500000000001"/>
    <n v="5.8905000000000012"/>
    <s v="https://www.youtube.com/watch?v=zrSgFE-1bv8"/>
    <s v="D:\Video\Колбаса_рецепты\СКУМБРИЯ провесная.mkv"/>
    <s v="Да"/>
    <m/>
  </r>
  <r>
    <x v="43"/>
    <x v="3"/>
    <x v="8"/>
    <s v="Мускатный орех"/>
    <s v="Специи"/>
    <n v="5.0000000000000001E-4"/>
    <n v="0.5"/>
    <n v="1.0386363636363636"/>
    <n v="1000"/>
    <n v="0.5"/>
    <n v="1.0386363636363636"/>
    <n v="0"/>
    <n v="0.9"/>
    <n v="1.9734090909090907"/>
    <n v="0.93477272727272709"/>
    <s v="https://www.youtube.com/watch?v=zrSgFE-1bv8"/>
    <s v="D:\Video\Колбаса_рецепты\СКУМБРИЯ провесная.mkv"/>
    <s v="Да"/>
    <m/>
  </r>
  <r>
    <x v="43"/>
    <x v="3"/>
    <x v="8"/>
    <s v="Перец белый молотый"/>
    <s v="Специи"/>
    <n v="5.0000000000000001E-4"/>
    <n v="0.5"/>
    <n v="0.79"/>
    <n v="1000"/>
    <n v="0.5"/>
    <n v="0.79"/>
    <n v="0"/>
    <n v="0.9"/>
    <n v="1.5010000000000001"/>
    <n v="0.71100000000000008"/>
    <s v="https://www.youtube.com/watch?v=zrSgFE-1bv8"/>
    <s v="D:\Video\Колбаса_рецепты\СКУМБРИЯ провесная.mkv"/>
    <s v="Да"/>
    <m/>
  </r>
  <r>
    <x v="43"/>
    <x v="3"/>
    <x v="8"/>
    <s v="Тмин"/>
    <s v="Специи"/>
    <n v="2.9999999999999997E-4"/>
    <n v="0.3"/>
    <n v="0.33959999999999996"/>
    <n v="1000"/>
    <n v="0.3"/>
    <n v="0.33959999999999996"/>
    <n v="0"/>
    <n v="0.9"/>
    <n v="0.64523999999999992"/>
    <n v="0.30563999999999997"/>
    <s v="https://www.youtube.com/watch?v=zrSgFE-1bv8"/>
    <s v="D:\Video\Колбаса_рецепты\СКУМБРИЯ провесная.mkv"/>
    <s v="Да"/>
    <m/>
  </r>
  <r>
    <x v="43"/>
    <x v="3"/>
    <x v="8"/>
    <s v="Вода"/>
    <s v="Добавки"/>
    <n v="1"/>
    <n v="1000"/>
    <n v="1"/>
    <n v="1000"/>
    <n v="1000"/>
    <n v="1"/>
    <n v="0"/>
    <n v="0.9"/>
    <n v="1.9"/>
    <n v="0.89999999999999991"/>
    <s v="https://www.youtube.com/watch?v=zrSgFE-1bv8"/>
    <s v="D:\Video\Колбаса_рецепты\СКУМБРИЯ провесная.mkv"/>
    <s v="Да"/>
    <m/>
  </r>
  <r>
    <x v="43"/>
    <x v="3"/>
    <x v="8"/>
    <s v="Соль рассол"/>
    <s v="Специи"/>
    <n v="0.08"/>
    <n v="80"/>
    <n v="3.08"/>
    <n v="1000"/>
    <n v="80"/>
    <n v="3.08"/>
    <n v="0"/>
    <n v="0.9"/>
    <n v="5.8520000000000003"/>
    <n v="2.7720000000000002"/>
    <s v="https://www.youtube.com/watch?v=zrSgFE-1bv8"/>
    <s v="D:\Video\Колбаса_рецепты\СКУМБРИЯ провесная.mkv"/>
    <s v="Да"/>
    <m/>
  </r>
  <r>
    <x v="43"/>
    <x v="3"/>
    <x v="8"/>
    <s v="Сахар"/>
    <s v="Специи"/>
    <n v="5.0000000000000001E-3"/>
    <n v="5"/>
    <n v="0.40441176470588236"/>
    <n v="1000"/>
    <n v="5"/>
    <n v="0.40441176470588236"/>
    <n v="0"/>
    <n v="0.9"/>
    <n v="0.76838235294117652"/>
    <n v="0.36397058823529416"/>
    <s v="https://www.youtube.com/watch?v=zrSgFE-1bv8"/>
    <s v="D:\Video\Колбаса_рецепты\СКУМБРИЯ провесная.mkv"/>
    <s v="Да"/>
    <m/>
  </r>
  <r>
    <x v="44"/>
    <x v="5"/>
    <x v="7"/>
    <s v="Курица целая"/>
    <s v="Птица"/>
    <n v="0.5"/>
    <n v="500"/>
    <n v="100"/>
    <n v="1000"/>
    <n v="500"/>
    <n v="100"/>
    <n v="0.05"/>
    <n v="0.5"/>
    <n v="157.89473684210526"/>
    <n v="52.631578947368411"/>
    <s v="https://ok.ru/video/7956048710222"/>
    <m/>
    <s v="Да"/>
    <m/>
  </r>
  <r>
    <x v="44"/>
    <x v="5"/>
    <x v="7"/>
    <s v="Перловка"/>
    <s v="Добавки"/>
    <n v="0.3"/>
    <n v="300"/>
    <n v="12.375"/>
    <n v="1000"/>
    <n v="300"/>
    <n v="12.375"/>
    <n v="0.05"/>
    <n v="0.5"/>
    <n v="19.539473684210527"/>
    <n v="6.5131578947368425"/>
    <s v="https://ok.ru/video/7956048710222"/>
    <m/>
    <s v="Да"/>
    <m/>
  </r>
  <r>
    <x v="44"/>
    <x v="5"/>
    <x v="7"/>
    <s v="Лук репчатый"/>
    <s v="Специи"/>
    <n v="0.25"/>
    <n v="250"/>
    <n v="12.4975"/>
    <n v="1000"/>
    <n v="250"/>
    <n v="12.4975"/>
    <n v="0"/>
    <n v="0.5"/>
    <n v="18.74625"/>
    <n v="6.2487499999999994"/>
    <s v="https://ok.ru/video/7956048710222"/>
    <m/>
    <s v="Да"/>
    <m/>
  </r>
  <r>
    <x v="44"/>
    <x v="5"/>
    <x v="7"/>
    <s v="Морковь"/>
    <s v="Специи"/>
    <n v="0.15"/>
    <n v="150"/>
    <n v="4.4984999999999999"/>
    <n v="1000"/>
    <n v="150"/>
    <n v="4.4984999999999999"/>
    <n v="0"/>
    <n v="0.5"/>
    <n v="6.7477499999999999"/>
    <n v="2.24925"/>
    <s v="https://ok.ru/video/7956048710222"/>
    <m/>
    <s v="Да"/>
    <m/>
  </r>
  <r>
    <x v="44"/>
    <x v="5"/>
    <x v="7"/>
    <s v="Картофель"/>
    <s v="Добавки"/>
    <n v="0.1"/>
    <n v="100"/>
    <n v="3.9990000000000006"/>
    <n v="1000"/>
    <n v="100"/>
    <n v="3.9990000000000006"/>
    <n v="0.05"/>
    <n v="0.5"/>
    <n v="6.314210526315791"/>
    <n v="2.1047368421052637"/>
    <s v="https://ok.ru/video/7956048710222"/>
    <m/>
    <s v="Да"/>
    <m/>
  </r>
  <r>
    <x v="44"/>
    <x v="5"/>
    <x v="7"/>
    <s v="Молоко"/>
    <s v="Добавки"/>
    <n v="0.5"/>
    <n v="500"/>
    <n v="33.33"/>
    <n v="1000"/>
    <n v="500"/>
    <n v="33.33"/>
    <n v="0.05"/>
    <n v="0.5"/>
    <n v="52.626315789473679"/>
    <n v="17.542105263157893"/>
    <s v="https://ok.ru/video/7956048710222"/>
    <m/>
    <s v="Да"/>
    <m/>
  </r>
  <r>
    <x v="44"/>
    <x v="5"/>
    <x v="7"/>
    <s v="Сливочное масло"/>
    <s v="Добавки"/>
    <n v="0.02"/>
    <n v="20"/>
    <n v="18.333333333333332"/>
    <n v="1000"/>
    <n v="20"/>
    <n v="18.333333333333332"/>
    <n v="0"/>
    <n v="0.5"/>
    <n v="27.5"/>
    <n v="9.1666666666666679"/>
    <s v="https://ok.ru/video/7956048710222"/>
    <m/>
    <s v="Да"/>
    <m/>
  </r>
  <r>
    <x v="44"/>
    <x v="5"/>
    <x v="7"/>
    <s v="Вода"/>
    <s v="Добавки"/>
    <n v="1"/>
    <n v="1000"/>
    <n v="1"/>
    <n v="1000"/>
    <n v="1000"/>
    <n v="1"/>
    <n v="0"/>
    <n v="0.5"/>
    <n v="1.5"/>
    <n v="0.5"/>
    <s v="https://ok.ru/video/7956048710222"/>
    <m/>
    <s v="Да"/>
    <m/>
  </r>
  <r>
    <x v="44"/>
    <x v="5"/>
    <x v="7"/>
    <s v="Соль пищевая"/>
    <s v="Специи"/>
    <n v="8.0000000000000002E-3"/>
    <n v="8"/>
    <n v="0.308"/>
    <n v="1000"/>
    <n v="8"/>
    <n v="0.308"/>
    <n v="0"/>
    <n v="0.5"/>
    <n v="0.46199999999999997"/>
    <n v="0.15399999999999997"/>
    <s v="https://ok.ru/video/7956048710222"/>
    <m/>
    <s v="Да"/>
    <m/>
  </r>
  <r>
    <x v="44"/>
    <x v="5"/>
    <x v="7"/>
    <s v="Петрушка зеленая"/>
    <s v="Специи"/>
    <n v="0.03"/>
    <n v="30"/>
    <n v="20.999700000000001"/>
    <n v="1000"/>
    <n v="30"/>
    <n v="20.999700000000001"/>
    <n v="0"/>
    <n v="0.5"/>
    <n v="31.499549999999999"/>
    <n v="10.499849999999999"/>
    <s v="https://ok.ru/video/7956048710222"/>
    <m/>
    <s v="Нет"/>
    <m/>
  </r>
  <r>
    <x v="44"/>
    <x v="5"/>
    <x v="7"/>
    <s v="Кориандр"/>
    <s v="Специи"/>
    <n v="2E-3"/>
    <n v="2"/>
    <n v="1.0044444444444445"/>
    <n v="1000"/>
    <n v="2"/>
    <n v="1.0044444444444445"/>
    <n v="0"/>
    <n v="0.5"/>
    <n v="1.5066666666666668"/>
    <n v="0.50222222222222235"/>
    <s v="https://ok.ru/video/7956048710222"/>
    <m/>
    <s v="Да"/>
    <m/>
  </r>
  <r>
    <x v="44"/>
    <x v="5"/>
    <x v="7"/>
    <s v="Куркума"/>
    <s v="Специи"/>
    <n v="2E-3"/>
    <n v="2"/>
    <n v="2.177142857142857"/>
    <n v="1000"/>
    <n v="2"/>
    <n v="2.177142857142857"/>
    <n v="0"/>
    <n v="0.5"/>
    <n v="3.2657142857142856"/>
    <n v="1.0885714285714285"/>
    <s v="https://ok.ru/video/7956048710222"/>
    <m/>
    <s v="Да"/>
    <m/>
  </r>
  <r>
    <x v="44"/>
    <x v="5"/>
    <x v="7"/>
    <s v="Зира"/>
    <s v="Специи"/>
    <n v="2E-3"/>
    <n v="2"/>
    <n v="3.0760000000000001"/>
    <n v="1000"/>
    <n v="2"/>
    <n v="3.0760000000000001"/>
    <n v="0"/>
    <n v="0.5"/>
    <n v="4.6139999999999999"/>
    <n v="1.5379999999999998"/>
    <s v="https://ok.ru/video/7956048710222"/>
    <m/>
    <s v="Да"/>
    <m/>
  </r>
  <r>
    <x v="45"/>
    <x v="0"/>
    <x v="0"/>
    <s v="Окорок свиной"/>
    <s v="Свинина"/>
    <n v="0.3"/>
    <n v="300"/>
    <n v="110.7"/>
    <n v="1000"/>
    <n v="300"/>
    <n v="110.7"/>
    <n v="0.15"/>
    <n v="0.7"/>
    <n v="221.4"/>
    <n v="91.164705882352933"/>
    <s v="https://youtu.be/v_f7e7lrYPs"/>
    <s v="D:\Video\Колбаса_рецепты\Колбаса  ПОЛТАВСКАЯ  в домашних условиях РЕЦЕПТ БОМБИЧЕСКИЙ.mkv"/>
    <s v="Да"/>
    <m/>
  </r>
  <r>
    <x v="45"/>
    <x v="0"/>
    <x v="0"/>
    <s v="Говядина"/>
    <s v="Говядина"/>
    <n v="0.3"/>
    <n v="300"/>
    <n v="212.99700000000001"/>
    <n v="1000"/>
    <n v="300"/>
    <n v="212.99700000000001"/>
    <n v="0.15"/>
    <n v="0.7"/>
    <n v="425.99400000000003"/>
    <n v="175.40929411764705"/>
    <s v="https://youtu.be/v_f7e7lrYPs"/>
    <s v="D:\Video\Колбаса_рецепты\Колбаса  ПОЛТАВСКАЯ  в домашних условиях РЕЦЕПТ БОМБИЧЕСКИЙ.mkv"/>
    <s v="Да"/>
    <m/>
  </r>
  <r>
    <x v="45"/>
    <x v="0"/>
    <x v="0"/>
    <s v="Грудинка свиная"/>
    <s v="Свинина"/>
    <n v="0.4"/>
    <n v="400"/>
    <n v="171.99599999999998"/>
    <n v="1000"/>
    <n v="400"/>
    <n v="171.99599999999998"/>
    <n v="0.15"/>
    <n v="0.7"/>
    <n v="343.99199999999996"/>
    <n v="141.64376470588232"/>
    <s v="https://youtu.be/v_f7e7lrYPs"/>
    <s v="D:\Video\Колбаса_рецепты\Колбаса  ПОЛТАВСКАЯ  в домашних условиях РЕЦЕПТ БОМБИЧЕСКИЙ.mkv"/>
    <s v="Нет"/>
    <m/>
  </r>
  <r>
    <x v="45"/>
    <x v="0"/>
    <x v="0"/>
    <s v="Соль нитритная"/>
    <s v="Специи"/>
    <n v="0.01"/>
    <n v="10"/>
    <n v="1.28"/>
    <n v="1000"/>
    <n v="10"/>
    <n v="1.28"/>
    <n v="0"/>
    <n v="0.7"/>
    <n v="2.1760000000000002"/>
    <n v="0.89600000000000013"/>
    <s v="https://youtu.be/v_f7e7lrYPs"/>
    <s v="D:\Video\Колбаса_рецепты\Колбаса  ПОЛТАВСКАЯ  в домашних условиях РЕЦЕПТ БОМБИЧЕСКИЙ.mkv"/>
    <s v="Да"/>
    <m/>
  </r>
  <r>
    <x v="45"/>
    <x v="0"/>
    <x v="0"/>
    <s v="Соль пищевая"/>
    <s v="Специи"/>
    <n v="0.01"/>
    <n v="10"/>
    <n v="0.38500000000000001"/>
    <n v="1000"/>
    <n v="10"/>
    <n v="0.38500000000000001"/>
    <n v="0"/>
    <n v="0.7"/>
    <n v="0.65449999999999997"/>
    <n v="0.26949999999999996"/>
    <s v="https://youtu.be/v_f7e7lrYPs"/>
    <s v="D:\Video\Колбаса_рецепты\Колбаса  ПОЛТАВСКАЯ  в домашних условиях РЕЦЕПТ БОМБИЧЕСКИЙ.mkv"/>
    <s v="Да"/>
    <m/>
  </r>
  <r>
    <x v="45"/>
    <x v="0"/>
    <x v="0"/>
    <s v="Чеснок сушеный"/>
    <s v="Специи"/>
    <n v="2E-3"/>
    <n v="2"/>
    <n v="1.7566666666666666"/>
    <n v="1000"/>
    <n v="2"/>
    <n v="1.7566666666666666"/>
    <n v="0"/>
    <n v="0.7"/>
    <n v="2.9863333333333331"/>
    <n v="1.2296666666666665"/>
    <s v="https://youtu.be/v_f7e7lrYPs"/>
    <s v="D:\Video\Колбаса_рецепты\Колбаса  ПОЛТАВСКАЯ  в домашних условиях РЕЦЕПТ БОМБИЧЕСКИЙ.mkv"/>
    <s v="Да"/>
    <m/>
  </r>
  <r>
    <x v="45"/>
    <x v="0"/>
    <x v="0"/>
    <s v="Перец черный молотый"/>
    <s v="Специи"/>
    <n v="2E-3"/>
    <n v="2"/>
    <n v="2.189090909090909"/>
    <n v="1000"/>
    <n v="2"/>
    <n v="2.189090909090909"/>
    <n v="0"/>
    <n v="0.7"/>
    <n v="3.7214545454545451"/>
    <n v="1.5323636363636362"/>
    <s v="https://youtu.be/v_f7e7lrYPs"/>
    <s v="D:\Video\Колбаса_рецепты\Колбаса  ПОЛТАВСКАЯ  в домашних условиях РЕЦЕПТ БОМБИЧЕСКИЙ.mkv"/>
    <s v="Да"/>
    <m/>
  </r>
  <r>
    <x v="45"/>
    <x v="0"/>
    <x v="0"/>
    <s v="Кориандр"/>
    <s v="Специи"/>
    <n v="1E-3"/>
    <n v="1"/>
    <n v="0.50222222222222224"/>
    <n v="1000"/>
    <n v="1"/>
    <n v="0.50222222222222224"/>
    <n v="0"/>
    <n v="0.7"/>
    <n v="0.85377777777777775"/>
    <n v="0.35155555555555551"/>
    <s v="https://youtu.be/v_f7e7lrYPs"/>
    <s v="D:\Video\Колбаса_рецепты\Колбаса  ПОЛТАВСКАЯ  в домашних условиях РЕЦЕПТ БОМБИЧЕСКИЙ.mkv"/>
    <s v="Да"/>
    <m/>
  </r>
  <r>
    <x v="45"/>
    <x v="0"/>
    <x v="0"/>
    <s v="Мускатный орех"/>
    <s v="Специи"/>
    <n v="1E-3"/>
    <n v="1"/>
    <n v="2.0772727272727272"/>
    <n v="1000"/>
    <n v="1"/>
    <n v="2.0772727272727272"/>
    <n v="0"/>
    <n v="0.7"/>
    <n v="3.5313636363636363"/>
    <n v="1.4540909090909091"/>
    <s v="https://youtu.be/v_f7e7lrYPs"/>
    <s v="D:\Video\Колбаса_рецепты\Колбаса  ПОЛТАВСКАЯ  в домашних условиях РЕЦЕПТ БОМБИЧЕСКИЙ.mkv"/>
    <s v="Да"/>
    <m/>
  </r>
  <r>
    <x v="45"/>
    <x v="0"/>
    <x v="0"/>
    <s v="Сахар"/>
    <s v="Специи"/>
    <n v="1E-3"/>
    <n v="1"/>
    <n v="8.0882352941176475E-2"/>
    <n v="1000"/>
    <n v="1"/>
    <n v="8.0882352941176475E-2"/>
    <n v="0"/>
    <n v="0.7"/>
    <n v="0.13750000000000001"/>
    <n v="5.6617647058823536E-2"/>
    <s v="https://youtu.be/v_f7e7lrYPs"/>
    <s v="D:\Video\Колбаса_рецепты\Колбаса  ПОЛТАВСКАЯ  в домашних условиях РЕЦЕПТ БОМБИЧЕСКИЙ.mkv"/>
    <s v="Да"/>
    <m/>
  </r>
  <r>
    <x v="45"/>
    <x v="0"/>
    <x v="0"/>
    <s v="Паприка копченая молотая"/>
    <s v="Специи"/>
    <n v="1E-3"/>
    <n v="1"/>
    <n v="0.89600000000000002"/>
    <n v="1000"/>
    <n v="1"/>
    <n v="0.89600000000000002"/>
    <n v="0"/>
    <n v="0.7"/>
    <n v="1.5232000000000001"/>
    <n v="0.62720000000000009"/>
    <s v="https://youtu.be/v_f7e7lrYPs"/>
    <s v="D:\Video\Колбаса_рецепты\Колбаса  ПОЛТАВСКАЯ  в домашних условиях РЕЦЕПТ БОМБИЧЕСКИЙ.mkv"/>
    <s v="Да"/>
    <m/>
  </r>
  <r>
    <x v="45"/>
    <x v="0"/>
    <x v="0"/>
    <s v="Коллагеновая 45/50"/>
    <s v="Оболочка"/>
    <n v="1E-3"/>
    <n v="1"/>
    <n v="29.333333333333332"/>
    <n v="1000"/>
    <n v="1"/>
    <n v="29.333333333333332"/>
    <n v="0"/>
    <n v="0.7"/>
    <n v="49.86666666666666"/>
    <n v="20.533333333333328"/>
    <s v="https://youtu.be/v_f7e7lrYPs"/>
    <s v="D:\Video\Колбаса_рецепты\Колбаса  ПОЛТАВСКАЯ  в домашних условиях РЕЦЕПТ БОМБИЧЕСКИЙ.mkv"/>
    <s v="Да"/>
    <m/>
  </r>
  <r>
    <x v="46"/>
    <x v="2"/>
    <x v="3"/>
    <s v="Грудинка свиная"/>
    <s v="Свинина"/>
    <n v="1"/>
    <n v="1000"/>
    <n v="429.99"/>
    <n v="1000"/>
    <n v="1000"/>
    <n v="429.99"/>
    <n v="0.35"/>
    <n v="2"/>
    <n v="1984.5692307692307"/>
    <n v="1323.0461538461536"/>
    <s v="https://youtu.be/RRuVvfGx9NM"/>
    <s v="D:\Video\Колбаса_рецепты\Грудинка домашняя сырокопченая.mkv"/>
    <s v="Нет"/>
    <m/>
  </r>
  <r>
    <x v="46"/>
    <x v="2"/>
    <x v="3"/>
    <s v="Соль нитритная"/>
    <s v="Специи"/>
    <n v="2.5000000000000001E-2"/>
    <n v="25"/>
    <n v="3.2"/>
    <n v="1000"/>
    <n v="25"/>
    <n v="3.2"/>
    <n v="0"/>
    <n v="2"/>
    <n v="9.6000000000000014"/>
    <n v="6.4000000000000012"/>
    <s v="https://youtu.be/RRuVvfGx9NM"/>
    <s v="D:\Video\Колбаса_рецепты\Грудинка домашняя сырокопченая.mkv"/>
    <s v="Да"/>
    <m/>
  </r>
  <r>
    <x v="46"/>
    <x v="2"/>
    <x v="3"/>
    <s v="Стартовые культуры"/>
    <s v="Специи"/>
    <n v="5.0000000000000001E-4"/>
    <n v="0.5"/>
    <n v="2.48"/>
    <n v="1000"/>
    <n v="0.5"/>
    <n v="2.48"/>
    <n v="0"/>
    <n v="2"/>
    <n v="7.4399999999999995"/>
    <n v="4.9599999999999991"/>
    <s v="https://youtu.be/RRuVvfGx9NM"/>
    <s v="D:\Video\Колбаса_рецепты\Грудинка домашняя сырокопченая.mkv"/>
    <s v="Да"/>
    <m/>
  </r>
  <r>
    <x v="46"/>
    <x v="2"/>
    <x v="3"/>
    <s v="Моносахара"/>
    <s v="Специи"/>
    <n v="5.0000000000000001E-3"/>
    <n v="5"/>
    <n v="9.5499999999999989"/>
    <n v="1000"/>
    <n v="5"/>
    <n v="9.5499999999999989"/>
    <n v="0"/>
    <n v="2"/>
    <n v="28.65"/>
    <n v="19.100000000000001"/>
    <s v="https://youtu.be/RRuVvfGx9NM"/>
    <s v="D:\Video\Колбаса_рецепты\Грудинка домашняя сырокопченая.mkv"/>
    <s v="Да"/>
    <m/>
  </r>
  <r>
    <x v="46"/>
    <x v="2"/>
    <x v="3"/>
    <s v="Сетка формовочная 220 мм"/>
    <s v="Оболочка"/>
    <n v="1E-3"/>
    <n v="1"/>
    <n v="20.8"/>
    <n v="1000"/>
    <n v="1"/>
    <n v="20.8"/>
    <n v="0"/>
    <n v="2"/>
    <n v="62.400000000000006"/>
    <n v="41.600000000000009"/>
    <s v="https://youtu.be/RRuVvfGx9NM"/>
    <s v="D:\Video\Колбаса_рецепты\Грудинка домашняя сырокопченая.mkv"/>
    <s v="Да"/>
    <m/>
  </r>
  <r>
    <x v="47"/>
    <x v="2"/>
    <x v="3"/>
    <s v="Грудинка свиная"/>
    <s v="Свинина"/>
    <n v="1"/>
    <n v="1000"/>
    <n v="429.99"/>
    <n v="1000"/>
    <n v="1000"/>
    <n v="429.99"/>
    <n v="0.35"/>
    <n v="2"/>
    <n v="1984.5692307692307"/>
    <n v="1323.0461538461536"/>
    <s v="https://youtu.be/rmGrO4jc7l8"/>
    <s v="D:\Video\Колбаса_рецепты\Бекон сырокопченый. Мягкий. Нежный. Мировой закусон..mkv"/>
    <s v="Нет"/>
    <s v="Грудинка бескостная, либо пашина 1кг_x000a_Рассол 800-1000г_x000a__x000a_Пропорции рассола плотностью 1,087г/см3 из расчета на 1кг_x000a_Вода 878мл_x000a_Соль нитритная (содержание НН 0,5%) 100г_x000a_Соль поваренная 21г_x000a_Сахар 50г_x000a__x000a_Смесь для натирания (из расчета 4% к весу сырья) - 40г_x000a__x000a_Пропорции смеси:_x000a_Соль поваренная 38,8г_x000a_Сахар 1,2г_x000a__x000a_Приготовить рассол. Кусок бекона нашприцевать рассолом из расчета 40-50%  от веса сырья._x000a_Смешать смесь для натирания, кусок натереть со всех сторон, уложить в пакет и убрать на сутки в холодильник при температуре +2…+4 градуса._x000a_Через сутки кусок залить рассолом из расчета 40-50% от веса сырья и оставить на просолку при +2…+4 градусов на 5-7 суток._x000a_Просоленый бекон тщательно промыть прохладной воде, оставить на созревание и сушку на сутки при температуре +10…+12 градусов и влажности 70-75%._x000a_Подсохший бекон прогреть при 35 +/-3 градуса по Цельсию в течение часа, затем коптить дымом деревьев лиственных пород (дуб, ольха, бук, яблоня, и т.п.)._x000a_При использовании пассивного дымогенератора копчение 10-12 часов, затем 10-24 часа отдыха, затем 10-12 часов повторного копчения._x000a_При использовании дымогенератора с нагнетанием дыма время копчения сократить до 1-3 часов за цикл, время отдыха оставить таким же._x000a_Прокопченый бекон проветрить в течение 12-24 часов, затем оставить на завяливание при температуре +12..+14 градусов и влажности 75 +/-3% на 10-15 суток."/>
  </r>
  <r>
    <x v="47"/>
    <x v="2"/>
    <x v="3"/>
    <s v="Вода"/>
    <s v="Добавки"/>
    <n v="0.878"/>
    <n v="878"/>
    <n v="0.878"/>
    <n v="1000"/>
    <n v="878"/>
    <n v="0.878"/>
    <n v="0"/>
    <n v="2"/>
    <n v="2.6339999999999999"/>
    <n v="1.7559999999999998"/>
    <s v="https://youtu.be/rmGrO4jc7l8"/>
    <s v="D:\Video\Колбаса_рецепты\Бекон сырокопченый. Мягкий. Нежный. Мировой закусон..mkv"/>
    <s v="Да"/>
    <m/>
  </r>
  <r>
    <x v="47"/>
    <x v="2"/>
    <x v="3"/>
    <s v="Соль нитритная"/>
    <s v="Специи"/>
    <n v="0.1"/>
    <n v="100"/>
    <n v="12.8"/>
    <n v="1000"/>
    <n v="100"/>
    <n v="12.8"/>
    <n v="0"/>
    <n v="2"/>
    <n v="38.400000000000006"/>
    <n v="25.600000000000005"/>
    <s v="https://youtu.be/rmGrO4jc7l8"/>
    <s v="D:\Video\Колбаса_рецепты\Бекон сырокопченый. Мягкий. Нежный. Мировой закусон..mkv"/>
    <s v="Да"/>
    <m/>
  </r>
  <r>
    <x v="47"/>
    <x v="2"/>
    <x v="3"/>
    <s v="Соль рассол"/>
    <s v="Специи"/>
    <n v="2.1000000000000001E-2"/>
    <n v="21"/>
    <n v="0.8085"/>
    <n v="1000"/>
    <n v="21"/>
    <n v="0.8085"/>
    <n v="0"/>
    <n v="2"/>
    <n v="2.4255"/>
    <n v="1.617"/>
    <s v="https://youtu.be/rmGrO4jc7l8"/>
    <s v="D:\Video\Колбаса_рецепты\Бекон сырокопченый. Мягкий. Нежный. Мировой закусон..mkv"/>
    <s v="Да"/>
    <m/>
  </r>
  <r>
    <x v="47"/>
    <x v="2"/>
    <x v="3"/>
    <s v="Соль пищевая"/>
    <s v="Специи"/>
    <n v="3.8800000000000001E-2"/>
    <n v="38.800000000000004"/>
    <n v="1.4938000000000002"/>
    <n v="1000"/>
    <n v="38.800000000000004"/>
    <n v="1.4938000000000002"/>
    <n v="0"/>
    <n v="2"/>
    <n v="4.4814000000000007"/>
    <n v="2.9876000000000005"/>
    <s v="https://youtu.be/rmGrO4jc7l8"/>
    <s v="D:\Video\Колбаса_рецепты\Бекон сырокопченый. Мягкий. Нежный. Мировой закусон..mkv"/>
    <s v="Да"/>
    <m/>
  </r>
  <r>
    <x v="47"/>
    <x v="2"/>
    <x v="3"/>
    <s v="Сахар"/>
    <s v="Специи"/>
    <n v="5.1200000000000002E-2"/>
    <n v="51.2"/>
    <n v="4.1411764705882357"/>
    <n v="1000"/>
    <n v="51.2"/>
    <n v="4.1411764705882357"/>
    <n v="0"/>
    <n v="2"/>
    <n v="12.423529411764708"/>
    <n v="8.2823529411764731"/>
    <s v="https://youtu.be/rmGrO4jc7l8"/>
    <s v="D:\Video\Колбаса_рецепты\Бекон сырокопченый. Мягкий. Нежный. Мировой закусон..mkv"/>
    <s v="Да"/>
    <m/>
  </r>
  <r>
    <x v="47"/>
    <x v="2"/>
    <x v="3"/>
    <s v="Сетка формовочная 220 мм"/>
    <s v="Оболочка"/>
    <n v="1E-3"/>
    <n v="1"/>
    <n v="20.8"/>
    <n v="1000"/>
    <n v="1"/>
    <n v="20.8"/>
    <n v="0"/>
    <n v="2"/>
    <n v="62.400000000000006"/>
    <n v="41.600000000000009"/>
    <s v="https://youtu.be/rmGrO4jc7l8"/>
    <s v="D:\Video\Колбаса_рецепты\Бекон сырокопченый. Мягкий. Нежный. Мировой закусон..mkv"/>
    <s v="Да"/>
    <m/>
  </r>
  <r>
    <x v="48"/>
    <x v="2"/>
    <x v="1"/>
    <s v="Рулька свиная"/>
    <s v="Свинина"/>
    <n v="1"/>
    <n v="1000"/>
    <n v="279.99"/>
    <n v="1000"/>
    <n v="1000"/>
    <n v="279.99"/>
    <n v="0.15"/>
    <n v="0.9"/>
    <n v="625.86000000000013"/>
    <n v="296.46000000000009"/>
    <s v="https://youtu.be/vLZQk2CnogI"/>
    <s v="D:\Video\Колбаса_рецепты\Вместо колбасы! Рулька варено-копченая  - Подробный рецепт и весь процесс от А до Я.mkv"/>
    <s v="Нет"/>
    <m/>
  </r>
  <r>
    <x v="48"/>
    <x v="2"/>
    <x v="1"/>
    <s v="Вода"/>
    <s v="Добавки"/>
    <n v="0.1"/>
    <n v="100"/>
    <n v="0.1"/>
    <n v="1000"/>
    <n v="100"/>
    <n v="0.1"/>
    <n v="0"/>
    <n v="0.9"/>
    <n v="0.19"/>
    <n v="0.09"/>
    <s v="https://youtu.be/vLZQk2CnogI"/>
    <s v="D:\Video\Колбаса_рецепты\Вместо колбасы! Рулька варено-копченая  - Подробный рецепт и весь процесс от А до Я.mkv"/>
    <s v="Да"/>
    <m/>
  </r>
  <r>
    <x v="48"/>
    <x v="2"/>
    <x v="1"/>
    <s v="Соль нитритная"/>
    <s v="Специи"/>
    <n v="1.4999999999999999E-2"/>
    <n v="15"/>
    <n v="1.92"/>
    <n v="1000"/>
    <n v="15"/>
    <n v="1.92"/>
    <n v="0"/>
    <n v="0.9"/>
    <n v="3.6479999999999997"/>
    <n v="1.7279999999999998"/>
    <s v="https://youtu.be/vLZQk2CnogI"/>
    <s v="D:\Video\Колбаса_рецепты\Вместо колбасы! Рулька варено-копченая  - Подробный рецепт и весь процесс от А до Я.mkv"/>
    <s v="Да"/>
    <m/>
  </r>
  <r>
    <x v="48"/>
    <x v="2"/>
    <x v="1"/>
    <s v="Сахар"/>
    <s v="Специи"/>
    <n v="5.0000000000000001E-3"/>
    <n v="5"/>
    <n v="0.40441176470588236"/>
    <n v="1000"/>
    <n v="5"/>
    <n v="0.40441176470588236"/>
    <n v="0"/>
    <n v="0.9"/>
    <n v="0.76838235294117652"/>
    <n v="0.36397058823529416"/>
    <s v="https://youtu.be/vLZQk2CnogI"/>
    <s v="D:\Video\Колбаса_рецепты\Вместо колбасы! Рулька варено-копченая  - Подробный рецепт и весь процесс от А до Я.mkv"/>
    <s v="Да"/>
    <m/>
  </r>
  <r>
    <x v="49"/>
    <x v="0"/>
    <x v="4"/>
    <s v="Окорок свиной"/>
    <s v="Свинина"/>
    <n v="0.5"/>
    <n v="500"/>
    <n v="184.5"/>
    <n v="1000"/>
    <n v="500"/>
    <n v="184.5"/>
    <n v="0.35"/>
    <n v="2"/>
    <n v="851.53846153846143"/>
    <n v="567.69230769230762"/>
    <s v="https://youtu.be/F2N03CRy5SI"/>
    <m/>
    <s v="Да"/>
    <m/>
  </r>
  <r>
    <x v="49"/>
    <x v="0"/>
    <x v="4"/>
    <s v="Говядина"/>
    <s v="Говядина"/>
    <n v="0.35"/>
    <n v="350"/>
    <n v="248.4965"/>
    <n v="1000"/>
    <n v="350"/>
    <n v="248.4965"/>
    <n v="0.35"/>
    <n v="2"/>
    <n v="1146.906923076923"/>
    <n v="764.60461538461527"/>
    <s v="https://youtu.be/F2N03CRy5SI"/>
    <m/>
    <s v="Да"/>
    <m/>
  </r>
  <r>
    <x v="49"/>
    <x v="0"/>
    <x v="4"/>
    <s v="Грудинка свиная"/>
    <s v="Свинина"/>
    <n v="0.15"/>
    <n v="150"/>
    <n v="64.498499999999993"/>
    <n v="1000"/>
    <n v="150"/>
    <n v="64.498499999999993"/>
    <n v="0.35"/>
    <n v="2"/>
    <n v="297.68538461538458"/>
    <n v="198.45692307692303"/>
    <s v="https://youtu.be/F2N03CRy5SI"/>
    <m/>
    <s v="Нет"/>
    <m/>
  </r>
  <r>
    <x v="49"/>
    <x v="0"/>
    <x v="4"/>
    <s v="Вино красное сухое"/>
    <s v="Добавки"/>
    <n v="0.1"/>
    <n v="100"/>
    <n v="51.7"/>
    <n v="1000"/>
    <n v="100"/>
    <n v="51.7"/>
    <n v="0"/>
    <n v="2"/>
    <n v="155.10000000000002"/>
    <n v="103.40000000000002"/>
    <s v="https://youtu.be/F2N03CRy5SI"/>
    <m/>
    <s v="Да"/>
    <m/>
  </r>
  <r>
    <x v="49"/>
    <x v="0"/>
    <x v="4"/>
    <s v="Соль нитритная"/>
    <s v="Специи"/>
    <n v="3.5000000000000003E-2"/>
    <n v="35"/>
    <n v="4.4800000000000004"/>
    <n v="1000"/>
    <n v="35"/>
    <n v="4.4800000000000004"/>
    <n v="0"/>
    <n v="2"/>
    <n v="13.440000000000001"/>
    <n v="8.9600000000000009"/>
    <s v="https://youtu.be/F2N03CRy5SI"/>
    <m/>
    <s v="Да"/>
    <m/>
  </r>
  <r>
    <x v="49"/>
    <x v="0"/>
    <x v="4"/>
    <s v="Паприка красная молотая"/>
    <s v="Специи"/>
    <n v="3.5000000000000001E-3"/>
    <n v="3.5"/>
    <n v="2.7363636363636363"/>
    <n v="1000"/>
    <n v="3.5"/>
    <n v="2.7363636363636363"/>
    <n v="0"/>
    <n v="2"/>
    <n v="8.209090909090909"/>
    <n v="5.4727272727272727"/>
    <s v="https://youtu.be/F2N03CRy5SI"/>
    <m/>
    <s v="Нет"/>
    <m/>
  </r>
  <r>
    <x v="49"/>
    <x v="0"/>
    <x v="4"/>
    <s v="Сахар"/>
    <s v="Специи"/>
    <n v="2E-3"/>
    <n v="2"/>
    <n v="0.16176470588235295"/>
    <n v="1000"/>
    <n v="2"/>
    <n v="0.16176470588235295"/>
    <n v="0"/>
    <n v="2"/>
    <n v="0.48529411764705888"/>
    <n v="0.32352941176470595"/>
    <s v="https://youtu.be/F2N03CRy5SI"/>
    <m/>
    <s v="Да"/>
    <m/>
  </r>
  <r>
    <x v="49"/>
    <x v="0"/>
    <x v="4"/>
    <s v="Анис"/>
    <s v="Специи"/>
    <n v="2E-3"/>
    <n v="2"/>
    <n v="3.29"/>
    <n v="1000"/>
    <n v="2"/>
    <n v="3.29"/>
    <n v="0"/>
    <n v="2"/>
    <n v="9.870000000000001"/>
    <n v="6.580000000000001"/>
    <s v="https://youtu.be/F2N03CRy5SI"/>
    <m/>
    <s v="Нет"/>
    <m/>
  </r>
  <r>
    <x v="49"/>
    <x v="0"/>
    <x v="4"/>
    <s v="Перец чили молотый"/>
    <s v="Специи"/>
    <n v="1.2999999999999999E-3"/>
    <n v="1.3"/>
    <n v="1.0092727272727273"/>
    <n v="1000"/>
    <n v="1.3"/>
    <n v="1.0092727272727273"/>
    <n v="0"/>
    <n v="2"/>
    <n v="3.0278181818181817"/>
    <n v="2.0185454545454542"/>
    <s v="https://youtu.be/F2N03CRy5SI"/>
    <m/>
    <s v="Нет"/>
    <m/>
  </r>
  <r>
    <x v="49"/>
    <x v="0"/>
    <x v="4"/>
    <s v="Чеснок сушеный"/>
    <s v="Специи"/>
    <n v="6.9999999999999999E-4"/>
    <n v="0.7"/>
    <n v="0.61483333333333323"/>
    <n v="1000"/>
    <n v="0.7"/>
    <n v="0.61483333333333323"/>
    <n v="0"/>
    <n v="2"/>
    <n v="1.8444999999999996"/>
    <n v="1.2296666666666662"/>
    <s v="https://youtu.be/F2N03CRy5SI"/>
    <m/>
    <s v="Да"/>
    <m/>
  </r>
  <r>
    <x v="49"/>
    <x v="0"/>
    <x v="4"/>
    <s v="Нало Ферм 45/50"/>
    <s v="Оболочка"/>
    <n v="1E-3"/>
    <n v="1"/>
    <n v="32.760032760032757"/>
    <n v="1000"/>
    <n v="1"/>
    <n v="32.760032760032757"/>
    <n v="0"/>
    <n v="2"/>
    <n v="98.280098280098272"/>
    <n v="65.520065520065515"/>
    <s v="https://youtu.be/F2N03CRy5SI"/>
    <m/>
    <s v="Да"/>
    <m/>
  </r>
  <r>
    <x v="50"/>
    <x v="5"/>
    <x v="7"/>
    <s v="Мука пшеничная"/>
    <s v="Добавки"/>
    <n v="1"/>
    <n v="1000"/>
    <n v="48.4"/>
    <n v="1000"/>
    <n v="1000"/>
    <n v="48.4"/>
    <n v="0"/>
    <n v="0.5"/>
    <n v="72.599999999999994"/>
    <n v="24.199999999999996"/>
    <s v="https://youtu.be/F2N03CRy5SI"/>
    <m/>
    <s v="Да"/>
    <m/>
  </r>
  <r>
    <x v="50"/>
    <x v="5"/>
    <x v="7"/>
    <s v="Вода"/>
    <s v="Добавки"/>
    <n v="0.55549999999999999"/>
    <n v="555.5"/>
    <n v="0.55549999999999999"/>
    <n v="1000"/>
    <n v="555.5"/>
    <n v="0.55549999999999999"/>
    <n v="0"/>
    <n v="0.5"/>
    <n v="0.83325000000000005"/>
    <n v="0.27775000000000005"/>
    <s v="https://youtu.be/F2N03CRy5SI"/>
    <m/>
    <s v="Да"/>
    <m/>
  </r>
  <r>
    <x v="50"/>
    <x v="5"/>
    <x v="7"/>
    <s v="Соль пищевая"/>
    <s v="Специи"/>
    <n v="0.03"/>
    <n v="30"/>
    <n v="1.155"/>
    <n v="1000"/>
    <n v="30"/>
    <n v="1.155"/>
    <n v="0"/>
    <n v="0.5"/>
    <n v="1.7324999999999999"/>
    <n v="0.5774999999999999"/>
    <s v="https://youtu.be/F2N03CRy5SI"/>
    <m/>
    <s v="Да"/>
    <m/>
  </r>
  <r>
    <x v="50"/>
    <x v="5"/>
    <x v="7"/>
    <s v="Дрожжи"/>
    <s v="Добавки"/>
    <n v="1.6999999999999999E-3"/>
    <n v="1.7"/>
    <n v="0.99325842696629207"/>
    <n v="1000"/>
    <n v="1.7"/>
    <n v="0.99325842696629207"/>
    <n v="0"/>
    <n v="0.5"/>
    <n v="1.4898876404494381"/>
    <n v="0.49662921348314604"/>
    <s v="https://youtu.be/F2N03CRy5SI"/>
    <m/>
    <s v="Нет"/>
    <m/>
  </r>
  <r>
    <x v="51"/>
    <x v="5"/>
    <x v="7"/>
    <s v="Сливочное масло"/>
    <s v="Добавки"/>
    <n v="8.3000000000000004E-2"/>
    <n v="83"/>
    <n v="76.083333333333329"/>
    <n v="1000"/>
    <n v="83"/>
    <n v="76.083333333333329"/>
    <n v="0"/>
    <n v="0.5"/>
    <n v="114.125"/>
    <n v="38.041666666666671"/>
    <s v="https://klopotenko.com/ru/beshamel-prostoj-i-bystryj-retsept/"/>
    <m/>
    <s v="Да"/>
    <m/>
  </r>
  <r>
    <x v="51"/>
    <x v="5"/>
    <x v="7"/>
    <s v="Мука пшеничная"/>
    <s v="Добавки"/>
    <n v="8.3000000000000004E-2"/>
    <n v="83"/>
    <n v="4.0171999999999999"/>
    <n v="1000"/>
    <n v="83"/>
    <n v="4.0171999999999999"/>
    <n v="0"/>
    <n v="0.5"/>
    <n v="6.0258000000000003"/>
    <n v="2.0086000000000004"/>
    <s v="https://klopotenko.com/ru/beshamel-prostoj-i-bystryj-retsept/"/>
    <m/>
    <s v="Да"/>
    <m/>
  </r>
  <r>
    <x v="51"/>
    <x v="5"/>
    <x v="7"/>
    <s v="Молоко"/>
    <s v="Добавки"/>
    <n v="0.83"/>
    <n v="830"/>
    <n v="55.327799999999996"/>
    <n v="1000"/>
    <n v="830"/>
    <n v="55.327799999999996"/>
    <n v="0.05"/>
    <n v="0.5"/>
    <n v="87.359684210526325"/>
    <n v="29.119894736842113"/>
    <s v="https://klopotenko.com/ru/beshamel-prostoj-i-bystryj-retsept/"/>
    <m/>
    <s v="Да"/>
    <m/>
  </r>
  <r>
    <x v="51"/>
    <x v="5"/>
    <x v="7"/>
    <s v="Мускатный орех"/>
    <s v="Специи"/>
    <n v="2E-3"/>
    <n v="2"/>
    <n v="4.1545454545454543"/>
    <n v="1000"/>
    <n v="2"/>
    <n v="4.1545454545454543"/>
    <n v="0"/>
    <n v="0.5"/>
    <n v="6.2318181818181815"/>
    <n v="2.0772727272727272"/>
    <s v="https://klopotenko.com/ru/beshamel-prostoj-i-bystryj-retsept/"/>
    <m/>
    <s v="Да"/>
    <m/>
  </r>
  <r>
    <x v="51"/>
    <x v="5"/>
    <x v="7"/>
    <s v="Соль пищевая"/>
    <s v="Специи"/>
    <n v="5.0000000000000001E-3"/>
    <n v="5"/>
    <n v="0.1925"/>
    <n v="1000"/>
    <n v="5"/>
    <n v="0.1925"/>
    <n v="0"/>
    <n v="0.5"/>
    <n v="0.28875000000000001"/>
    <n v="9.6250000000000002E-2"/>
    <s v="https://klopotenko.com/ru/beshamel-prostoj-i-bystryj-retsept/"/>
    <m/>
    <s v="Да"/>
    <m/>
  </r>
  <r>
    <x v="52"/>
    <x v="5"/>
    <x v="7"/>
    <s v="Морковь"/>
    <s v="Специи"/>
    <n v="1"/>
    <n v="1000"/>
    <n v="29.99"/>
    <n v="1000"/>
    <n v="1000"/>
    <n v="29.99"/>
    <n v="0"/>
    <n v="0.5"/>
    <n v="44.984999999999999"/>
    <n v="14.995000000000001"/>
    <m/>
    <m/>
    <s v="Да"/>
    <m/>
  </r>
  <r>
    <x v="52"/>
    <x v="5"/>
    <x v="7"/>
    <s v="Чеснок сушеный"/>
    <s v="Специи"/>
    <n v="3.5000000000000003E-2"/>
    <n v="35"/>
    <n v="30.741666666666667"/>
    <n v="1000"/>
    <n v="35"/>
    <n v="30.741666666666667"/>
    <n v="0"/>
    <n v="0.5"/>
    <n v="46.112499999999997"/>
    <n v="15.37083333333333"/>
    <m/>
    <m/>
    <s v="Да"/>
    <m/>
  </r>
  <r>
    <x v="52"/>
    <x v="5"/>
    <x v="7"/>
    <s v="Перец черный молотый"/>
    <s v="Специи"/>
    <n v="2.5000000000000001E-3"/>
    <n v="2.5"/>
    <n v="2.7363636363636363"/>
    <n v="1000"/>
    <n v="2.5"/>
    <n v="2.7363636363636363"/>
    <n v="0"/>
    <n v="0.5"/>
    <n v="4.1045454545454545"/>
    <n v="1.3681818181818182"/>
    <m/>
    <m/>
    <s v="Да"/>
    <m/>
  </r>
  <r>
    <x v="52"/>
    <x v="5"/>
    <x v="7"/>
    <s v="Перец чили молотый"/>
    <s v="Специи"/>
    <n v="2.5000000000000001E-3"/>
    <n v="2.5"/>
    <n v="1.9409090909090909"/>
    <n v="1000"/>
    <n v="2.5"/>
    <n v="1.9409090909090909"/>
    <n v="0"/>
    <n v="0.5"/>
    <n v="2.9113636363636362"/>
    <n v="0.97045454545454524"/>
    <m/>
    <m/>
    <s v="Нет"/>
    <m/>
  </r>
  <r>
    <x v="52"/>
    <x v="5"/>
    <x v="7"/>
    <s v="Сахар"/>
    <s v="Специи"/>
    <n v="0.05"/>
    <n v="50"/>
    <n v="4.0441176470588234"/>
    <n v="1000"/>
    <n v="50"/>
    <n v="4.0441176470588234"/>
    <n v="0"/>
    <n v="0.5"/>
    <n v="6.0661764705882355"/>
    <n v="2.0220588235294121"/>
    <m/>
    <m/>
    <s v="Да"/>
    <m/>
  </r>
  <r>
    <x v="52"/>
    <x v="5"/>
    <x v="7"/>
    <s v="Уксус 9%"/>
    <s v="Добавки"/>
    <n v="4.4999999999999998E-2"/>
    <n v="45"/>
    <n v="7.7849999999999993"/>
    <n v="1000"/>
    <n v="45"/>
    <n v="7.7849999999999993"/>
    <n v="0"/>
    <n v="0.5"/>
    <n v="11.677499999999998"/>
    <n v="3.8924999999999992"/>
    <m/>
    <m/>
    <s v="Да"/>
    <m/>
  </r>
  <r>
    <x v="52"/>
    <x v="5"/>
    <x v="7"/>
    <s v="Подсолнечное масло"/>
    <s v="Добавки"/>
    <n v="9.5000000000000001E-2"/>
    <n v="95"/>
    <n v="15.675000000000001"/>
    <n v="1000"/>
    <n v="95"/>
    <n v="15.675000000000001"/>
    <n v="0"/>
    <n v="0.5"/>
    <n v="23.512500000000003"/>
    <n v="7.8375000000000021"/>
    <m/>
    <m/>
    <s v="Да"/>
    <m/>
  </r>
  <r>
    <x v="52"/>
    <x v="5"/>
    <x v="7"/>
    <s v="Соль пищевая"/>
    <s v="Специи"/>
    <n v="3.5000000000000001E-3"/>
    <n v="3.5"/>
    <n v="0.13475000000000001"/>
    <n v="1000"/>
    <n v="3.5"/>
    <n v="0.13475000000000001"/>
    <n v="0"/>
    <n v="0.5"/>
    <n v="0.202125"/>
    <n v="6.737499999999999E-2"/>
    <m/>
    <m/>
    <s v="Да"/>
    <m/>
  </r>
  <r>
    <x v="53"/>
    <x v="0"/>
    <x v="0"/>
    <s v="Окорок свиной"/>
    <s v="Свинина"/>
    <n v="0.4"/>
    <n v="400"/>
    <n v="147.6"/>
    <n v="1000"/>
    <n v="400"/>
    <n v="147.6"/>
    <n v="0.15"/>
    <n v="0.7"/>
    <n v="295.2"/>
    <n v="121.55294117647057"/>
    <s v="https://youtu.be/R24IKFBSIgo"/>
    <s v="D:\Video\Колбаса_рецепты\Мясной хлеб. Просто МЯСНОЙ ХЛЕБ - COOLинарная ПРОпаганда (1080p, h264, youtube).mp4"/>
    <s v="Да"/>
    <m/>
  </r>
  <r>
    <x v="53"/>
    <x v="0"/>
    <x v="0"/>
    <s v="Говядина"/>
    <s v="Говядина"/>
    <n v="0.3"/>
    <n v="300"/>
    <n v="212.99700000000001"/>
    <n v="1000"/>
    <n v="300"/>
    <n v="212.99700000000001"/>
    <n v="0.15"/>
    <n v="0.7"/>
    <n v="425.99400000000003"/>
    <n v="175.40929411764705"/>
    <s v="https://youtu.be/R24IKFBSIgo"/>
    <s v="D:\Video\Колбаса_рецепты\Мясной хлеб. Просто МЯСНОЙ ХЛЕБ - COOLинарная ПРОпаганда (1080p, h264, youtube).mp4"/>
    <s v="Да"/>
    <m/>
  </r>
  <r>
    <x v="53"/>
    <x v="0"/>
    <x v="0"/>
    <s v="Сало свиное"/>
    <s v="Свинина"/>
    <n v="0.3"/>
    <n v="300"/>
    <n v="90"/>
    <n v="1000"/>
    <n v="300"/>
    <n v="90"/>
    <n v="0.15"/>
    <n v="0.7"/>
    <n v="180"/>
    <n v="74.117647058823522"/>
    <s v="https://youtu.be/R24IKFBSIgo"/>
    <s v="D:\Video\Колбаса_рецепты\Мясной хлеб. Просто МЯСНОЙ ХЛЕБ - COOLинарная ПРОпаганда (1080p, h264, youtube).mp4"/>
    <s v="Да"/>
    <m/>
  </r>
  <r>
    <x v="53"/>
    <x v="0"/>
    <x v="0"/>
    <s v="Вода"/>
    <s v="Добавки"/>
    <n v="0.15"/>
    <n v="150"/>
    <n v="0.15"/>
    <n v="1000"/>
    <n v="150"/>
    <n v="0.15"/>
    <n v="0"/>
    <n v="0.7"/>
    <n v="0.255"/>
    <n v="0.10500000000000001"/>
    <s v="https://youtu.be/R24IKFBSIgo"/>
    <s v="D:\Video\Колбаса_рецепты\Мясной хлеб. Просто МЯСНОЙ ХЛЕБ - COOLинарная ПРОпаганда (1080p, h264, youtube).mp4"/>
    <s v="Да"/>
    <m/>
  </r>
  <r>
    <x v="53"/>
    <x v="0"/>
    <x v="0"/>
    <s v="Соль пищевая"/>
    <s v="Специи"/>
    <n v="1.0999999999999999E-2"/>
    <n v="11"/>
    <n v="0.42349999999999999"/>
    <n v="1000"/>
    <n v="11"/>
    <n v="0.42349999999999999"/>
    <n v="0"/>
    <n v="0.7"/>
    <n v="0.71994999999999998"/>
    <n v="0.29644999999999999"/>
    <s v="https://youtu.be/R24IKFBSIgo"/>
    <s v="D:\Video\Колбаса_рецепты\Мясной хлеб. Просто МЯСНОЙ ХЛЕБ - COOLинарная ПРОпаганда (1080p, h264, youtube).mp4"/>
    <s v="Да"/>
    <m/>
  </r>
  <r>
    <x v="53"/>
    <x v="0"/>
    <x v="0"/>
    <s v="Соль нитритная"/>
    <s v="Специи"/>
    <n v="0.01"/>
    <n v="10"/>
    <n v="1.28"/>
    <n v="1000"/>
    <n v="10"/>
    <n v="1.28"/>
    <n v="0"/>
    <n v="0.7"/>
    <n v="2.1760000000000002"/>
    <n v="0.89600000000000013"/>
    <s v="https://youtu.be/R24IKFBSIgo"/>
    <s v="D:\Video\Колбаса_рецепты\Мясной хлеб. Просто МЯСНОЙ ХЛЕБ - COOLинарная ПРОпаганда (1080p, h264, youtube).mp4"/>
    <s v="Да"/>
    <m/>
  </r>
  <r>
    <x v="53"/>
    <x v="0"/>
    <x v="0"/>
    <s v="Чеснок сушеный"/>
    <s v="Специи"/>
    <n v="0.01"/>
    <n v="10"/>
    <n v="8.7833333333333332"/>
    <n v="1000"/>
    <n v="10"/>
    <n v="8.7833333333333332"/>
    <n v="0"/>
    <n v="0.7"/>
    <n v="14.931666666666665"/>
    <n v="6.1483333333333317"/>
    <s v="https://youtu.be/R24IKFBSIgo"/>
    <s v="D:\Video\Колбаса_рецепты\Мясной хлеб. Просто МЯСНОЙ ХЛЕБ - COOLинарная ПРОпаганда (1080p, h264, youtube).mp4"/>
    <s v="Да"/>
    <m/>
  </r>
  <r>
    <x v="53"/>
    <x v="0"/>
    <x v="0"/>
    <s v="Фосфат"/>
    <s v="Специи"/>
    <n v="2E-3"/>
    <n v="2"/>
    <n v="1.496"/>
    <n v="1000"/>
    <n v="2"/>
    <n v="1.496"/>
    <n v="0"/>
    <n v="0.7"/>
    <n v="2.5431999999999997"/>
    <n v="1.0471999999999997"/>
    <s v="https://youtu.be/R24IKFBSIgo"/>
    <s v="D:\Video\Колбаса_рецепты\Мясной хлеб. Просто МЯСНОЙ ХЛЕБ - COOLинарная ПРОпаганда (1080p, h264, youtube).mp4"/>
    <s v="Да"/>
    <m/>
  </r>
  <r>
    <x v="53"/>
    <x v="0"/>
    <x v="0"/>
    <s v="Сахар"/>
    <s v="Специи"/>
    <n v="1.1000000000000001E-3"/>
    <n v="1.1000000000000001"/>
    <n v="8.8970588235294135E-2"/>
    <n v="1000"/>
    <n v="1.1000000000000001"/>
    <n v="8.8970588235294135E-2"/>
    <n v="0"/>
    <n v="0.7"/>
    <n v="0.15125000000000002"/>
    <n v="6.2279411764705889E-2"/>
    <s v="https://youtu.be/R24IKFBSIgo"/>
    <s v="D:\Video\Колбаса_рецепты\Мясной хлеб. Просто МЯСНОЙ ХЛЕБ - COOLинарная ПРОпаганда (1080p, h264, youtube).mp4"/>
    <s v="Да"/>
    <m/>
  </r>
  <r>
    <x v="53"/>
    <x v="0"/>
    <x v="0"/>
    <s v="Кардамон"/>
    <s v="Специи"/>
    <n v="5.5000000000000003E-4"/>
    <n v="0.55000000000000004"/>
    <n v="0.83233333333333348"/>
    <n v="1000"/>
    <n v="0.55000000000000004"/>
    <n v="0.83233333333333348"/>
    <n v="0"/>
    <n v="0.7"/>
    <n v="1.4149666666666669"/>
    <n v="0.58263333333333345"/>
    <s v="https://youtu.be/R24IKFBSIgo"/>
    <s v="D:\Video\Колбаса_рецепты\Мясной хлеб. Просто МЯСНОЙ ХЛЕБ - COOLинарная ПРОпаганда (1080p, h264, youtube).mp4"/>
    <s v="Да"/>
    <m/>
  </r>
  <r>
    <x v="53"/>
    <x v="0"/>
    <x v="0"/>
    <s v="Перец черный молотый"/>
    <s v="Специи"/>
    <n v="8.4999999999999995E-4"/>
    <n v="0.85"/>
    <n v="0.93036363636363628"/>
    <n v="1000"/>
    <n v="0.85"/>
    <n v="0.93036363636363628"/>
    <n v="0"/>
    <n v="0.7"/>
    <n v="1.5816181818181816"/>
    <n v="0.65125454545454531"/>
    <s v="https://youtu.be/R24IKFBSIgo"/>
    <s v="D:\Video\Колбаса_рецепты\Мясной хлеб. Просто МЯСНОЙ ХЛЕБ - COOLинарная ПРОпаганда (1080p, h264, youtube).mp4"/>
    <s v="Да"/>
    <m/>
  </r>
  <r>
    <x v="54"/>
    <x v="5"/>
    <x v="7"/>
    <s v="Рулька свиная"/>
    <s v="Свинина"/>
    <n v="0.8"/>
    <n v="800"/>
    <n v="223.99200000000002"/>
    <n v="1000"/>
    <n v="800"/>
    <n v="223.99200000000002"/>
    <n v="0.05"/>
    <n v="0.5"/>
    <n v="353.67157894736846"/>
    <n v="117.89052631578949"/>
    <s v="https://food.ru/recipes/204116-holodec-klassicheskii"/>
    <m/>
    <s v="Нет"/>
    <m/>
  </r>
  <r>
    <x v="54"/>
    <x v="5"/>
    <x v="7"/>
    <s v="Курица целая"/>
    <s v="Птица"/>
    <n v="0.2"/>
    <n v="200"/>
    <n v="40"/>
    <n v="1000"/>
    <n v="200"/>
    <n v="40"/>
    <n v="0.05"/>
    <n v="0.5"/>
    <n v="63.15789473684211"/>
    <n v="21.05263157894737"/>
    <s v="https://food.ru/recipes/204116-holodec-klassicheskii"/>
    <m/>
    <s v="Да"/>
    <m/>
  </r>
  <r>
    <x v="54"/>
    <x v="5"/>
    <x v="7"/>
    <s v="Вода"/>
    <s v="Добавки"/>
    <n v="2.4"/>
    <n v="2400"/>
    <n v="2.4"/>
    <n v="1000"/>
    <n v="2400"/>
    <n v="2.4"/>
    <n v="0"/>
    <n v="0.5"/>
    <n v="3.5999999999999996"/>
    <n v="1.1999999999999997"/>
    <s v="https://food.ru/recipes/204116-holodec-klassicheskii"/>
    <m/>
    <s v="Да"/>
    <m/>
  </r>
  <r>
    <x v="54"/>
    <x v="5"/>
    <x v="7"/>
    <s v="Морковь"/>
    <s v="Специи"/>
    <n v="0.1"/>
    <n v="100"/>
    <n v="2.9990000000000001"/>
    <n v="1000"/>
    <n v="100"/>
    <n v="2.9990000000000001"/>
    <n v="0"/>
    <n v="0.5"/>
    <n v="4.4984999999999999"/>
    <n v="1.4994999999999998"/>
    <s v="https://food.ru/recipes/204116-holodec-klassicheskii"/>
    <m/>
    <s v="Да"/>
    <m/>
  </r>
  <r>
    <x v="54"/>
    <x v="5"/>
    <x v="7"/>
    <s v="Лук репчатый"/>
    <s v="Специи"/>
    <n v="0.04"/>
    <n v="40"/>
    <n v="1.9996"/>
    <n v="1000"/>
    <n v="40"/>
    <n v="1.9996"/>
    <n v="0"/>
    <n v="0.5"/>
    <n v="2.9994000000000001"/>
    <n v="0.99980000000000002"/>
    <s v="https://food.ru/recipes/204116-holodec-klassicheskii"/>
    <m/>
    <s v="Да"/>
    <m/>
  </r>
  <r>
    <x v="54"/>
    <x v="5"/>
    <x v="7"/>
    <s v="Чеснок сушеный"/>
    <s v="Специи"/>
    <n v="0.01"/>
    <n v="10"/>
    <n v="8.7833333333333332"/>
    <n v="1000"/>
    <n v="10"/>
    <n v="8.7833333333333332"/>
    <n v="0"/>
    <n v="0.5"/>
    <n v="13.175000000000001"/>
    <n v="4.3916666666666675"/>
    <s v="https://food.ru/recipes/204116-holodec-klassicheskii"/>
    <m/>
    <s v="Да"/>
    <m/>
  </r>
  <r>
    <x v="54"/>
    <x v="5"/>
    <x v="7"/>
    <s v="Соль пищевая"/>
    <s v="Специи"/>
    <n v="7.0000000000000001E-3"/>
    <n v="7"/>
    <n v="0.26950000000000002"/>
    <n v="1000"/>
    <n v="7"/>
    <n v="0.26950000000000002"/>
    <n v="0"/>
    <n v="0.5"/>
    <n v="0.40425"/>
    <n v="0.13474999999999998"/>
    <s v="https://food.ru/recipes/204116-holodec-klassicheskii"/>
    <m/>
    <s v="Да"/>
    <m/>
  </r>
  <r>
    <x v="54"/>
    <x v="5"/>
    <x v="7"/>
    <s v="Лавровый лист"/>
    <s v="Специи"/>
    <n v="2E-3"/>
    <n v="2"/>
    <n v="9.36"/>
    <n v="1000"/>
    <n v="2"/>
    <n v="9.36"/>
    <n v="0"/>
    <n v="0.5"/>
    <n v="14.04"/>
    <n v="4.68"/>
    <s v="https://food.ru/recipes/204116-holodec-klassicheskii"/>
    <m/>
    <s v="Да"/>
    <m/>
  </r>
  <r>
    <x v="54"/>
    <x v="5"/>
    <x v="7"/>
    <s v="Перец черный горошек"/>
    <s v="Специи"/>
    <n v="5.0000000000000001E-3"/>
    <n v="5"/>
    <n v="5.6999999999999993"/>
    <n v="1000"/>
    <n v="5"/>
    <n v="5.6999999999999993"/>
    <n v="0"/>
    <n v="0.5"/>
    <n v="8.5499999999999989"/>
    <n v="2.8499999999999996"/>
    <s v="https://food.ru/recipes/204116-holodec-klassicheskii"/>
    <m/>
    <s v="Да"/>
    <m/>
  </r>
  <r>
    <x v="54"/>
    <x v="5"/>
    <x v="7"/>
    <s v="Перец черный молотый"/>
    <s v="Специи"/>
    <n v="1.5E-3"/>
    <n v="1.5"/>
    <n v="1.6418181818181816"/>
    <n v="1000"/>
    <n v="1.5"/>
    <n v="1.6418181818181816"/>
    <n v="0"/>
    <n v="0.5"/>
    <n v="2.4627272727272724"/>
    <n v="0.82090909090909081"/>
    <s v="https://food.ru/recipes/204116-holodec-klassicheskii"/>
    <m/>
    <s v="Да"/>
    <m/>
  </r>
  <r>
    <x v="55"/>
    <x v="3"/>
    <x v="5"/>
    <s v="Форель"/>
    <s v="Рыба"/>
    <n v="1"/>
    <n v="1000"/>
    <n v="1373.7499999999998"/>
    <n v="1000"/>
    <n v="1000"/>
    <n v="1373.7499999999998"/>
    <n v="0.05"/>
    <n v="0.5"/>
    <n v="2169.0789473684208"/>
    <n v="723.02631578947353"/>
    <m/>
    <m/>
    <s v="Нет"/>
    <m/>
  </r>
  <r>
    <x v="55"/>
    <x v="3"/>
    <x v="5"/>
    <s v="Соль пищевая"/>
    <s v="Специи"/>
    <n v="0.06"/>
    <n v="60"/>
    <n v="2.31"/>
    <n v="1000"/>
    <n v="60"/>
    <n v="2.31"/>
    <n v="0"/>
    <n v="0.5"/>
    <n v="3.4649999999999999"/>
    <n v="1.1549999999999998"/>
    <m/>
    <m/>
    <s v="Да"/>
    <m/>
  </r>
  <r>
    <x v="55"/>
    <x v="3"/>
    <x v="5"/>
    <s v="Сахар"/>
    <s v="Специи"/>
    <n v="0.02"/>
    <n v="20"/>
    <n v="1.6176470588235294"/>
    <n v="1000"/>
    <n v="20"/>
    <n v="1.6176470588235294"/>
    <n v="0"/>
    <n v="0.5"/>
    <n v="2.4264705882352944"/>
    <n v="0.80882352941176494"/>
    <m/>
    <m/>
    <s v="Да"/>
    <m/>
  </r>
  <r>
    <x v="55"/>
    <x v="3"/>
    <x v="5"/>
    <s v="Тмин"/>
    <s v="Специи"/>
    <n v="5.0000000000000001E-4"/>
    <n v="0.5"/>
    <n v="0.56599999999999995"/>
    <n v="1000"/>
    <n v="0.5"/>
    <n v="0.56599999999999995"/>
    <n v="0"/>
    <n v="0.5"/>
    <n v="0.84899999999999998"/>
    <n v="0.28300000000000003"/>
    <m/>
    <m/>
    <s v="Да"/>
    <m/>
  </r>
  <r>
    <x v="55"/>
    <x v="3"/>
    <x v="5"/>
    <s v="Кориандр"/>
    <s v="Специи"/>
    <n v="1E-3"/>
    <n v="1"/>
    <n v="0.50222222222222224"/>
    <n v="1000"/>
    <n v="1"/>
    <n v="0.50222222222222224"/>
    <n v="0"/>
    <n v="0.5"/>
    <n v="0.75333333333333341"/>
    <n v="0.25111111111111117"/>
    <m/>
    <m/>
    <s v="Да"/>
    <m/>
  </r>
  <r>
    <x v="56"/>
    <x v="5"/>
    <x v="7"/>
    <s v="Молоко"/>
    <s v="Добавки"/>
    <n v="0.7"/>
    <n v="700"/>
    <n v="46.661999999999999"/>
    <n v="1000"/>
    <n v="700"/>
    <n v="46.661999999999999"/>
    <n v="0.05"/>
    <n v="0.5"/>
    <n v="73.676842105263148"/>
    <n v="24.558947368421045"/>
    <m/>
    <m/>
    <s v="Да"/>
    <m/>
  </r>
  <r>
    <x v="56"/>
    <x v="5"/>
    <x v="7"/>
    <s v="Мука пшеничная"/>
    <s v="Добавки"/>
    <n v="0.3"/>
    <n v="300"/>
    <n v="14.52"/>
    <n v="1000"/>
    <n v="300"/>
    <n v="14.52"/>
    <n v="0"/>
    <n v="0.5"/>
    <n v="21.78"/>
    <n v="7.2600000000000016"/>
    <m/>
    <m/>
    <s v="Да"/>
    <m/>
  </r>
  <r>
    <x v="56"/>
    <x v="5"/>
    <x v="7"/>
    <s v="Яйцо"/>
    <s v="Добавки"/>
    <n v="0.12"/>
    <n v="120"/>
    <n v="13.333333333333332"/>
    <n v="1000"/>
    <n v="120"/>
    <n v="13.333333333333332"/>
    <n v="0"/>
    <n v="0.5"/>
    <n v="20"/>
    <n v="6.6666666666666679"/>
    <m/>
    <m/>
    <s v="Да"/>
    <m/>
  </r>
  <r>
    <x v="56"/>
    <x v="5"/>
    <x v="7"/>
    <s v="Подсолнечное масло"/>
    <s v="Добавки"/>
    <n v="0.01"/>
    <n v="10"/>
    <n v="1.6500000000000001"/>
    <n v="1000"/>
    <n v="10"/>
    <n v="1.6500000000000001"/>
    <n v="0"/>
    <n v="0.5"/>
    <n v="2.4750000000000001"/>
    <n v="0.82499999999999996"/>
    <m/>
    <m/>
    <s v="Да"/>
    <m/>
  </r>
  <r>
    <x v="56"/>
    <x v="5"/>
    <x v="7"/>
    <s v="Сахар"/>
    <s v="Специи"/>
    <n v="4.3999999999999997E-2"/>
    <n v="44"/>
    <n v="3.5588235294117649"/>
    <n v="1000"/>
    <n v="44"/>
    <n v="3.5588235294117649"/>
    <n v="0"/>
    <n v="0.5"/>
    <n v="5.3382352941176476"/>
    <n v="1.7794117647058827"/>
    <m/>
    <m/>
    <s v="Да"/>
    <m/>
  </r>
  <r>
    <x v="56"/>
    <x v="5"/>
    <x v="7"/>
    <s v="Соль пищевая"/>
    <s v="Специи"/>
    <n v="5.0000000000000001E-3"/>
    <n v="5"/>
    <n v="0.1925"/>
    <n v="1000"/>
    <n v="5"/>
    <n v="0.1925"/>
    <n v="0"/>
    <n v="0.5"/>
    <n v="0.28875000000000001"/>
    <n v="9.6250000000000002E-2"/>
    <m/>
    <m/>
    <s v="Да"/>
    <m/>
  </r>
  <r>
    <x v="57"/>
    <x v="0"/>
    <x v="3"/>
    <s v="Говядина"/>
    <s v="Говядина"/>
    <n v="0.45"/>
    <n v="450"/>
    <n v="319.49549999999999"/>
    <n v="1000"/>
    <n v="450"/>
    <n v="319.49549999999999"/>
    <n v="0.35"/>
    <n v="2"/>
    <n v="1474.5946153846153"/>
    <n v="983.06307692307678"/>
    <s v="https://youtu.be/2509npgU6YM"/>
    <m/>
    <s v="Да"/>
    <m/>
  </r>
  <r>
    <x v="57"/>
    <x v="0"/>
    <x v="3"/>
    <s v="Окорок свиной"/>
    <s v="Свинина"/>
    <n v="0.3"/>
    <n v="300"/>
    <n v="110.7"/>
    <n v="1000"/>
    <n v="300"/>
    <n v="110.7"/>
    <n v="0.35"/>
    <n v="2"/>
    <n v="510.92307692307691"/>
    <n v="340.61538461538464"/>
    <s v="https://youtu.be/2509npgU6YM"/>
    <m/>
    <s v="Да"/>
    <m/>
  </r>
  <r>
    <x v="57"/>
    <x v="0"/>
    <x v="3"/>
    <s v="Шпик"/>
    <s v="Свинина"/>
    <n v="0.25"/>
    <n v="250"/>
    <n v="75"/>
    <n v="1000"/>
    <n v="250"/>
    <n v="75"/>
    <n v="0.35"/>
    <n v="2"/>
    <n v="346.15384615384619"/>
    <n v="230.7692307692308"/>
    <s v="https://youtu.be/2509npgU6YM"/>
    <m/>
    <s v="Нет"/>
    <m/>
  </r>
  <r>
    <x v="57"/>
    <x v="0"/>
    <x v="3"/>
    <s v="Соль нитритная"/>
    <s v="Специи"/>
    <n v="2.8000000000000001E-2"/>
    <n v="28"/>
    <n v="3.5840000000000001"/>
    <n v="1000"/>
    <n v="28"/>
    <n v="3.5840000000000001"/>
    <n v="0"/>
    <n v="2"/>
    <n v="10.752000000000001"/>
    <n v="7.168000000000001"/>
    <s v="https://youtu.be/2509npgU6YM"/>
    <m/>
    <s v="Да"/>
    <m/>
  </r>
  <r>
    <x v="57"/>
    <x v="0"/>
    <x v="3"/>
    <s v="Перец черный молотый"/>
    <s v="Специи"/>
    <n v="3.0000000000000001E-3"/>
    <n v="3"/>
    <n v="3.2836363636363632"/>
    <n v="1000"/>
    <n v="3"/>
    <n v="3.2836363636363632"/>
    <n v="0"/>
    <n v="2"/>
    <n v="9.8509090909090897"/>
    <n v="6.5672727272727265"/>
    <s v="https://youtu.be/2509npgU6YM"/>
    <m/>
    <s v="Да"/>
    <m/>
  </r>
  <r>
    <x v="57"/>
    <x v="0"/>
    <x v="3"/>
    <s v="Паприка копченая молотая"/>
    <s v="Специи"/>
    <n v="2E-3"/>
    <n v="2"/>
    <n v="1.792"/>
    <n v="1000"/>
    <n v="2"/>
    <n v="1.792"/>
    <n v="0"/>
    <n v="2"/>
    <n v="5.3760000000000003"/>
    <n v="3.5840000000000005"/>
    <s v="https://youtu.be/2509npgU6YM"/>
    <m/>
    <s v="Да"/>
    <m/>
  </r>
  <r>
    <x v="57"/>
    <x v="0"/>
    <x v="3"/>
    <s v="Имбирь молотый"/>
    <s v="Специи"/>
    <n v="5.0000000000000001E-4"/>
    <n v="0.5"/>
    <n v="0.29099999999999998"/>
    <n v="1000"/>
    <n v="0.5"/>
    <n v="0.29099999999999998"/>
    <n v="0"/>
    <n v="2"/>
    <n v="0.873"/>
    <n v="0.58200000000000007"/>
    <s v="https://youtu.be/2509npgU6YM"/>
    <m/>
    <s v="Нет"/>
    <m/>
  </r>
  <r>
    <x v="57"/>
    <x v="0"/>
    <x v="3"/>
    <s v="Сахар"/>
    <s v="Специи"/>
    <n v="2E-3"/>
    <n v="2"/>
    <n v="0.16176470588235295"/>
    <n v="1000"/>
    <n v="2"/>
    <n v="0.16176470588235295"/>
    <n v="0"/>
    <n v="2"/>
    <n v="0.48529411764705888"/>
    <n v="0.32352941176470595"/>
    <s v="https://youtu.be/2509npgU6YM"/>
    <m/>
    <s v="Да"/>
    <m/>
  </r>
  <r>
    <x v="57"/>
    <x v="0"/>
    <x v="3"/>
    <s v="Коньяк"/>
    <s v="Добавки"/>
    <n v="0.01"/>
    <n v="10"/>
    <n v="10"/>
    <n v="1000"/>
    <n v="10"/>
    <n v="10"/>
    <n v="0"/>
    <n v="2"/>
    <n v="30"/>
    <n v="20"/>
    <s v="https://youtu.be/2509npgU6YM"/>
    <m/>
    <s v="Нет"/>
    <m/>
  </r>
  <r>
    <x v="57"/>
    <x v="0"/>
    <x v="3"/>
    <s v="Нало Ферм 45/50"/>
    <s v="Оболочка"/>
    <n v="1E-3"/>
    <n v="1"/>
    <n v="32.760032760032757"/>
    <n v="1000"/>
    <n v="1"/>
    <n v="32.760032760032757"/>
    <n v="0"/>
    <n v="2"/>
    <n v="98.280098280098272"/>
    <n v="65.520065520065515"/>
    <s v="https://youtu.be/2509npgU6YM"/>
    <m/>
    <s v="Да"/>
    <m/>
  </r>
  <r>
    <x v="58"/>
    <x v="1"/>
    <x v="1"/>
    <s v="Грудинка свиная"/>
    <s v="Свинина"/>
    <n v="0.4"/>
    <n v="400"/>
    <n v="171.99599999999998"/>
    <n v="1000"/>
    <n v="400"/>
    <n v="171.99599999999998"/>
    <n v="0.15"/>
    <n v="0.9"/>
    <n v="384.46164705882347"/>
    <n v="182.11341176470583"/>
    <s v="https://www.youtube.com/watch?v=PwFXCb96LRQ&amp;t=445s"/>
    <m/>
    <s v="Нет"/>
    <m/>
  </r>
  <r>
    <x v="58"/>
    <x v="1"/>
    <x v="1"/>
    <s v="Лопатка свиная"/>
    <s v="Свинина"/>
    <n v="0.4"/>
    <n v="400"/>
    <n v="147.6"/>
    <n v="1000"/>
    <n v="400"/>
    <n v="147.6"/>
    <n v="0.15"/>
    <n v="0.9"/>
    <n v="329.92941176470589"/>
    <n v="156.28235294117647"/>
    <s v="https://www.youtube.com/watch?v=PwFXCb96LRQ&amp;t=445s"/>
    <m/>
    <s v="Нет"/>
    <m/>
  </r>
  <r>
    <x v="58"/>
    <x v="1"/>
    <x v="1"/>
    <s v="Шпик"/>
    <s v="Свинина"/>
    <n v="0.2"/>
    <n v="200"/>
    <n v="60"/>
    <n v="1000"/>
    <n v="200"/>
    <n v="60"/>
    <n v="0.15"/>
    <n v="0.9"/>
    <n v="134.11764705882354"/>
    <n v="63.529411764705884"/>
    <s v="https://www.youtube.com/watch?v=PwFXCb96LRQ&amp;t=445s"/>
    <m/>
    <s v="Нет"/>
    <m/>
  </r>
  <r>
    <x v="58"/>
    <x v="1"/>
    <x v="1"/>
    <s v="Вода"/>
    <s v="Добавки"/>
    <n v="0.18"/>
    <n v="180"/>
    <n v="0.18"/>
    <n v="1000"/>
    <n v="180"/>
    <n v="0.18"/>
    <n v="0"/>
    <n v="0.9"/>
    <n v="0.34199999999999997"/>
    <n v="0.16199999999999998"/>
    <s v="https://www.youtube.com/watch?v=PwFXCb96LRQ&amp;t=445s"/>
    <m/>
    <s v="Да"/>
    <m/>
  </r>
  <r>
    <x v="58"/>
    <x v="1"/>
    <x v="1"/>
    <s v="Соль нитритная"/>
    <s v="Специи"/>
    <n v="1.7999999999999999E-2"/>
    <n v="18"/>
    <n v="2.3040000000000003"/>
    <n v="1000"/>
    <n v="18"/>
    <n v="2.3040000000000003"/>
    <n v="0"/>
    <n v="0.9"/>
    <n v="4.377600000000001"/>
    <n v="2.0736000000000008"/>
    <s v="https://www.youtube.com/watch?v=PwFXCb96LRQ&amp;t=445s"/>
    <m/>
    <s v="Да"/>
    <m/>
  </r>
  <r>
    <x v="58"/>
    <x v="1"/>
    <x v="1"/>
    <s v="Фосфат"/>
    <s v="Специи"/>
    <n v="3.0000000000000001E-3"/>
    <n v="3"/>
    <n v="2.2439999999999998"/>
    <n v="1000"/>
    <n v="3"/>
    <n v="2.2439999999999998"/>
    <n v="0"/>
    <n v="0.9"/>
    <n v="4.2636000000000003"/>
    <n v="2.0196000000000005"/>
    <s v="https://www.youtube.com/watch?v=PwFXCb96LRQ&amp;t=445s"/>
    <m/>
    <s v="Да"/>
    <m/>
  </r>
  <r>
    <x v="58"/>
    <x v="1"/>
    <x v="1"/>
    <s v="Перец черный молотый"/>
    <s v="Специи"/>
    <n v="4.0000000000000001E-3"/>
    <n v="4"/>
    <n v="4.378181818181818"/>
    <n v="1000"/>
    <n v="4"/>
    <n v="4.378181818181818"/>
    <n v="0"/>
    <n v="0.9"/>
    <n v="8.318545454545454"/>
    <n v="3.9403636363636361"/>
    <s v="https://www.youtube.com/watch?v=PwFXCb96LRQ&amp;t=445s"/>
    <m/>
    <s v="Да"/>
    <m/>
  </r>
  <r>
    <x v="58"/>
    <x v="1"/>
    <x v="1"/>
    <s v="Чеснок сушеный"/>
    <s v="Специи"/>
    <n v="2E-3"/>
    <n v="2"/>
    <n v="1.7566666666666666"/>
    <n v="1000"/>
    <n v="2"/>
    <n v="1.7566666666666666"/>
    <n v="0"/>
    <n v="0.9"/>
    <n v="3.3376666666666663"/>
    <n v="1.5809999999999997"/>
    <s v="https://www.youtube.com/watch?v=PwFXCb96LRQ&amp;t=445s"/>
    <m/>
    <s v="Да"/>
    <m/>
  </r>
  <r>
    <x v="58"/>
    <x v="1"/>
    <x v="1"/>
    <s v="Мускатный орех"/>
    <s v="Специи"/>
    <n v="2E-3"/>
    <n v="2"/>
    <n v="4.1545454545454543"/>
    <n v="1000"/>
    <n v="2"/>
    <n v="4.1545454545454543"/>
    <n v="0"/>
    <n v="0.9"/>
    <n v="7.8936363636363627"/>
    <n v="3.7390909090909084"/>
    <s v="https://www.youtube.com/watch?v=PwFXCb96LRQ&amp;t=445s"/>
    <m/>
    <s v="Да"/>
    <m/>
  </r>
  <r>
    <x v="58"/>
    <x v="1"/>
    <x v="1"/>
    <s v="Паприка красная молотая"/>
    <s v="Специи"/>
    <n v="2E-3"/>
    <n v="2"/>
    <n v="1.5636363636363637"/>
    <n v="1000"/>
    <n v="2"/>
    <n v="1.5636363636363637"/>
    <n v="0"/>
    <n v="0.9"/>
    <n v="2.9709090909090912"/>
    <n v="1.4072727272727275"/>
    <s v="https://www.youtube.com/watch?v=PwFXCb96LRQ&amp;t=445s"/>
    <m/>
    <s v="Нет"/>
    <m/>
  </r>
  <r>
    <x v="58"/>
    <x v="1"/>
    <x v="1"/>
    <s v="Имбирь молотый"/>
    <s v="Специи"/>
    <n v="1E-3"/>
    <n v="1"/>
    <n v="0.58199999999999996"/>
    <n v="1000"/>
    <n v="1"/>
    <n v="0.58199999999999996"/>
    <n v="0"/>
    <n v="0.9"/>
    <n v="1.1057999999999999"/>
    <n v="0.52379999999999993"/>
    <s v="https://www.youtube.com/watch?v=PwFXCb96LRQ&amp;t=445s"/>
    <m/>
    <s v="Нет"/>
    <m/>
  </r>
  <r>
    <x v="58"/>
    <x v="1"/>
    <x v="1"/>
    <s v="Лук сушеный"/>
    <s v="Специи"/>
    <n v="1E-3"/>
    <n v="1"/>
    <n v="0.88800000000000001"/>
    <n v="1000"/>
    <n v="1"/>
    <n v="0.88800000000000001"/>
    <n v="0"/>
    <n v="0.9"/>
    <n v="1.6872"/>
    <n v="0.79920000000000002"/>
    <s v="https://www.youtube.com/watch?v=PwFXCb96LRQ&amp;t=445s"/>
    <m/>
    <s v="Нет"/>
    <m/>
  </r>
  <r>
    <x v="58"/>
    <x v="1"/>
    <x v="1"/>
    <s v="Тмин"/>
    <s v="Специи"/>
    <n v="1E-3"/>
    <n v="1"/>
    <n v="1.1319999999999999"/>
    <n v="1000"/>
    <n v="1"/>
    <n v="1.1319999999999999"/>
    <n v="0"/>
    <n v="0.9"/>
    <n v="2.1507999999999998"/>
    <n v="1.0187999999999999"/>
    <s v="https://www.youtube.com/watch?v=PwFXCb96LRQ&amp;t=445s"/>
    <m/>
    <s v="Да"/>
    <m/>
  </r>
  <r>
    <x v="58"/>
    <x v="1"/>
    <x v="1"/>
    <s v="Аскорбиновая кислота"/>
    <s v="Специи"/>
    <n v="5.0000000000000001E-4"/>
    <n v="0.5"/>
    <n v="0.85099999999999998"/>
    <n v="1000"/>
    <n v="0.5"/>
    <n v="0.85099999999999998"/>
    <n v="0"/>
    <n v="0.9"/>
    <n v="1.6169"/>
    <n v="0.76590000000000003"/>
    <s v="https://www.youtube.com/watch?v=PwFXCb96LRQ&amp;t=445s"/>
    <m/>
    <s v="Да"/>
    <m/>
  </r>
  <r>
    <x v="58"/>
    <x v="1"/>
    <x v="1"/>
    <s v="Баранья черева 22/24"/>
    <s v="Оболочка"/>
    <n v="1E-3"/>
    <n v="1"/>
    <n v="45.688733352775351"/>
    <n v="1000"/>
    <n v="1"/>
    <n v="45.688733352775351"/>
    <n v="0"/>
    <n v="0.9"/>
    <n v="86.808593370273172"/>
    <n v="41.119860017497821"/>
    <s v="https://www.youtube.com/watch?v=PwFXCb96LRQ&amp;t=445s"/>
    <m/>
    <s v="Да"/>
    <m/>
  </r>
  <r>
    <x v="59"/>
    <x v="5"/>
    <x v="0"/>
    <s v="Гусь"/>
    <s v="Птица"/>
    <n v="0.35099999999999998"/>
    <n v="351"/>
    <n v="315.90000000000003"/>
    <n v="1000"/>
    <n v="351"/>
    <n v="315.90000000000003"/>
    <n v="0.15"/>
    <n v="0.7"/>
    <n v="631.80000000000007"/>
    <n v="260.15294117647062"/>
    <m/>
    <m/>
    <n v="0"/>
    <m/>
  </r>
  <r>
    <x v="59"/>
    <x v="5"/>
    <x v="0"/>
    <s v="Рис круглозерновой"/>
    <s v="Добавки"/>
    <n v="0.24299999999999999"/>
    <n v="243"/>
    <n v="59.4"/>
    <n v="1000"/>
    <n v="243"/>
    <n v="59.4"/>
    <n v="0.15"/>
    <n v="0.7"/>
    <n v="118.79999999999998"/>
    <n v="48.917647058823519"/>
    <m/>
    <m/>
    <n v="0"/>
    <m/>
  </r>
  <r>
    <x v="59"/>
    <x v="5"/>
    <x v="0"/>
    <s v="Вода"/>
    <s v="Добавки"/>
    <n v="0.16200000000000001"/>
    <n v="162"/>
    <n v="0.16200000000000001"/>
    <n v="1000"/>
    <n v="162"/>
    <n v="0.16200000000000001"/>
    <n v="0"/>
    <n v="0.7"/>
    <n v="0.27539999999999998"/>
    <n v="0.11339999999999997"/>
    <m/>
    <m/>
    <s v="Да"/>
    <m/>
  </r>
  <r>
    <x v="59"/>
    <x v="5"/>
    <x v="0"/>
    <s v="Морковь"/>
    <s v="Специи"/>
    <n v="0.27"/>
    <n v="270"/>
    <n v="8.0973000000000006"/>
    <n v="1000"/>
    <n v="270"/>
    <n v="8.0973000000000006"/>
    <n v="0"/>
    <n v="0.7"/>
    <n v="13.765410000000001"/>
    <n v="5.6681100000000004"/>
    <m/>
    <m/>
    <s v="Да"/>
    <m/>
  </r>
  <r>
    <x v="59"/>
    <x v="5"/>
    <x v="0"/>
    <s v="Лук репчатый"/>
    <s v="Специи"/>
    <n v="8.1000000000000003E-2"/>
    <n v="81"/>
    <n v="4.0491900000000003"/>
    <n v="1000"/>
    <n v="81"/>
    <n v="4.0491900000000003"/>
    <n v="0"/>
    <n v="0.7"/>
    <n v="6.883623"/>
    <n v="2.8344329999999998"/>
    <m/>
    <m/>
    <s v="Да"/>
    <m/>
  </r>
  <r>
    <x v="59"/>
    <x v="5"/>
    <x v="0"/>
    <s v="Подсолнечное масло"/>
    <s v="Добавки"/>
    <n v="8.1000000000000003E-2"/>
    <n v="81"/>
    <n v="13.365"/>
    <n v="1000"/>
    <n v="81"/>
    <n v="13.365"/>
    <n v="0"/>
    <n v="0.7"/>
    <n v="22.720500000000001"/>
    <n v="9.355500000000001"/>
    <m/>
    <m/>
    <s v="Да"/>
    <m/>
  </r>
  <r>
    <x v="59"/>
    <x v="5"/>
    <x v="0"/>
    <s v="Чеснок свежий"/>
    <s v="Специи"/>
    <n v="2.7E-2"/>
    <n v="27"/>
    <n v="13.49973"/>
    <n v="1000"/>
    <n v="27"/>
    <n v="13.49973"/>
    <n v="0"/>
    <n v="0.7"/>
    <n v="22.949540999999996"/>
    <n v="9.4498109999999969"/>
    <m/>
    <m/>
    <n v="0"/>
    <m/>
  </r>
  <r>
    <x v="59"/>
    <x v="5"/>
    <x v="0"/>
    <s v="Перец чили молотый"/>
    <s v="Специи"/>
    <n v="8.0000000000000002E-3"/>
    <n v="8"/>
    <n v="6.2109090909090909"/>
    <n v="1000"/>
    <n v="8"/>
    <n v="6.2109090909090909"/>
    <n v="0"/>
    <n v="0.7"/>
    <n v="10.558545454545454"/>
    <n v="4.3476363636363633"/>
    <m/>
    <m/>
    <s v="Нет"/>
    <m/>
  </r>
  <r>
    <x v="59"/>
    <x v="5"/>
    <x v="0"/>
    <s v="Соль пищевая"/>
    <s v="Специи"/>
    <n v="7.0000000000000001E-3"/>
    <n v="7"/>
    <n v="0.26950000000000002"/>
    <n v="1000"/>
    <n v="7"/>
    <n v="0.26950000000000002"/>
    <n v="0"/>
    <n v="0.7"/>
    <n v="0.45815000000000006"/>
    <n v="0.18865000000000004"/>
    <m/>
    <m/>
    <s v="Да"/>
    <m/>
  </r>
  <r>
    <x v="59"/>
    <x v="5"/>
    <x v="0"/>
    <s v="Кориандр"/>
    <s v="Специи"/>
    <n v="8.0000000000000004E-4"/>
    <n v="0.8"/>
    <n v="0.40177777777777779"/>
    <n v="1000"/>
    <n v="0.8"/>
    <n v="0.40177777777777779"/>
    <n v="0"/>
    <n v="0.7"/>
    <n v="0.6830222222222222"/>
    <n v="0.28124444444444441"/>
    <m/>
    <m/>
    <s v="Да"/>
    <m/>
  </r>
  <r>
    <x v="59"/>
    <x v="5"/>
    <x v="0"/>
    <s v="Зира"/>
    <s v="Специи"/>
    <n v="1.6000000000000001E-3"/>
    <n v="1.6"/>
    <n v="2.4608000000000003"/>
    <n v="1000"/>
    <n v="1.6"/>
    <n v="2.4608000000000003"/>
    <n v="0"/>
    <n v="0.7"/>
    <n v="4.1833600000000004"/>
    <n v="1.7225600000000001"/>
    <m/>
    <m/>
    <s v="Да"/>
    <m/>
  </r>
  <r>
    <x v="59"/>
    <x v="5"/>
    <x v="0"/>
    <s v="Паприка красная молотая"/>
    <s v="Специи"/>
    <n v="8.0000000000000004E-4"/>
    <n v="0.8"/>
    <n v="0.62545454545454549"/>
    <n v="1000"/>
    <n v="0.8"/>
    <n v="0.62545454545454549"/>
    <n v="0"/>
    <n v="0.7"/>
    <n v="1.0632727272727274"/>
    <n v="0.43781818181818188"/>
    <m/>
    <m/>
    <s v="Нет"/>
    <m/>
  </r>
  <r>
    <x v="59"/>
    <x v="5"/>
    <x v="0"/>
    <s v="Паприка копченая молотая"/>
    <s v="Специи"/>
    <n v="1.4E-3"/>
    <n v="1.4"/>
    <n v="1.2544"/>
    <n v="1000"/>
    <n v="1.4"/>
    <n v="1.2544"/>
    <n v="0"/>
    <n v="0.7"/>
    <n v="2.1324799999999997"/>
    <n v="0.87807999999999975"/>
    <m/>
    <m/>
    <s v="Да"/>
    <m/>
  </r>
  <r>
    <x v="59"/>
    <x v="5"/>
    <x v="0"/>
    <s v="Барбарис"/>
    <s v="Специи"/>
    <n v="8.0000000000000002E-3"/>
    <n v="8"/>
    <n v="17.68"/>
    <n v="1000"/>
    <n v="8"/>
    <n v="17.68"/>
    <n v="0"/>
    <n v="0.7"/>
    <n v="30.055999999999997"/>
    <n v="12.375999999999998"/>
    <m/>
    <m/>
    <s v="Нет"/>
    <m/>
  </r>
  <r>
    <x v="59"/>
    <x v="5"/>
    <x v="0"/>
    <s v="Изюм"/>
    <s v="Специи"/>
    <n v="2.7E-2"/>
    <n v="27"/>
    <n v="9.6660000000000004"/>
    <n v="1000"/>
    <n v="27"/>
    <n v="9.6660000000000004"/>
    <n v="0"/>
    <n v="0.7"/>
    <n v="16.432200000000002"/>
    <n v="6.7662000000000013"/>
    <m/>
    <m/>
    <n v="0"/>
    <m/>
  </r>
  <r>
    <x v="59"/>
    <x v="5"/>
    <x v="0"/>
    <s v="Чернослив"/>
    <s v="Специи"/>
    <n v="2.7E-2"/>
    <n v="27"/>
    <n v="13.608000000000001"/>
    <n v="1000"/>
    <n v="27"/>
    <n v="13.608000000000001"/>
    <n v="0"/>
    <n v="0.7"/>
    <n v="23.133600000000001"/>
    <n v="9.5256000000000007"/>
    <m/>
    <m/>
    <s v="Нет"/>
    <m/>
  </r>
  <r>
    <x v="59"/>
    <x v="5"/>
    <x v="0"/>
    <s v="Нут"/>
    <s v="Добавки"/>
    <n v="2.7E-2"/>
    <n v="27"/>
    <n v="5.94"/>
    <n v="1000"/>
    <n v="27"/>
    <n v="5.94"/>
    <n v="0.15"/>
    <n v="0.7"/>
    <n v="11.880000000000003"/>
    <n v="4.8917647058823546"/>
    <m/>
    <m/>
    <n v="0"/>
    <m/>
  </r>
  <r>
    <x v="60"/>
    <x v="5"/>
    <x v="7"/>
    <s v="Молоко"/>
    <s v="Добавки"/>
    <n v="0.3"/>
    <n v="300"/>
    <n v="19.997999999999998"/>
    <n v="1000"/>
    <n v="300"/>
    <n v="19.997999999999998"/>
    <n v="0.05"/>
    <n v="0.5"/>
    <n v="31.57578947368421"/>
    <n v="10.525263157894738"/>
    <m/>
    <m/>
    <s v="Да"/>
    <m/>
  </r>
  <r>
    <x v="60"/>
    <x v="5"/>
    <x v="7"/>
    <s v="Яйцо"/>
    <s v="Добавки"/>
    <n v="0.06"/>
    <n v="60"/>
    <n v="6.6666666666666661"/>
    <n v="1000"/>
    <n v="60"/>
    <n v="6.6666666666666661"/>
    <n v="0"/>
    <n v="0.5"/>
    <n v="10"/>
    <n v="3.3333333333333339"/>
    <m/>
    <m/>
    <s v="Да"/>
    <m/>
  </r>
  <r>
    <x v="60"/>
    <x v="5"/>
    <x v="7"/>
    <s v="Мука пшеничная"/>
    <s v="Добавки"/>
    <n v="0.35"/>
    <n v="350"/>
    <n v="16.939999999999998"/>
    <n v="1000"/>
    <n v="350"/>
    <n v="16.939999999999998"/>
    <n v="0"/>
    <n v="0.5"/>
    <n v="25.409999999999997"/>
    <n v="8.4699999999999989"/>
    <m/>
    <m/>
    <s v="Да"/>
    <m/>
  </r>
  <r>
    <x v="60"/>
    <x v="5"/>
    <x v="7"/>
    <s v="Дрожжи"/>
    <s v="Добавки"/>
    <n v="4.0000000000000001E-3"/>
    <n v="4"/>
    <n v="2.3370786516853932"/>
    <n v="1000"/>
    <n v="4"/>
    <n v="2.3370786516853932"/>
    <n v="0"/>
    <n v="0.5"/>
    <n v="3.5056179775280896"/>
    <n v="1.1685393258426964"/>
    <m/>
    <m/>
    <s v="Нет"/>
    <m/>
  </r>
  <r>
    <x v="60"/>
    <x v="5"/>
    <x v="7"/>
    <s v="Сахар"/>
    <s v="Специи"/>
    <n v="0.03"/>
    <n v="30"/>
    <n v="2.4264705882352944"/>
    <n v="1000"/>
    <n v="30"/>
    <n v="2.4264705882352944"/>
    <n v="0"/>
    <n v="0.5"/>
    <n v="3.6397058823529416"/>
    <n v="1.2132352941176472"/>
    <m/>
    <m/>
    <s v="Да"/>
    <m/>
  </r>
  <r>
    <x v="60"/>
    <x v="5"/>
    <x v="7"/>
    <s v="Соль пищевая"/>
    <s v="Специи"/>
    <n v="5.0000000000000001E-3"/>
    <n v="5"/>
    <n v="0.1925"/>
    <n v="1000"/>
    <n v="5"/>
    <n v="0.1925"/>
    <n v="0"/>
    <n v="0.5"/>
    <n v="0.28875000000000001"/>
    <n v="9.6250000000000002E-2"/>
    <m/>
    <m/>
    <s v="Да"/>
    <m/>
  </r>
  <r>
    <x v="60"/>
    <x v="5"/>
    <x v="7"/>
    <s v="Подсолнечное масло"/>
    <s v="Добавки"/>
    <n v="0.05"/>
    <n v="50"/>
    <n v="8.25"/>
    <n v="1000"/>
    <n v="50"/>
    <n v="8.25"/>
    <n v="0"/>
    <n v="0.5"/>
    <n v="12.375"/>
    <n v="4.125"/>
    <m/>
    <m/>
    <s v="Да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F5650-48F6-49C3-8F11-157A51CF6A98}" name="Сводная таблица1" cacheId="0" applyNumberFormats="0" applyBorderFormats="0" applyFontFormats="0" applyPatternFormats="0" applyAlignmentFormats="0" applyWidthHeightFormats="1" dataCaption="Значения" updatedVersion="8" minRefreshableVersion="3" colGrandTotals="0" itemPrintTitles="1" createdVersion="8" indent="0" outline="1" outlineData="1" multipleFieldFilters="0">
  <location ref="A3:B175" firstHeaderRow="1" firstDataRow="1" firstDataCol="1"/>
  <pivotFields count="5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2">
    <field x="0"/>
    <field x="2"/>
  </rowFields>
  <rowItems count="172">
    <i>
      <x/>
    </i>
    <i r="1">
      <x v="3"/>
    </i>
    <i r="1">
      <x/>
    </i>
    <i r="1">
      <x v="1"/>
    </i>
    <i r="1">
      <x v="7"/>
    </i>
    <i r="1">
      <x v="8"/>
    </i>
    <i r="1">
      <x v="10"/>
    </i>
    <i r="1">
      <x v="9"/>
    </i>
    <i r="1">
      <x v="4"/>
    </i>
    <i r="1">
      <x v="6"/>
    </i>
    <i r="1">
      <x v="5"/>
    </i>
    <i r="1">
      <x v="2"/>
    </i>
    <i>
      <x v="1"/>
    </i>
    <i r="1">
      <x v="12"/>
    </i>
    <i r="1">
      <x v="11"/>
    </i>
    <i r="1">
      <x/>
    </i>
    <i r="1">
      <x v="8"/>
    </i>
    <i r="1">
      <x v="7"/>
    </i>
    <i r="1">
      <x v="9"/>
    </i>
    <i r="1">
      <x v="6"/>
    </i>
    <i r="1">
      <x v="10"/>
    </i>
    <i r="1">
      <x v="4"/>
    </i>
    <i r="1">
      <x v="5"/>
    </i>
    <i r="1">
      <x v="2"/>
    </i>
    <i>
      <x v="2"/>
    </i>
    <i r="1">
      <x v="3"/>
    </i>
    <i r="1">
      <x v="13"/>
    </i>
    <i r="1">
      <x/>
    </i>
    <i r="1">
      <x v="8"/>
    </i>
    <i r="1">
      <x v="7"/>
    </i>
    <i r="1">
      <x v="9"/>
    </i>
    <i r="1">
      <x v="6"/>
    </i>
    <i r="1">
      <x v="4"/>
    </i>
    <i r="1">
      <x v="14"/>
    </i>
    <i r="1">
      <x v="10"/>
    </i>
    <i r="1">
      <x v="5"/>
    </i>
    <i>
      <x v="3"/>
    </i>
    <i r="1">
      <x v="16"/>
    </i>
    <i r="1">
      <x v="13"/>
    </i>
    <i r="1">
      <x/>
    </i>
    <i r="1">
      <x v="18"/>
    </i>
    <i r="1">
      <x v="17"/>
    </i>
    <i r="1">
      <x v="7"/>
    </i>
    <i r="1">
      <x v="9"/>
    </i>
    <i r="1">
      <x v="5"/>
    </i>
    <i r="1">
      <x v="15"/>
    </i>
    <i>
      <x v="4"/>
    </i>
    <i r="1">
      <x v="3"/>
    </i>
    <i r="1">
      <x/>
    </i>
    <i r="1">
      <x v="7"/>
    </i>
    <i r="1">
      <x v="10"/>
    </i>
    <i r="1">
      <x v="21"/>
    </i>
    <i r="1">
      <x v="9"/>
    </i>
    <i r="1">
      <x v="6"/>
    </i>
    <i r="1">
      <x v="4"/>
    </i>
    <i r="1">
      <x v="20"/>
    </i>
    <i r="1">
      <x v="19"/>
    </i>
    <i>
      <x v="5"/>
    </i>
    <i r="1">
      <x v="22"/>
    </i>
    <i r="1">
      <x/>
    </i>
    <i r="1">
      <x v="10"/>
    </i>
    <i r="1">
      <x v="7"/>
    </i>
    <i r="1">
      <x v="8"/>
    </i>
    <i r="1">
      <x v="4"/>
    </i>
    <i r="1">
      <x v="14"/>
    </i>
    <i r="1">
      <x v="5"/>
    </i>
    <i>
      <x v="6"/>
    </i>
    <i r="1">
      <x v="1"/>
    </i>
    <i r="1">
      <x v="3"/>
    </i>
    <i r="1">
      <x/>
    </i>
    <i r="1">
      <x v="8"/>
    </i>
    <i r="1">
      <x v="7"/>
    </i>
    <i r="1">
      <x v="10"/>
    </i>
    <i r="1">
      <x v="23"/>
    </i>
    <i r="1">
      <x v="4"/>
    </i>
    <i r="1">
      <x v="9"/>
    </i>
    <i r="1">
      <x v="24"/>
    </i>
    <i r="1">
      <x v="25"/>
    </i>
    <i r="1">
      <x v="21"/>
    </i>
    <i>
      <x v="7"/>
    </i>
    <i r="1">
      <x v="3"/>
    </i>
    <i r="1">
      <x v="1"/>
    </i>
    <i r="1">
      <x v="13"/>
    </i>
    <i r="1">
      <x v="8"/>
    </i>
    <i r="1">
      <x v="7"/>
    </i>
    <i r="1">
      <x v="26"/>
    </i>
    <i r="1">
      <x v="6"/>
    </i>
    <i r="1">
      <x v="10"/>
    </i>
    <i r="1">
      <x v="20"/>
    </i>
    <i r="1">
      <x v="4"/>
    </i>
    <i>
      <x v="8"/>
    </i>
    <i r="1">
      <x v="3"/>
    </i>
    <i r="1">
      <x v="13"/>
    </i>
    <i r="1">
      <x v="27"/>
    </i>
    <i r="1">
      <x/>
    </i>
    <i r="1">
      <x v="17"/>
    </i>
    <i r="1">
      <x v="8"/>
    </i>
    <i r="1">
      <x v="7"/>
    </i>
    <i r="1">
      <x v="6"/>
    </i>
    <i r="1">
      <x v="4"/>
    </i>
    <i r="1">
      <x v="5"/>
    </i>
    <i r="1">
      <x v="2"/>
    </i>
    <i>
      <x v="9"/>
    </i>
    <i r="1">
      <x v="16"/>
    </i>
    <i r="1">
      <x v="28"/>
    </i>
    <i r="1">
      <x/>
    </i>
    <i r="1">
      <x v="7"/>
    </i>
    <i r="1">
      <x v="6"/>
    </i>
    <i r="1">
      <x v="24"/>
    </i>
    <i r="1">
      <x v="10"/>
    </i>
    <i r="1">
      <x v="5"/>
    </i>
    <i r="1">
      <x v="2"/>
    </i>
    <i r="1">
      <x v="15"/>
    </i>
    <i>
      <x v="10"/>
    </i>
    <i r="1">
      <x v="16"/>
    </i>
    <i r="1">
      <x/>
    </i>
    <i r="1">
      <x v="30"/>
    </i>
    <i r="1">
      <x v="27"/>
    </i>
    <i r="1">
      <x v="29"/>
    </i>
    <i r="1">
      <x v="9"/>
    </i>
    <i r="1">
      <x v="5"/>
    </i>
    <i>
      <x v="11"/>
    </i>
    <i r="1">
      <x v="3"/>
    </i>
    <i r="1">
      <x v="13"/>
    </i>
    <i r="1">
      <x v="28"/>
    </i>
    <i r="1">
      <x/>
    </i>
    <i r="1">
      <x v="8"/>
    </i>
    <i r="1">
      <x v="10"/>
    </i>
    <i r="1">
      <x v="7"/>
    </i>
    <i r="1">
      <x v="9"/>
    </i>
    <i r="1">
      <x v="6"/>
    </i>
    <i r="1">
      <x v="4"/>
    </i>
    <i r="1">
      <x v="15"/>
    </i>
    <i>
      <x v="12"/>
    </i>
    <i r="1">
      <x v="1"/>
    </i>
    <i r="1">
      <x v="13"/>
    </i>
    <i r="1">
      <x v="3"/>
    </i>
    <i r="1">
      <x v="8"/>
    </i>
    <i r="1">
      <x v="7"/>
    </i>
    <i r="1">
      <x v="10"/>
    </i>
    <i r="1">
      <x v="4"/>
    </i>
    <i r="1">
      <x v="19"/>
    </i>
    <i r="1">
      <x v="14"/>
    </i>
    <i r="1">
      <x v="31"/>
    </i>
    <i r="1">
      <x v="6"/>
    </i>
    <i r="1">
      <x v="2"/>
    </i>
    <i>
      <x v="13"/>
    </i>
    <i r="1">
      <x v="33"/>
    </i>
    <i r="1">
      <x v="8"/>
    </i>
    <i r="1">
      <x/>
    </i>
    <i r="1">
      <x v="6"/>
    </i>
    <i r="1">
      <x v="10"/>
    </i>
    <i r="1">
      <x v="24"/>
    </i>
    <i r="1">
      <x v="25"/>
    </i>
    <i r="1">
      <x v="2"/>
    </i>
    <i r="1">
      <x v="21"/>
    </i>
    <i r="1">
      <x v="32"/>
    </i>
    <i>
      <x v="14"/>
    </i>
    <i r="1">
      <x v="1"/>
    </i>
    <i r="1">
      <x v="37"/>
    </i>
    <i r="1">
      <x v="3"/>
    </i>
    <i r="1">
      <x/>
    </i>
    <i r="1">
      <x v="34"/>
    </i>
    <i r="1">
      <x v="35"/>
    </i>
    <i r="1">
      <x v="8"/>
    </i>
    <i r="1">
      <x v="7"/>
    </i>
    <i r="1">
      <x v="10"/>
    </i>
    <i r="1">
      <x v="36"/>
    </i>
    <i r="1">
      <x v="4"/>
    </i>
    <i r="1">
      <x v="5"/>
    </i>
    <i r="1">
      <x v="15"/>
    </i>
    <i t="grand">
      <x/>
    </i>
  </rowItems>
  <colItems count="1">
    <i/>
  </colItems>
  <dataFields count="1">
    <dataField name="Вес" fld="1" baseField="0" baseItem="0" numFmtId="166"/>
  </dataFields>
  <formats count="1">
    <format dxfId="23">
      <pivotArea outline="0" collapsedLevelsAreSubtotals="1" fieldPosition="0"/>
    </format>
  </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>
      <members count="1" level="1">
        <member name="[Рецепты].[Вид].&amp;[Колбаса]"/>
      </members>
    </pivotHierarchy>
    <pivotHierarchy multipleItemSelectionAllowed="1" dragToData="1">
      <members count="7" level="1">
        <member name="[Рецепты].[Способ].&amp;[Вареное]"/>
        <member name="[Рецепты].[Способ].&amp;[ГК]"/>
        <member name="[Рецепты].[Способ].&amp;[Еда]"/>
        <member name="[Рецепты].[Способ].&amp;[Провесная]"/>
        <member name="[Рецепты].[Способ].&amp;[Соленое]"/>
        <member name="[Рецепты].[Способ].&amp;[Сыр]"/>
        <member name="[Рецепты].[Способ].&amp;[ХК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Вес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РК.xlsx!Рецепты">
        <x15:activeTabTopLevelEntity name="[Рецепты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85063-6063-4F46-B30B-EA7F3E358890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6">
  <location ref="A1:F68" firstHeaderRow="0" firstDataRow="1" firstDataCol="1"/>
  <pivotFields count="25">
    <pivotField axis="axisRow" showAll="0" sortType="descending" defaultSubtotal="0">
      <items count="68">
        <item m="1" x="61"/>
        <item x="47"/>
        <item x="46"/>
        <item x="40"/>
        <item x="51"/>
        <item x="15"/>
        <item x="22"/>
        <item x="13"/>
        <item x="7"/>
        <item x="4"/>
        <item x="25"/>
        <item x="0"/>
        <item m="1" x="63"/>
        <item m="1" x="64"/>
        <item x="21"/>
        <item x="8"/>
        <item m="1" x="65"/>
        <item x="36"/>
        <item x="28"/>
        <item x="6"/>
        <item x="27"/>
        <item x="20"/>
        <item x="30"/>
        <item x="37"/>
        <item x="1"/>
        <item x="3"/>
        <item x="32"/>
        <item x="14"/>
        <item x="52"/>
        <item x="24"/>
        <item x="31"/>
        <item x="9"/>
        <item m="1" x="66"/>
        <item x="53"/>
        <item x="34"/>
        <item x="23"/>
        <item x="39"/>
        <item x="49"/>
        <item x="50"/>
        <item x="45"/>
        <item x="48"/>
        <item x="19"/>
        <item m="1" x="67"/>
        <item x="10"/>
        <item x="2"/>
        <item x="26"/>
        <item m="1" x="62"/>
        <item x="42"/>
        <item x="41"/>
        <item x="11"/>
        <item x="43"/>
        <item x="5"/>
        <item x="44"/>
        <item x="18"/>
        <item x="16"/>
        <item x="29"/>
        <item x="33"/>
        <item x="17"/>
        <item x="38"/>
        <item x="35"/>
        <item x="12"/>
        <item x="54"/>
        <item x="55"/>
        <item x="56"/>
        <item x="57"/>
        <item x="58"/>
        <item x="59"/>
        <item x="60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axis="axisRow" showAll="0" sortType="ascending" defaultSubtotal="0">
      <items count="6">
        <item x="5"/>
        <item x="0"/>
        <item x="3"/>
        <item x="1"/>
        <item x="4"/>
        <item x="2"/>
      </items>
    </pivotField>
    <pivotField showAll="0" defaultSubtotal="0">
      <items count="9">
        <item x="0"/>
        <item x="1"/>
        <item x="7"/>
        <item x="8"/>
        <item x="5"/>
        <item x="6"/>
        <item x="4"/>
        <item x="3"/>
        <item x="2"/>
      </items>
    </pivotField>
    <pivotField showAll="0" defaultSubtotal="0"/>
    <pivotField showAll="0" defaultSubtotal="0"/>
    <pivotField numFmtId="9" showAll="0" defaultSubtotal="0"/>
    <pivotField numFmtId="166" showAll="0" defaultSubtotal="0"/>
    <pivotField dataField="1" numFmtId="164" showAll="0" defaultSubtotal="0"/>
    <pivotField numFmtId="166" showAll="0" defaultSubtotal="0"/>
    <pivotField numFmtId="166" showAll="0" defaultSubtotal="0"/>
    <pivotField numFmtId="164" showAll="0" defaultSubtotal="0"/>
    <pivotField dataField="1" numFmtId="9" showAll="0" defaultSubtotal="0"/>
    <pivotField dataField="1" numFmtId="9" showAll="0" defaultSubtotal="0"/>
    <pivotField numFmtId="164" showAll="0" defaultSubtotal="0"/>
    <pivotField dataField="1" numFmtId="164" showAll="0" defaultSubtotal="0"/>
    <pivotField showAll="0" defaultSubtotal="0"/>
    <pivotField showAll="0" defaultSubtotal="0"/>
    <pivotField subtotalTop="0" showAll="0" defaultSubtotal="0"/>
    <pivotField subtotalTop="0" showAll="0" defaultSubtotal="0"/>
    <pivotField dataField="1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  <pivotField subtotalTop="0" dragToRow="0" dragToCol="0" dragToPage="0" showAll="0" defaultSubtotal="0"/>
  </pivotFields>
  <rowFields count="2">
    <field x="1"/>
    <field x="0"/>
  </rowFields>
  <rowItems count="67">
    <i>
      <x/>
    </i>
    <i r="1">
      <x v="36"/>
    </i>
    <i r="1">
      <x v="66"/>
    </i>
    <i r="1">
      <x v="61"/>
    </i>
    <i r="1">
      <x v="52"/>
    </i>
    <i r="1">
      <x v="4"/>
    </i>
    <i r="1">
      <x v="28"/>
    </i>
    <i r="1">
      <x v="63"/>
    </i>
    <i r="1">
      <x v="67"/>
    </i>
    <i r="1">
      <x v="38"/>
    </i>
    <i>
      <x v="1"/>
    </i>
    <i r="1">
      <x v="31"/>
    </i>
    <i r="1">
      <x v="15"/>
    </i>
    <i r="1">
      <x v="26"/>
    </i>
    <i r="1">
      <x v="37"/>
    </i>
    <i r="1">
      <x v="64"/>
    </i>
    <i r="1">
      <x v="57"/>
    </i>
    <i r="1">
      <x v="54"/>
    </i>
    <i r="1">
      <x v="53"/>
    </i>
    <i r="1">
      <x v="43"/>
    </i>
    <i r="1">
      <x v="60"/>
    </i>
    <i r="1">
      <x v="21"/>
    </i>
    <i r="1">
      <x v="39"/>
    </i>
    <i r="1">
      <x v="7"/>
    </i>
    <i r="1">
      <x v="30"/>
    </i>
    <i r="1">
      <x v="27"/>
    </i>
    <i r="1">
      <x v="18"/>
    </i>
    <i r="1">
      <x v="33"/>
    </i>
    <i r="1">
      <x v="11"/>
    </i>
    <i r="1">
      <x v="14"/>
    </i>
    <i r="1">
      <x v="5"/>
    </i>
    <i r="1">
      <x v="59"/>
    </i>
    <i r="1">
      <x v="29"/>
    </i>
    <i r="1">
      <x v="6"/>
    </i>
    <i r="1">
      <x v="17"/>
    </i>
    <i>
      <x v="2"/>
    </i>
    <i r="1">
      <x v="3"/>
    </i>
    <i r="1">
      <x v="62"/>
    </i>
    <i r="1">
      <x v="47"/>
    </i>
    <i r="1">
      <x v="51"/>
    </i>
    <i r="1">
      <x v="50"/>
    </i>
    <i r="1">
      <x v="8"/>
    </i>
    <i r="1">
      <x v="48"/>
    </i>
    <i r="1">
      <x v="19"/>
    </i>
    <i r="1">
      <x v="49"/>
    </i>
    <i>
      <x v="3"/>
    </i>
    <i r="1">
      <x v="22"/>
    </i>
    <i r="1">
      <x v="10"/>
    </i>
    <i r="1">
      <x v="65"/>
    </i>
    <i r="1">
      <x v="24"/>
    </i>
    <i r="1">
      <x v="55"/>
    </i>
    <i r="1">
      <x v="44"/>
    </i>
    <i r="1">
      <x v="23"/>
    </i>
    <i>
      <x v="4"/>
    </i>
    <i r="1">
      <x v="56"/>
    </i>
    <i r="1">
      <x v="34"/>
    </i>
    <i>
      <x v="5"/>
    </i>
    <i r="1">
      <x v="1"/>
    </i>
    <i r="1">
      <x v="2"/>
    </i>
    <i r="1">
      <x v="35"/>
    </i>
    <i r="1">
      <x v="58"/>
    </i>
    <i r="1">
      <x v="9"/>
    </i>
    <i r="1">
      <x v="20"/>
    </i>
    <i r="1">
      <x v="45"/>
    </i>
    <i r="1">
      <x v="40"/>
    </i>
    <i r="1">
      <x v="41"/>
    </i>
    <i r="1">
      <x v="25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Затраты" fld="7" baseField="1" baseItem="0" numFmtId="164"/>
    <dataField name="Наценка" fld="12" subtotal="max" baseField="0" baseItem="0" numFmtId="10"/>
    <dataField name="Потери" fld="11" subtotal="max" baseField="0" baseItem="0" numFmtId="10"/>
    <dataField name="Прибыль" fld="14" baseField="0" baseItem="0" numFmtId="167"/>
    <dataField name="Цена/кг" fld="19" baseField="0" baseItem="21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Вид" xr10:uid="{D53D8AF7-AF18-479E-B7CE-8949D63D189E}" sourceName="[Рецепты].[Вид]">
  <pivotTables>
    <pivotTable tabId="11" name="Сводная таблица1"/>
  </pivotTables>
  <data>
    <olap pivotCacheId="1415329862">
      <levels count="2">
        <level uniqueName="[Рецепты].[Вид].[(All)]" sourceCaption="(All)" count="0"/>
        <level uniqueName="[Рецепты].[Вид].[Вид]" sourceCaption="Вид" count="6">
          <ranges>
            <range startItem="0">
              <i n="[Рецепты].[Вид].&amp;[Еда]" c="Еда"/>
              <i n="[Рецепты].[Вид].&amp;[Колбаса]" c="Колбаса"/>
              <i n="[Рецепты].[Вид].&amp;[Рыба]" c="Рыба"/>
              <i n="[Рецепты].[Вид].&amp;[Сосиски]" c="Сосиски"/>
              <i n="[Рецепты].[Вид].&amp;[Сыр]" c="Сыр"/>
              <i n="[Рецепты].[Вид].&amp;[Цельное]" c="Цельное"/>
            </range>
          </ranges>
        </level>
      </levels>
      <selections count="1">
        <selection n="[Рецепты].[Вид].&amp;[Колбаса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Название" xr10:uid="{27B32BA1-20FD-430C-A104-FFC404056DF8}" sourceName="[Рецепты].[Название]">
  <pivotTables>
    <pivotTable tabId="11" name="Сводная таблица1"/>
  </pivotTables>
  <data>
    <olap pivotCacheId="1415329862">
      <levels count="2">
        <level uniqueName="[Рецепты].[Название].[(All)]" sourceCaption="(All)" count="0"/>
        <level uniqueName="[Рецепты].[Название].[Название]" sourceCaption="Название" count="60">
          <ranges>
            <range startItem="0">
              <i n="[Рецепты].[Название].&amp;[Ветчина Мраморная]" c="Ветчина Мраморная"/>
              <i n="[Рецепты].[Название].&amp;[Ветчина Семейная]" c="Ветчина Семейная"/>
              <i n="[Рецепты].[Название].&amp;[Ветчинно-рубленная]" c="Ветчинно-рубленная"/>
              <i n="[Рецепты].[Название].&amp;[Докторская]" c="Докторская"/>
              <i n="[Рецепты].[Название].&amp;[Дрогобычская]" c="Дрогобычская"/>
              <i n="[Рецепты].[Название].&amp;[Зельц]" c="Зельц"/>
              <i n="[Рецепты].[Название].&amp;[Кабаносси]" c="Кабаносси"/>
              <i n="[Рецепты].[Название].&amp;[Краковская]" c="Краковская"/>
              <i n="[Рецепты].[Название].&amp;[Любительская]" c="Любительская"/>
              <i n="[Рецепты].[Название].&amp;[Мортаделла]" c="Мортаделла"/>
              <i n="[Рецепты].[Название].&amp;[Мортаделла Фисташка]" c="Мортаделла Фисташка"/>
              <i n="[Рецепты].[Название].&amp;[Мясной хлеб]" c="Мясной хлеб"/>
              <i n="[Рецепты].[Название].&amp;[Полтавская]" c="Полтавская"/>
              <i n="[Рецепты].[Название].&amp;[Щучья]" c="Щучья"/>
              <i n="[Рецепты].[Название].&amp;[Языковая кровяная]" c="Языковая кровяная"/>
              <i n="[Рецепты].[Название].&amp;[Бекон мокрый посол]" c="Бекон мокрый посол" nd="1"/>
              <i n="[Рецепты].[Название].&amp;[Бекон сухой посол]" c="Бекон сухой посол" nd="1"/>
              <i n="[Рецепты].[Название].&amp;[Белый амур вяленый]" c="Белый амур вяленый" nd="1"/>
              <i n="[Рецепты].[Название].&amp;[Бешамель]" c="Бешамель" nd="1"/>
              <i n="[Рецепты].[Название].&amp;[Блины на молоке]" c="Блины на молоке" nd="1"/>
              <i n="[Рецепты].[Название].&amp;[Брауншвейгская]" c="Брауншвейгская" nd="1"/>
              <i n="[Рецепты].[Название].&amp;[Венские]" c="Венские" nd="1"/>
              <i n="[Рецепты].[Название].&amp;[Горбуша ХК]" c="Горбуша ХК" nd="1"/>
              <i n="[Рецепты].[Название].&amp;[Грудинка свиная ГК]" c="Грудинка свиная ГК" nd="1"/>
              <i n="[Рецепты].[Название].&amp;[Детские Молочные]" c="Детские Молочные" nd="1"/>
              <i n="[Рецепты].[Название].&amp;[Еврейская]" c="Еврейская" nd="1"/>
              <i n="[Рецепты].[Название].&amp;[Карась ХК]" c="Карась ХК" nd="1"/>
              <i n="[Рецепты].[Название].&amp;[Корейка ГК]" c="Корейка ГК" nd="1"/>
              <i n="[Рецепты].[Название].&amp;[Крепыш]" c="Крепыш" nd="1"/>
              <i n="[Рецепты].[Название].&amp;[Куриные сливочные]" c="Куриные сливочные" nd="1"/>
              <i n="[Рецепты].[Название].&amp;[Куриные Сырные]" c="Куриные Сырные" nd="1"/>
              <i n="[Рецепты].[Название].&amp;[Курица ГК]" c="Курица ГК" nd="1"/>
              <i n="[Рецепты].[Название].&amp;[Луканка]" c="Луканка" nd="1"/>
              <i n="[Рецепты].[Название].&amp;[Морковь по-корейски]" c="Морковь по-корейски" nd="1"/>
              <i n="[Рецепты].[Название].&amp;[Московская]" c="Московская" nd="1"/>
              <i n="[Рецепты].[Название].&amp;[Панир]" c="Панир" nd="1"/>
              <i n="[Рецепты].[Название].&amp;[Панчетта Арротолатта]" c="Панчетта Арротолатта" nd="1"/>
              <i n="[Рецепты].[Название].&amp;[Пельмени свин/гов]" c="Пельмени свин/гов" nd="1"/>
              <i n="[Рецепты].[Название].&amp;[Пеперони]" c="Пеперони" nd="1"/>
              <i n="[Рецепты].[Название].&amp;[Пицца тесто]" c="Пицца тесто" nd="1"/>
              <i n="[Рецепты].[Название].&amp;[Плов казан]" c="Плов казан" nd="1"/>
              <i n="[Рецепты].[Название].&amp;[Рулька]" c="Рулька" nd="1"/>
              <i n="[Рецепты].[Название].&amp;[Сало ГОСТ]" c="Сало ГОСТ" nd="1"/>
              <i n="[Рецепты].[Название].&amp;[Салями Милано]" c="Салями Милано" nd="1"/>
              <i n="[Рецепты].[Название].&amp;[Сардельки Свиные]" c="Сардельки Свиные" nd="1"/>
              <i n="[Рецепты].[Название].&amp;[Свиные ребра ГК]" c="Свиные ребра ГК" nd="1"/>
              <i n="[Рецепты].[Название].&amp;[Сельдь вяленая &quot;Киперс&quot;]" c="Сельдь вяленая &quot;Киперс&quot;" nd="1"/>
              <i n="[Рецепты].[Название].&amp;[Сельдь провесная]" c="Сельдь провесная" nd="1"/>
              <i n="[Рецепты].[Название].&amp;[Сельдь пряная]" c="Сельдь пряная" nd="1"/>
              <i n="[Рецепты].[Название].&amp;[Скумбрия провесная]" c="Скумбрия провесная" nd="1"/>
              <i n="[Рецепты].[Название].&amp;[Скумбрия ХК]" c="Скумбрия ХК" nd="1"/>
              <i n="[Рецепты].[Название].&amp;[Суп Э Джо]" c="Суп Э Джо" nd="1"/>
              <i n="[Рецепты].[Название].&amp;[Финоккьона]" c="Финоккьона" nd="1"/>
              <i n="[Рецепты].[Название].&amp;[Форель слабосолёная]" c="Форель слабосолёная" nd="1"/>
              <i n="[Рецепты].[Название].&amp;[Фуэт]" c="Фуэт" nd="1"/>
              <i n="[Рецепты].[Название].&amp;[Холодец]" c="Холодец" nd="1"/>
              <i n="[Рецепты].[Название].&amp;[Хотдожные к пиву]" c="Хотдожные к пиву" nd="1"/>
              <i n="[Рецепты].[Название].&amp;[Чечил косичка]" c="Чечил косичка" nd="1"/>
              <i n="[Рецепты].[Название].&amp;[Чоризо]" c="Чоризо" nd="1"/>
              <i n="[Рецепты].[Название].&amp;[Шашлык свиной]" c="Шашлык свиной" nd="1"/>
            </range>
          </ranges>
        </level>
      </levels>
      <selections count="1">
        <selection n="[Рецепты].[Название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Рецепты].[Название].[Название]" count="45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пособ2" xr10:uid="{DD6216F7-B26F-4055-AB6F-46137E6454CB}" sourceName="[Рецепты].[Способ]">
  <pivotTables>
    <pivotTable tabId="11" name="Сводная таблица1"/>
  </pivotTables>
  <data>
    <olap pivotCacheId="1415329862">
      <levels count="2">
        <level uniqueName="[Рецепты].[Способ].[(All)]" sourceCaption="(All)" count="0"/>
        <level uniqueName="[Рецепты].[Способ].[Способ]" sourceCaption="Способ" count="9">
          <ranges>
            <range startItem="0">
              <i n="[Рецепты].[Способ].&amp;[Вареное]" c="Вареное"/>
              <i n="[Рецепты].[Способ].&amp;[ГК]" c="ГК"/>
              <i n="[Рецепты].[Способ].&amp;[Сыровяленное]" c="Сыровяленное"/>
              <i n="[Рецепты].[Способ].&amp;[Сырокопченое]" c="Сырокопченое"/>
              <i n="[Рецепты].[Способ].&amp;[Еда]" c="Еда" nd="1"/>
              <i n="[Рецепты].[Способ].&amp;[Провесная]" c="Провесная" nd="1"/>
              <i n="[Рецепты].[Способ].&amp;[Соленое]" c="Соленое" nd="1"/>
              <i n="[Рецепты].[Способ].&amp;[Сыр]" c="Сыр" nd="1"/>
              <i n="[Рецепты].[Способ].&amp;[ХК]" c="ХК" nd="1"/>
            </range>
          </ranges>
        </level>
      </levels>
      <selections count="7">
        <selection n="[Рецепты].[Способ].&amp;[Вареное]"/>
        <selection n="[Рецепты].[Способ].&amp;[ГК]"/>
        <selection n="[Рецепты].[Способ].&amp;[Еда]"/>
        <selection n="[Рецепты].[Способ].&amp;[Провесная]"/>
        <selection n="[Рецепты].[Способ].&amp;[Соленое]"/>
        <selection n="[Рецепты].[Способ].&amp;[Сыр]"/>
        <selection n="[Рецепты].[Способ].&amp;[ХК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Рецепты].[Способ].[Способ]" count="5"/>
      </x15:slicerCacheHideItemsWithNoData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Вид1" xr10:uid="{8A72006B-77F9-4AD1-9CE1-79F4A389ECEB}" sourceName="Вид">
  <pivotTables>
    <pivotTable tabId="7" name="Сводная таблица1"/>
  </pivotTables>
  <data>
    <tabular pivotCacheId="1967590471">
      <items count="6">
        <i x="5" s="1"/>
        <i x="0" s="1"/>
        <i x="3" s="1"/>
        <i x="1" s="1"/>
        <i x="4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пособ" xr10:uid="{94F432DE-7DF9-416C-A020-20A16C1F2FDA}" sourceName="Способ">
  <pivotTables>
    <pivotTable tabId="7" name="Сводная таблица1"/>
  </pivotTables>
  <data>
    <tabular pivotCacheId="1967590471">
      <items count="9">
        <i x="0" s="1"/>
        <i x="1" s="1"/>
        <i x="7" s="1"/>
        <i x="8" s="1"/>
        <i x="5" s="1"/>
        <i x="6" s="1"/>
        <i x="4" s="1"/>
        <i x="3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Наличие" xr10:uid="{C66E695B-48A5-4E9C-9530-AF43A9E2A731}" sourceName="Наличие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де_покупать" xr10:uid="{5C098F13-CE8B-4A96-A900-A9BAF8EE1C22}" sourceName="Где покупать">
  <extLst>
    <x:ext xmlns:x15="http://schemas.microsoft.com/office/spreadsheetml/2010/11/main" uri="{2F2917AC-EB37-4324-AD4E-5DD8C200BD13}">
      <x15:tableSlicerCache tableId="1" column="4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Название1" xr10:uid="{10AB7F10-DF26-4A66-AED0-C2ABCF3CE4AD}" sourceName="Название">
  <extLst>
    <x:ext xmlns:x15="http://schemas.microsoft.com/office/spreadsheetml/2010/11/main" uri="{2F2917AC-EB37-4324-AD4E-5DD8C200BD13}">
      <x15:tableSlicerCache tableId="4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Вид2" xr10:uid="{C9225A9C-86A5-4560-8406-87470347195D}" sourceName="Вид">
  <extLst>
    <x:ext xmlns:x15="http://schemas.microsoft.com/office/spreadsheetml/2010/11/main" uri="{2F2917AC-EB37-4324-AD4E-5DD8C200BD13}">
      <x15:tableSlicerCache tableId="4" column="2"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пособ1" xr10:uid="{517C219B-3BB2-4F6D-AC99-C8D5F8288033}" sourceName="Способ">
  <extLst>
    <x:ext xmlns:x15="http://schemas.microsoft.com/office/spreadsheetml/2010/11/main" uri="{2F2917AC-EB37-4324-AD4E-5DD8C200BD13}">
      <x15:tableSlicerCache tableId="4" column="3"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ырье" xr10:uid="{0976791A-1F25-4CD4-B19D-16F7EF7BAB3F}" sourceName="Сырье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Наличие" xr10:uid="{4F65EA7E-1FC1-4D54-83A3-1A85695E7D27}" cache="Срез_Наличие" caption="Наличие" rowHeight="273050"/>
  <slicer name="Где покупать" xr10:uid="{BAEBD609-A32C-4340-BC3E-BF3F76A99948}" cache="Срез_Где_покупать" caption="Где покупать" rowHeight="273050"/>
  <slicer name="Сырье" xr10:uid="{8EC09EF1-CFFB-4111-A09F-8D6F131FEB29}" cache="Срез_Сырье" caption="Сырье" columnCount="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Название 1" xr10:uid="{ABEB0A23-7EF4-45F4-98BB-FB481694C71C}" cache="Срез_Название1" caption="Название" columnCount="5" rowHeight="234950"/>
  <slicer name="Вид 2" xr10:uid="{48EB7481-8AE9-4D85-932E-E0BCE3E61656}" cache="Срез_Вид2" caption="Вид" rowHeight="234950"/>
  <slicer name="Способ 1" xr10:uid="{85246AAF-69EC-41A0-A278-33976DB0C3D8}" cache="Срез_Способ1" caption="Способ" columnCount="2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Вид" xr10:uid="{C59ACE1E-E074-4B8F-9025-D6DF55D20DE0}" cache="Срез_Вид" caption="Вид" level="1" rowHeight="234950"/>
  <slicer name="Название" xr10:uid="{C706A96C-2503-44F1-A7C5-B5F9347E8F1A}" cache="Срез_Название" caption="Название" columnCount="4" level="1" rowHeight="234950"/>
  <slicer name="Способ 2" xr10:uid="{6746D893-AD33-4D71-8430-98F0DEF0BCB7}" cache="Срез_Способ2" caption="Способ" columnCount="5" level="1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Вид 1" xr10:uid="{76091B72-8364-4D07-99BD-23DF9DEDFE3B}" cache="Срез_Вид1" caption="Вид" rowHeight="234950"/>
  <slicer name="Способ" xr10:uid="{67CB41B0-4C14-415C-A49E-9B75F0165AB3}" cache="Срез_Способ" caption="Способ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8F3D0B-B9B0-4C6A-A401-82A1412B8A63}" name="Тип_сырья" displayName="Тип_сырья" ref="A1:A9" totalsRowShown="0" headerRowDxfId="61" dataDxfId="60" tableBorderDxfId="59">
  <autoFilter ref="A1:A9" xr:uid="{0A8F3D0B-B9B0-4C6A-A401-82A1412B8A63}"/>
  <sortState xmlns:xlrd2="http://schemas.microsoft.com/office/spreadsheetml/2017/richdata2" ref="A2:A9">
    <sortCondition ref="A1:A9"/>
  </sortState>
  <tableColumns count="1">
    <tableColumn id="1" xr3:uid="{9360DFA9-BEB3-4F1B-8B16-19B1B0A2FB77}" name="Сырье" dataDxfId="58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7D8DF1-C567-4F89-9DEA-D4B83B03168D}" name="Изделие" displayName="Изделие" ref="C1:C7" totalsRowShown="0">
  <autoFilter ref="C1:C7" xr:uid="{5A7D8DF1-C567-4F89-9DEA-D4B83B03168D}"/>
  <sortState xmlns:xlrd2="http://schemas.microsoft.com/office/spreadsheetml/2017/richdata2" ref="C2:C4">
    <sortCondition ref="C1:C4"/>
  </sortState>
  <tableColumns count="1">
    <tableColumn id="1" xr3:uid="{1C29BA33-35C5-4FD9-B9FB-E98994518D13}" name="Вид изделия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873B68-B289-413D-8940-3D688F976883}" name="Способ" displayName="Способ" ref="E1:G10" totalsRowShown="0">
  <autoFilter ref="E1:G10" xr:uid="{5C873B68-B289-413D-8940-3D688F976883}"/>
  <tableColumns count="3">
    <tableColumn id="1" xr3:uid="{3F64AEE8-8CE3-4C25-902A-2CB0E71CC4AE}" name="Способ приготовления"/>
    <tableColumn id="2" xr3:uid="{A14F843D-85DE-4743-8622-1BE519E89B84}" name="Потери" dataCellStyle="Процентный"/>
    <tableColumn id="3" xr3:uid="{4DC83783-8EE6-46E3-A8BC-EA1F0D718840}" name="Маржа" dataCellStyle="Процентный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1A74AC-81DB-41AA-AB7F-5BC0CCC9AD17}" name="Таблица29" displayName="Таблица29" ref="J1:K7" totalsRowShown="0">
  <autoFilter ref="J1:K7" xr:uid="{771A74AC-81DB-41AA-AB7F-5BC0CCC9AD17}"/>
  <tableColumns count="2">
    <tableColumn id="1" xr3:uid="{695A88B7-BE19-4522-8997-8439267C2338}" name="ГК"/>
    <tableColumn id="2" xr3:uid="{CBD7F59A-5F79-4A05-93C2-2BD84264E5DB}" name="ХК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DD3D9-6C7A-45D3-91B7-00070ED2CE37}" name="Ингредиенты" displayName="Ингредиенты" ref="A1:J114" totalsRowCount="1">
  <autoFilter ref="A1:J113" xr:uid="{0BBDD3D9-6C7A-45D3-91B7-00070ED2CE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66348A9-A267-4503-A62C-060AD774F1FF}" name="Название ингредиента" totalsRowLabel="Итог"/>
    <tableColumn id="2" xr3:uid="{93B840BF-AD77-44B6-BFD1-FC2A096DAD0E}" name="Сырье"/>
    <tableColumn id="3" xr3:uid="{D213E3EE-95C4-4B46-9362-E5BA806D3241}" name="Цена" dataDxfId="57">
      <calculatedColumnFormula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calculatedColumnFormula>
    </tableColumn>
    <tableColumn id="6" xr3:uid="{F8A9F756-8AD9-4532-A83A-E85B0B22030B}" name="Тип сырья" dataDxfId="56"/>
    <tableColumn id="4" xr3:uid="{338A40E9-021D-45E2-AC2B-4E3C42710A80}" name="Где покупать" dataCellStyle="Обычный"/>
    <tableColumn id="13" xr3:uid="{EC53D38B-5E7B-4AD0-BF56-3D8B9663D216}" name="Ссылка" dataDxfId="55" totalsRowDxfId="54" dataCellStyle="Обычный"/>
    <tableColumn id="8" xr3:uid="{F678013B-45F4-46F9-B558-A303310EE62B}" name="Обьем" dataDxfId="53"/>
    <tableColumn id="9" xr3:uid="{3A5EB60B-9AFC-4B3E-BFCB-C65E36C3CFBD}" name="Цена/Обьем" totalsRowFunction="sum" dataDxfId="52" totalsRowDxfId="51"/>
    <tableColumn id="5" xr3:uid="{8A4D4441-50A3-49E0-941F-BA2B8D669107}" name="Наличие"/>
    <tableColumn id="11" xr3:uid="{D9EEE145-D397-48A7-8549-20BF1F6CD848}" name="Выход" dataDxfId="50" totalsRowDxfId="49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4DC2CC-FEA2-4283-891C-EF5A3B0D13AE}" name="Рецепты" displayName="Рецепты" ref="A11:S533" headerRowDxfId="48" dataDxfId="47" totalsRowDxfId="46">
  <autoFilter ref="A11:S533" xr:uid="{2D4DC2CC-FEA2-4283-891C-EF5A3B0D13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26A9DEAC-F6CA-4253-82B9-4A7904BFCF0F}" name="Название" totalsRowLabel="Итог" dataDxfId="45"/>
    <tableColumn id="2" xr3:uid="{419AE2C5-2374-4912-BA16-07C1BA5BB9D8}" name="Вид" dataDxfId="44">
      <calculatedColumnFormula>B11</calculatedColumnFormula>
    </tableColumn>
    <tableColumn id="3" xr3:uid="{35DE59BF-A213-43EE-9D4E-8ABD146EC0D7}" name="Способ" dataDxfId="43">
      <calculatedColumnFormula>C11</calculatedColumnFormula>
    </tableColumn>
    <tableColumn id="4" xr3:uid="{5E8B19C2-3C7D-4DC3-9106-9A4B97A2285F}" name="Состав" dataDxfId="42"/>
    <tableColumn id="18" xr3:uid="{30988100-9F89-44AF-9D79-7D68ED06974B}" name="Тип" dataDxfId="41" totalsRowDxfId="40" dataCellStyle="Процентный">
      <calculatedColumnFormula>VLOOKUP(Рецепты[[#This Row],[Состав]],Ингредиенты[],2,0)</calculatedColumnFormula>
    </tableColumn>
    <tableColumn id="6" xr3:uid="{BA6A1CD6-4F1A-493F-AF9E-80F332F82F9A}" name="%" dataDxfId="39" dataCellStyle="Процентный"/>
    <tableColumn id="7" xr3:uid="{C30EB501-0C50-4B0C-BE74-615702F1432C}" name="г" dataDxfId="38">
      <calculatedColumnFormula>IF(Рецепты[[#This Row],[%]]*1000&gt;0,Рецепты[[#This Row],[%]]*1000,"")</calculatedColumnFormula>
    </tableColumn>
    <tableColumn id="8" xr3:uid="{A9EF5084-131B-4A89-A7D1-A90D56110FC4}" name="р" dataDxfId="37">
      <calculatedColumnFormula>IFERROR(VLOOKUP(Рецепты[[#This Row],[Состав]],Ингредиенты!A:I,3,0)*Рецепты[[#This Row],[г]],"")</calculatedColumnFormula>
    </tableColumn>
    <tableColumn id="9" xr3:uid="{DA3D3FDA-5944-4B2D-BF50-FC7D23CF195C}" name="Масса" dataDxfId="36">
      <calculatedColumnFormula>СводРецепт!$A$1</calculatedColumnFormula>
    </tableColumn>
    <tableColumn id="10" xr3:uid="{216BD20B-0F48-4F61-A22C-CAABC79D2D3D}" name="Вес ингр-тов" dataDxfId="35">
      <calculatedColumnFormula>Рецепты[[#This Row],[%]]*Рецепты[[#This Row],[Масса]]</calculatedColumnFormula>
    </tableColumn>
    <tableColumn id="11" xr3:uid="{8D267762-2E42-41B2-8A40-03ACE0687A24}" name="Траты всего" dataDxfId="34">
      <calculatedColumnFormula>Рецепты[[#This Row],[Вес ингр-тов]]*VLOOKUP(Рецепты[[#This Row],[Состав]],Ингредиенты[],3,FALSE)</calculatedColumnFormula>
    </tableColumn>
    <tableColumn id="12" xr3:uid="{3DE161D5-8985-4E04-A246-474D83F5D824}" name="Потери, %" dataDxfId="33" dataCellStyle="Процентный">
      <calculatedColumnFormula>IF(VLOOKUP(Рецепты[[#This Row],[Состав]],Ингредиенты[],4,0)="Основа",VLOOKUP(Рецепты[[#This Row],[Способ]],Способ[],2,0),0%)</calculatedColumnFormula>
    </tableColumn>
    <tableColumn id="13" xr3:uid="{B0060A20-BADA-48BE-9E02-38FA31E4D022}" name="Маржа" dataDxfId="32" dataCellStyle="Процентный">
      <calculatedColumnFormula>VLOOKUP(Рецепты[[#This Row],[Способ]],Способ[],3,0)</calculatedColumnFormula>
    </tableColumn>
    <tableColumn id="14" xr3:uid="{87E73ABF-E91E-45D0-BA65-51236D2E2603}" name="Цена за 1 кг" dataDxfId="31">
      <calculatedColumnFormula>Рецепты[[#This Row],[р]]*100%/(100%-Рецепты[[#This Row],[Потери, %]])+Рецепты[[#This Row],[Маржа]]*(Рецепты[[#This Row],[р]]*100%)/(100%-Рецепты[[#This Row],[Потери, %]])</calculatedColumnFormula>
    </tableColumn>
    <tableColumn id="15" xr3:uid="{1825DC0D-2EE8-4EED-828C-DF86E08C3FB8}" name="ЧП" dataDxfId="30">
      <calculatedColumnFormula>Рецепты[[#This Row],[Цена за 1 кг]]-(Рецепты[[#This Row],[р]]*100%/(100%-Рецепты[[#This Row],[Потери, %]]))</calculatedColumnFormula>
    </tableColumn>
    <tableColumn id="16" xr3:uid="{22F0B55F-F73B-4733-9E96-7F727B089EBD}" name="Ссылка интернет" dataDxfId="29"/>
    <tableColumn id="17" xr3:uid="{714A75FA-6CF3-4A41-88E4-099372AB1448}" name="Ссылка ПК" dataDxfId="28"/>
    <tableColumn id="5" xr3:uid="{7D2EAEAD-B112-422E-BE26-7725C573D3D6}" name="Наличие" dataDxfId="27" totalsRowDxfId="26">
      <calculatedColumnFormula>VLOOKUP(Рецепты[[#This Row],[Состав]],Ингредиенты[],9,0)</calculatedColumnFormula>
    </tableColumn>
    <tableColumn id="19" xr3:uid="{F293EAF2-4EB8-4609-8428-5A4087373F33}" name="Примечание" dataDxfId="25" totalsRowDxfId="24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B5C513-B443-4566-B53A-9C650AFD39F6}" name="Делаю" displayName="Делаю" ref="A1:O33" headerRowDxfId="22">
  <autoFilter ref="A1:O33" xr:uid="{D1B5C513-B443-4566-B53A-9C650AFD39F6}">
    <filterColumn colId="0">
      <filters>
        <dateGroupItem year="2025" month="6" dateTimeGrouping="month"/>
      </filters>
    </filterColumn>
  </autoFilter>
  <sortState xmlns:xlrd2="http://schemas.microsoft.com/office/spreadsheetml/2017/richdata2" ref="A2:N19">
    <sortCondition ref="A1:A19"/>
  </sortState>
  <tableColumns count="15">
    <tableColumn id="1" xr3:uid="{3B9795A0-6E82-4504-82F0-A515E368D116}" name="Дата" totalsRowLabel="Итог" dataDxfId="21"/>
    <tableColumn id="12" xr3:uid="{BB5B39B6-47A8-4843-A014-55A63714660E}" name="Вид" dataDxfId="20">
      <calculatedColumnFormula>VLOOKUP(Делаю[[#This Row],[Название]],Рецепты[],2,0)</calculatedColumnFormula>
    </tableColumn>
    <tableColumn id="2" xr3:uid="{4897DF58-5E30-45DD-B066-CDC7F2A21003}" name="Название"/>
    <tableColumn id="3" xr3:uid="{C761CDE0-CBA5-4C27-A9B1-C1C294A221A5}" name="Масса" totalsRowFunction="sum" dataDxfId="19" totalsRowDxfId="18"/>
    <tableColumn id="9" xr3:uid="{A1106815-8AC5-4765-9BA3-3B17FDD82162}" name="Масса готов" totalsRowFunction="sum" dataDxfId="17" totalsRowDxfId="16"/>
    <tableColumn id="10" xr3:uid="{5D10F99B-1453-45CA-83A5-134D7C5303DA}" name="Потери факт" totalsRowFunction="average" dataDxfId="15" totalsRowDxfId="14" dataCellStyle="Процентный">
      <calculatedColumnFormula>IF(Делаю[[#This Row],[Масса готов]]&gt;0,(Делаю[[#This Row],[Масса]]-Делаю[[#This Row],[Масса готов]])*100%/Делаю[[#This Row],[Масса]],"")</calculatedColumnFormula>
    </tableColumn>
    <tableColumn id="5" xr3:uid="{033F5215-0A21-4222-AC32-8BB7B21D22ED}" name="Потери прогноз" totalsRowFunction="average" dataDxfId="13" totalsRowDxfId="12" dataCellStyle="Процентный">
      <calculatedColumnFormula>VLOOKUP(Делаю[[#This Row],[Название]],СводЦена!A:F,4,0)</calculatedColumnFormula>
    </tableColumn>
    <tableColumn id="13" xr3:uid="{CFF999C3-8FDB-41C5-A5B8-791D1D97808B}" name="Траты/кг" dataDxfId="11" totalsRowDxfId="10" dataCellStyle="Процентный">
      <calculatedColumnFormula>VLOOKUP(Делаю[[#This Row],[Название]],СводЦена!A:F,2,0)</calculatedColumnFormula>
    </tableColumn>
    <tableColumn id="6" xr3:uid="{C4080A70-E17E-4158-8AAC-1B3E98AB3017}" name="Наценка" dataDxfId="9">
      <calculatedColumnFormula>VLOOKUP(Делаю[[#This Row],[Название]],СводЦена!A:F,3,0)</calculatedColumnFormula>
    </tableColumn>
    <tableColumn id="4" xr3:uid="{0B2538D4-BE01-47C8-9182-9C89634B5743}" name="Цена/кг" dataDxfId="8">
      <calculatedColumnFormula>VLOOKUP(Делаю[[#This Row],[Название]],СводЦена!A:F,6,0)</calculatedColumnFormula>
    </tableColumn>
    <tableColumn id="7" xr3:uid="{DF9CFAA2-1041-4CBF-B295-7B960B35AF3C}" name="ЧП" dataDxfId="7">
      <calculatedColumnFormula>VLOOKUP(Делаю[[#This Row],[Название]],СводЦена!A:F,5,0)</calculatedColumnFormula>
    </tableColumn>
    <tableColumn id="8" xr3:uid="{6522FF42-63BC-40FD-B2F8-70DCEC77EEF9}" name="Заработок" totalsRowFunction="sum" dataDxfId="6" totalsRowDxfId="5">
      <calculatedColumnFormula>Делаю[[#This Row],[ЧП]]*Делаю[[#This Row],[Масса готов]]/1000</calculatedColumnFormula>
    </tableColumn>
    <tableColumn id="14" xr3:uid="{FA9BF460-3F27-4A79-BA68-C14F53D67E7B}" name="Цена всего" totalsRowFunction="sum" dataDxfId="4" totalsRowDxfId="3">
      <calculatedColumnFormula>Делаю[[#This Row],[Цена/кг]]*Делаю[[#This Row],[Масса готов]]/1000</calculatedColumnFormula>
    </tableColumn>
    <tableColumn id="11" xr3:uid="{07330B11-01AE-4E2C-8E55-6164161570B5}" name="Прим" dataDxfId="2"/>
    <tableColumn id="15" xr3:uid="{0E37C51B-CACE-4F39-B95A-BF0E4671F0C1}" name="Ссылка" dataDxfId="1">
      <calculatedColumnFormula>VLOOKUP(Делаю[[#This Row],[Название]],Рецепты[],16,0)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Ретро">
  <a:themeElements>
    <a:clrScheme name="Ретро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Ретро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Ретро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d.docs.live.net/B123795D63BFF732/Documents/&#1056;&#1077;&#1094;&#1077;&#1087;&#1090;&#1099;%20&#1076;&#1083;&#1103;%20&#1082;&#1086;&#1087;&#1090;&#1080;&#1083;&#1100;&#1085;&#1080;%20&#1052;&#1086;&#1089;&#1082;&#1080;&#1090;.docx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ozon.ru/product/mayoran-sushenyy-homyakovo-230-gr-zelen-sushenaya-naturalnaya-priprava-535927630/?asb=J5z0A8pRfSfeV%252FwvnEZ%252BVHdyA58mxR8n5IoCR3r3lxU%253D&amp;asb2=2zapEu5fy-zJOIr_jdmt26LJLIKoqELBGFI1C7bZkX604YkOTn-f7ntfs3tSJUWYbpItA1cMdyaH61bhssKdxw&amp;avtc=1&amp;avte=2&amp;avts=1707743064&amp;keywords=%D0%BC%D0%B0%D0%B9%D0%BE%D1%80%D0%B0%D0%BD" TargetMode="External"/><Relationship Id="rId21" Type="http://schemas.openxmlformats.org/officeDocument/2006/relationships/hyperlink" Target="https://www.ozon.ru/product/badyan-anis-zvezdchatyy-naturalnye-zvezdochki-tselnye-semena-badyana-pryanost-priprava-dlya-214344546/?asb=ha9X3SDpYMumraR8madnrXDZ0bSn%252BhFIeyZ4xB5n71U%253D&amp;asb2=bcbAV-nFp8x9CK1h_zeK_bG2xyHWrO59x_T8_ikCLfzJDO16WZqUcWLR2bfQ0y0_gGdJgzFh815xUBlGVS2L9Q&amp;avtc=1&amp;avte=4&amp;avts=1707742683&amp;keywords=%D0%B1%D0%B0%D0%B4%D1%8C%D1%8F%D0%BD+%D0%B8%D0%BD%D0%B4%D0%B0%D0%BD%D0%B0" TargetMode="External"/><Relationship Id="rId42" Type="http://schemas.openxmlformats.org/officeDocument/2006/relationships/hyperlink" Target="https://europa-market.ru/product/vino-gusto-1l-10-12-krasnoe-suh-tetra-pak-222790" TargetMode="External"/><Relationship Id="rId47" Type="http://schemas.openxmlformats.org/officeDocument/2006/relationships/hyperlink" Target="https://www.ozon.ru/product/perets-chili-struchkovyy-tselyy-1-kg-priprava-spetsiya-788691363/?advert=bSdPe9GgrmzfZ83qGYjvOPZDqPp5QitsfXMzaqRNRZf62GiLbkXWHUDCMYLp27Ibgg92djpun4tmcfME84NV7EM7IUu2hRYsf6cOBtuvGzVOjApJo9w_8cfWUUw4GLvAiJqARMhg0Vp0qH-O_OCZ0F15pNZw_8wn4LGLeaGVHPHdsZZqNA1zINTTldljRarFjAHkhJ1-PykL0JmFYpn0_BCBvkkLUN9x-UP9AfbDj06BA5zE2BSvQdt3ciYGs4UZ8zfJ9QsXIdqpFlOx7yDjAqKeqM7K-RCMkm0QG9ih0mgwGF5TXHdvsaKULqYyo6fsQ3cvIA92dFxn3lcIO9b46jm6Enk&amp;avtc=1&amp;avte=2&amp;avts=1707743529&amp;from_sku=788713684&amp;keywords=%D0%9F%D0%B5%D1%80%D0%B5%D1%86+%D1%87%D0%B8%D0%BB%D0%B8+%D1%86%D0%B5%D0%BB%D1%8B%D0%B9&amp;oos_search=false" TargetMode="External"/><Relationship Id="rId63" Type="http://schemas.openxmlformats.org/officeDocument/2006/relationships/hyperlink" Target="https://europa-market.ru/product/kartofel-ves-6503" TargetMode="External"/><Relationship Id="rId68" Type="http://schemas.openxmlformats.org/officeDocument/2006/relationships/hyperlink" Target="https://www.emkolbaski.ru/opt-50m-kalibr-220-mm-setka-formovochnaya/" TargetMode="External"/><Relationship Id="rId84" Type="http://schemas.openxmlformats.org/officeDocument/2006/relationships/drawing" Target="../drawings/drawing1.xml"/><Relationship Id="rId16" Type="http://schemas.openxmlformats.org/officeDocument/2006/relationships/hyperlink" Target="https://www.ozon.ru/product/fosfat-pishchevoy-dlya-kolbasy-sosisok-sardelek-1002521417/?advert=0iWBmpcVSyqpmzkbdsdgVguWsF9IyCwkuqyzPYohyP1_9orgbdntelA_CJOkzjQ4YrIpWLQ1Y2zcvk1yY5oIKGkg9nR_cG7rFVxl9b3UfvDTcreiSLdqYLpnFaKc1cU6AaGO8EPTwvexD5WYl0ffDuRWYrOyluv5LSMA1j3fFhR7z_qsOXc0jil_fIvjeMDhTHip9V1Ubxk0oyFwQAu1lq_rj9bb_xTq2nww_4dz8q65IWoTPyeHLXWdw5k4cVpzA7RHraXaQZzFpM5mrwiAf-dax0N50fDu8esGp5HenHlYkbO0uUzXRWYfB_jLT0GnZTSlPQvdxqAYKdMuHtjNQqBXxwjCqQ&amp;avtc=1&amp;avte=2&amp;avts=1707742233&amp;keywords=%D1%84%D0%BE%D1%81%D1%84%D0%B0%D1%82+%D0%BF%D0%B8%D1%89%D0%B5%D0%B2%D0%BE%D0%B9" TargetMode="External"/><Relationship Id="rId11" Type="http://schemas.openxmlformats.org/officeDocument/2006/relationships/hyperlink" Target="https://www.ozon.ru/product/paprika-krasnaya-molotaya-perets-sladkiy-krasnyy-indana-550-gr-1000-ml-s-dozatorom-246970010/?asb=6TKPDHQv4XsWJICei0qgrQNw8B83wHHpGmyPwxrQQhg%253D&amp;asb2=bkWY_q3D3vTIHNuSTGYs2dmgdLJDB84H_LGWNNmIJbdK0Q60mWLOpEdh0zkmFSNWxuUS3qa0vTT70OrgVvmSLA&amp;avtc=1&amp;avte=4&amp;avts=1707738349&amp;keywords=%D0%9F%D0%B0%D0%BF%D1%80%D0%B8%D0%BA%D0%B0+%D0%BA%D1%80%D0%B0%D1%81%D0%BD%D0%B0%D1%8F+%D0%BC%D0%BE%D0%BB%D0%BE%D1%82%D0%B0%D1%8F" TargetMode="External"/><Relationship Id="rId32" Type="http://schemas.openxmlformats.org/officeDocument/2006/relationships/hyperlink" Target="https://www.ozon.ru/product/semena-gorchitsy-premium-spetsii-pripravy-pryanost-optom-768587997/?advert=QMLVyijtfKNKKqfy9JHjw1l2j_RZJL0-6zAAkMDrDpjwpUpHRw3sqPNxhRmIuUbDnd8Flamv5grAY0iyezGXoOIhp-6o1ke-VOB0h5W-xgtX_eK5NDaA6auJzFITPCzWOMhz_q-Fr45vQHz1vbJale0FJ6yk9Qdy3JJBTsFEkTTljJYuj1SRbUcL4u0FvcFN_v4OlduWelFMrtGEuuov9HeYszdpvcNdVghUoLHEbv_LEYpwUvDHYm91ojc4dLfTPidaYyRxhQ0h6_iLJzopZc4r2RyyD_H-YWsMHTNX3objMLjZEIg2KNCjdZYQK0NuBQGAoWFXzRZCapKjUn-oT0dn2ttliA&amp;avtc=1&amp;avte=2&amp;avts=1707743485&amp;keywords=%D0%B3%D0%BE%D1%80%D1%87%D0%B8%D1%86%D0%B0+%D0%B2+%D0%B7%D0%B5%D1%80%D0%BD%D0%B0%D1%85" TargetMode="External"/><Relationship Id="rId37" Type="http://schemas.openxmlformats.org/officeDocument/2006/relationships/hyperlink" Target="https://www.emkolbaski.ru/membrin-42-mm-gofra-kolcevaya-universalnaya-obolochka-32-metra/" TargetMode="External"/><Relationship Id="rId53" Type="http://schemas.openxmlformats.org/officeDocument/2006/relationships/hyperlink" Target="https://www.ozon.ru/product/limonnaya-kislota-pishchevaya-3-kg-regulyator-kislotnosti-antiokislitel-787154197/?asb=GFWXxKy7JbIvQazvj9meW6bgB62EeBLm9MQq9CMB6Oo%253D&amp;asb2=KE0csjf8w7hTe5gTDGs98ddJturd5RDnu5sFkx7HZj-yoS4A6OgOFyltxy28sHTsDYampOQpA0A-ssD8rQMq6g&amp;avtc=1&amp;avte=2&amp;avts=1710568183&amp;from_sku=1043447465&amp;from_url=https%253A%252F%252Fwww.ozon.ru%252Fcategory%252Fingredienty-dlya-vypechki-9408%252F%253Fcategory_was_predicted%253Dtrue%2526deny_category_prediction%253Dtrue%2526from_global%253Dtrue%2526text%253D%2525D0%25259B%2525D0%2525B8%2525D0%2525BC%2525D0%2525BE%2525D0%2525BD%2525D0%2525BD%2525D0%2525B0%2525D1%25258F%252B%2525D0%2525BA%2525D0%2525B8%2525D1%252581%2525D0%2525BB%2525D0%2525BE%2525D1%252582%2525D0%2525B0&amp;keywords=%D0%9B%D0%B8%D0%BC%D0%BE%D0%BD%D0%BD%D0%B0%D1%8F+%D0%BA%D0%B8%D1%81%D0%BB%D0%BE%D1%82%D0%B0&amp;oos_search=false&amp;reviewsVariantMode=2" TargetMode="External"/><Relationship Id="rId58" Type="http://schemas.openxmlformats.org/officeDocument/2006/relationships/hyperlink" Target="https://europa-market.ru/product/muka-pshenichnaya-evropa-hlebopekarnaya-vysshiy-sort-1kg-98185" TargetMode="External"/><Relationship Id="rId74" Type="http://schemas.openxmlformats.org/officeDocument/2006/relationships/hyperlink" Target="https://europa-market.ru/product/grudinka-svinaya-b-k-s-sh-sobstvennoe-proizvodstvo-202786" TargetMode="External"/><Relationship Id="rId79" Type="http://schemas.openxmlformats.org/officeDocument/2006/relationships/hyperlink" Target="https://www.ozon.ru/product/chernosliv-sushenyy-1-kg-naturalnyy-bez-kostochki-dattie-979081263/?at=gpt4vAqZ8szjVE14Hn28E57IP0LnkNI0NQm9vU3oE3KY" TargetMode="External"/><Relationship Id="rId5" Type="http://schemas.openxmlformats.org/officeDocument/2006/relationships/hyperlink" Target="https://europa-market.ru/product/sahar-pesok-evropa-17kg-35175" TargetMode="External"/><Relationship Id="rId19" Type="http://schemas.openxmlformats.org/officeDocument/2006/relationships/hyperlink" Target="https://www.ozon.ru/product/tsitrat-natriya-pishchevaya-dobavka-e331-natriy-limonnokislyy-2-kg-4-500-gr-755454232/?asb=NC9jhX9I14zaEVuZGyDyIdRDZKUaIPIK3AQqWilZ%252F2UIhJKbSfLIQv8L6OLrobl7&amp;asb2=pT_O6m5Nh9AwD0MaTZd_0Ve4Krn55e1SUMX1RPXW2v6y7qZX0HefvPMyzcxXc_QduSrtx70ICHK9eN15pju5EvAXKnb5da2I3av-ORFOG2v9QvgvQLfOOroyeunt7bds6SzeRjbHhJ3XhZSdlr2ZJvTDzTfMkNScegpgc0B8uHXB0WHW2t99opF-FyhMv-UI&amp;avtc=1&amp;avte=2&amp;avts=1707742515&amp;keywords=%D1%86%D0%B8%D1%82%D1%80%D0%B0%D1%82+%D0%BD%D0%B0%D1%82%D1%80%D0%B8%D1%8F+%D0%BF%D0%B8%D1%89%D0%B5%D0%B2%D0%BE%D0%B9" TargetMode="External"/><Relationship Id="rId14" Type="http://schemas.openxmlformats.org/officeDocument/2006/relationships/hyperlink" Target="https://www.ozon.ru/product/kardamon-molotyy-vysshiy-sort-300-g-kuragovo-1072075710/?advert=sXKaJlMKNiGBbNRtqqzPoH4TiMQz7C5hbZmlE4Q3NYDKZRMMx31gtVX87vK5q5ivIu9umP-J04FngkyX_oq-vROGZKQtryjQaHEX5cAdZsNsxJPI9eRC0uAjkPNyF9loQMFNi5BpL7oAAtviBlDpSzuJeFatkEsAw7ohxdL3Ipdb23kmqB_3qCmajFeaZ9vS7MygRrdHmVn1hHZ2TqzarerqsTsm2DhR5pojTWgE7GJAvYNKj3-vnzEj4Eu72iKasr56nrwiT1PsjEgyzUUuTT53PRvx3yyRPUGaZk_cOUON9MS0vkbM15CLDw63ojrpSRjTWAbazpmv0yjbe0ByrKVNiAI&amp;avtc=1&amp;avte=2&amp;avts=1707742125&amp;keywords=%D0%9A%D0%B0%D1%80%D0%B4%D0%B0%D0%BC%D0%BE%D0%BD" TargetMode="External"/><Relationship Id="rId22" Type="http://schemas.openxmlformats.org/officeDocument/2006/relationships/hyperlink" Target="https://www.ozon.ru/product/fenhel-semena-indana-190-g-s-dozatorom-233678714/?asb=fcTcsPcFm7kHDMLZxbU6uX%252B1Pvcz3Sb%252BrK15VkNPBH4%253D&amp;asb2=3b1GYTSlEEYF6ekh7qqVKmGosGgqglP8S-1PA_Jj4IN-u7S_NzIQtfemnIX6q2YR&amp;avtc=1&amp;avte=2&amp;avts=1707742724&amp;keywords=%D1%84%D0%B5%D0%BD%D1%85%D0%B5%D0%BB%D1%8C+%D0%B8%D0%BD%D0%B4%D0%B0%D0%BD%D0%B0" TargetMode="External"/><Relationship Id="rId27" Type="http://schemas.openxmlformats.org/officeDocument/2006/relationships/hyperlink" Target="https://www.ozon.ru/product/timyan-chabrets-list-gornyy-indana-90-gr-500-ml-s-dozatorom-262894422/?asb=u8QRi2YHj7TVcByiJo4RjTz8jIGtEWzVFUO%252FYo0%252Fh%252Bo%253D&amp;asb2=yHiXj3O1v_ieaBICcnFNw1Wu2YBdfyb6GIax00WfddvHQ4Fy6m-1iRJhXUNxy-C0MvbNaBzqkKJt_BjX0SKqMA&amp;avtc=1&amp;avte=2&amp;avts=1707743129&amp;from_sku=262894422&amp;from_url=https%253A%252F%252Fwww.ozon.ru%252Fcategory%252Fprodukty-pitaniya-9200%252F%253Fcategory_was_predicted%253Dtrue%2526deny_category_prediction%253Dtrue%2526from_global%253Dtrue%2526text%253D%2525D1%252582%2525D0%2525B8%2525D0%2525BC%2525D1%25258C%2525D1%25258F%2525D0%2525BD&amp;keywords=%D1%82%D0%B8%D0%BC%D1%8C%D1%8F%D0%BD&amp;oos_search=false" TargetMode="External"/><Relationship Id="rId30" Type="http://schemas.openxmlformats.org/officeDocument/2006/relationships/hyperlink" Target="https://www.ozon.ru/product/koritsa-molotaya-naturalnaya-indana-450-g-1000-ml-s-dozatorom-754952582/?asb=AjTtP%252FxIaf3KuaEVZtklTDYDv1f3bXQ4bsIRbeQ%252BTV4%253D&amp;asb2=bc20ugGe3Gv_akP4r0q72IXkWyRUkYt5F3kDBekqgfGTTlSawAZkGWt_9VRyAKxKnsEDH2X1-4jCxApHTEh3Fw&amp;avtc=1&amp;avte=2&amp;avts=1707743356&amp;from_sku=754896601&amp;from_url=https%253A%252F%252Fwww.ozon.ru%252Fcategory%252Fspetsii-pripravy-i-pryanosti-9411%252Findana-141836712%252F%253Fcategory_was_predicted%253Dtrue%2526deny_category_prediction%253Dtrue%2526from_global%253Dtrue%2526text%253D%2525D0%2525BA%2525D0%2525BE%2525D1%252580%2525D0%2525B8%2525D1%252586%2525D0%2525B0%252B%2525D0%2525B8%2525D0%2525BD%2525D0%2525B4%2525D0%2525B0%2525D0%2525BD%2525D0%2525B0&amp;keywords=%D0%BA%D0%BE%D1%80%D0%B8%D1%86%D0%B0+%D0%B8%D0%BD%D0%B4%D0%B0%D0%BD%D0%B0&amp;oos_search=false" TargetMode="External"/><Relationship Id="rId35" Type="http://schemas.openxmlformats.org/officeDocument/2006/relationships/hyperlink" Target="https://www.emkolbaski.ru/smes-dlya-lukanki-1-kg-i-2-kg/" TargetMode="External"/><Relationship Id="rId43" Type="http://schemas.openxmlformats.org/officeDocument/2006/relationships/hyperlink" Target="https://europa-market.ru/product/vino-gusto-1l-10-12-beloe-suh-tetra-pak-222793" TargetMode="External"/><Relationship Id="rId48" Type="http://schemas.openxmlformats.org/officeDocument/2006/relationships/hyperlink" Target="https://www.emkolbaski.ru/opt-kollagenovaya-obolochka-tsvet-karamel-kalibr-50mm-50m/" TargetMode="External"/><Relationship Id="rId56" Type="http://schemas.openxmlformats.org/officeDocument/2006/relationships/hyperlink" Target="https://www.ozon.ru/product/paprika-krasnaya-kopchenaya-molotaya-ispaniya-universalnaya-priprava-spetsiya-dlya-myasnyh-rybnyh-1178746141/?advert=9ou6aym3sNcDT2KoifMXeLWmJkXaeedu7D5WgFc1DXg5SKXY8KCkBrftwzNNRrepDcsvpxoOXpGYSBdCAzhe_RFWj0kpcYffWUP23p97lexC-5i5YUTeTNu4Lnv7zy6cifuxwwm_ee_0fShRA_02H8Z2e036atoDOHuiqF7mDyRnC41ZpV2xyZpYNkfn7UqxYLOCEkanjhLJ4nIrFpT9gpkTRH05Vew2bz0-8j2QLQoAh6gpcVMve1JvCzAankQi3zO4H0y48M5Nd7KVseFk9x8S2FLtTYWr8Zl9hRB8XOANkLhdqCeveFOyQbdrKTR6Aa39HaIbCj0x0bNwkNIBfAuFR4ypN6Ud&amp;avtc=1&amp;avte=4&amp;avts=1714286478&amp;from_sku=664814005&amp;from_url=https%253A%252F%252Fwww.ozon.ru%252Fcategory%252Fspetsii-pripravy-i-pryanosti-9411%252F%253Fcategory_was_predicted%253Dtrue%2526deny_category_prediction%253Dtrue%2526from_global%253Dtrue%2526text%253D%2525D0%2525BF%2525D0%2525B0%2525D0%2525BF%2525D1%252580%2525D0%2525B8%2525D0%2525BA%2525D0%2525B0%252B%2525D0%2525BA%2525D0%2525BE%2525D0%2525BF%2525D1%252587%2525D0%2525B5%2525D0%2525BD%2525D0%2525B0%2525D1%25258F&amp;keywords=%D0%BF%D0%B0%D0%BF%D1%80%D0%B8%D0%BA%D0%B0+%D0%BA%D0%BE%D0%BF%D1%87%D0%B5%D0%BD%D0%B0%D1%8F&amp;oos_search=false" TargetMode="External"/><Relationship Id="rId64" Type="http://schemas.openxmlformats.org/officeDocument/2006/relationships/hyperlink" Target="https://europa-market.ru/product/maslo-slivochnoe-tradicionnoe-180-g-82-5-folga-kurskmasloprom-944603" TargetMode="External"/><Relationship Id="rId69" Type="http://schemas.openxmlformats.org/officeDocument/2006/relationships/hyperlink" Target="https://europa-market.ru/product/svinina-rulka-sobstvennoe-proizvodstvo-14369" TargetMode="External"/><Relationship Id="rId77" Type="http://schemas.openxmlformats.org/officeDocument/2006/relationships/hyperlink" Target="https://www.ozon.ru/product/imbir-molotyy-sushenyy-naturalnyy-1-kg-886931793/?at=VvtznA8P0cB8VKBT85VjYOFmWVV08SpVAxNVsXK5j57" TargetMode="External"/><Relationship Id="rId8" Type="http://schemas.openxmlformats.org/officeDocument/2006/relationships/hyperlink" Target="https://www.ozon.ru/product/perets-krasnyy-chili-silnozhguchiy-molotyy-indana-550-g-1000-ml-s-dozatorom-246969889/?asb=p9iLbtsc5bAv3Lp8WYkQKuDZqai41lLZ5EtyEiuMmYA%253D&amp;asb2=2gPvJRT99l54vHdOm5FcLdlVi2sXPCg-LTd5Q-pcJobKf2LOs9nw8FdDWh8NdO7dDY6DOXW1BTPQX_fhPkwJXw&amp;avtc=1&amp;avte=2&amp;avts=1707738145&amp;from_sku=233677591&amp;from_url=https%253A%252F%252Fwww.ozon.ru%252Fcategory%252Fprodukty-pitaniya-9200%252F%253Fcategory_was_predicted%253Dtrue%2526deny_category_prediction%253Dtrue%2526from_global%253Dtrue%2526text%253D%2525D0%2525BF%2525D0%2525B5%2525D1%252580%2525D0%2525B5%2525D1%252586%252B%2525D1%252587%2525D0%2525B8%2525D0%2525BB%2525D0%2525B8&amp;keywords=%D0%BF%D0%B5%D1%80%D0%B5%D1%86+%D1%87%D0%B8%D0%BB%D0%B8&amp;oos_search=false" TargetMode="External"/><Relationship Id="rId51" Type="http://schemas.openxmlformats.org/officeDocument/2006/relationships/hyperlink" Target="https://www.emkolbaski.ru/fibrouznaya-obolochka-dlya-servelatov-kopchenie-50-metrov/" TargetMode="External"/><Relationship Id="rId72" Type="http://schemas.openxmlformats.org/officeDocument/2006/relationships/hyperlink" Target="https://europa-market.ru/product/tushka-c-b-1-kat-ohl-96994" TargetMode="External"/><Relationship Id="rId80" Type="http://schemas.openxmlformats.org/officeDocument/2006/relationships/hyperlink" Target="https://www.ozon.ru/product/izyum-malayar-iran-1000g-bez-kostochek-1-kg-grinfuds-1316030719/?at=46tRZBzKrCM4oK9RFGKjoVvtpZWEgjSN1j86PsW6MZwr" TargetMode="External"/><Relationship Id="rId85" Type="http://schemas.openxmlformats.org/officeDocument/2006/relationships/vmlDrawing" Target="../drawings/vmlDrawing1.vml"/><Relationship Id="rId3" Type="http://schemas.openxmlformats.org/officeDocument/2006/relationships/hyperlink" Target="https://europa-market.ru/product/slivki-svitlogore-500g-20-ultrapasterizovannye-335652" TargetMode="External"/><Relationship Id="rId12" Type="http://schemas.openxmlformats.org/officeDocument/2006/relationships/hyperlink" Target="https://www.ozon.ru/product/muskatnyy-oreh-molotyy-indana-220-g-500-ml-s-dozatorom-233676928/?asb=oYufqDyCVsNAz1Znwh6jRdNahpyp%252FBtpLoNUT2tMAyE%253D&amp;asb2=61ZUKjW4hmbvJRDDGXuGUYZqVW1zZV_4Qcz5s3YbBl99ov0Yeyin3igJfJv7-WSx&amp;avtc=1&amp;avte=2&amp;avts=1707741998&amp;keywords=%D0%9C%D1%83%D1%81%D0%BA%D0%B0%D1%82%D0%BD%D1%8B%D0%B9+%D0%BE%D1%80%D0%B5%D1%85+%D0%B8%D0%BD%D0%B4%D0%B0%D0%BD%D0%B0" TargetMode="External"/><Relationship Id="rId17" Type="http://schemas.openxmlformats.org/officeDocument/2006/relationships/hyperlink" Target="https://www.emkolbaski.ru/askorbinat-askorbat-natriya-1-kg-i-2-kg/" TargetMode="External"/><Relationship Id="rId25" Type="http://schemas.openxmlformats.org/officeDocument/2006/relationships/hyperlink" Target="https://www.emkolbaski.ru/kristallyut/" TargetMode="External"/><Relationship Id="rId33" Type="http://schemas.openxmlformats.org/officeDocument/2006/relationships/hyperlink" Target="https://www.emkolbaski.ru/smes-dlya-sosisok-molochnyih-1-kg-i-2-kg/" TargetMode="External"/><Relationship Id="rId38" Type="http://schemas.openxmlformats.org/officeDocument/2006/relationships/hyperlink" Target="https://www.emkolbaski.ru/svinaya-chereva-38-40-10m-91m/" TargetMode="External"/><Relationship Id="rId46" Type="http://schemas.openxmlformats.org/officeDocument/2006/relationships/hyperlink" Target="https://europa-market.ru/product/syr-rossiyskiy-50-baranovichi-belarus-393" TargetMode="External"/><Relationship Id="rId59" Type="http://schemas.openxmlformats.org/officeDocument/2006/relationships/hyperlink" Target="https://europa-market.ru/product/sol-1kg-pischevaya-v-pachke-312405" TargetMode="External"/><Relationship Id="rId67" Type="http://schemas.openxmlformats.org/officeDocument/2006/relationships/hyperlink" Target="https://www.ozon.ru/product/kumin-zira-semena-indana-500-gr-1-000-ml-273772989/?asb2=1MVRw7xsxEK6K9aUTRXQfNv9ab4_19vya11UFNRZY-hh5BD4QR_TDA7ArniZEAuS&amp;avtc=1&amp;avte=2&amp;avts=1728635646&amp;keywords=%D0%B7%D0%B8%D1%80%D0%B0" TargetMode="External"/><Relationship Id="rId20" Type="http://schemas.openxmlformats.org/officeDocument/2006/relationships/hyperlink" Target="https://www.ozon.ru/product/gvozdika-tselaya-tselye-sushenye-semena-gvozdiki-naturalnaya-spetsiya-i-priprava-travy-indana-300-828189508/?asb=ihXnn0Rlo7wwk%252Fay9IgpBLKQp0DjWlwwsAZDEO%252BfGtA%253D&amp;asb2=bFHcfr93Sw_iPL8NoKP3aZc-n8Lu0nraX7hobMY99vSeO5wfnOOZqOARfmgWGEqMBuMiGEuxNMJJvlga4B_Xow&amp;avtc=1&amp;avte=2&amp;avts=1707742591&amp;from_sku=758942631&amp;from_url=https%253A%252F%252Fwww.ozon.ru%252Fsearch%252F%253Ftext%253D%2525D0%2525B3%2525D0%2525B2%2525D0%2525BE%2525D0%2525B7%2525D0%2525B4%2525D0%2525B8%2525D0%2525BA%2525D0%2525B0%252B%2525D0%2525B8%2525D0%2525BD%2525D0%2525B4%2525D0%2525B0%2525D0%2525BD%2525D0%2525B0%2526from_global%253Dtrue&amp;keywords=%D0%B3%D0%B2%D0%BE%D0%B7%D0%B4%D0%B8%D0%BA%D0%B0+%D0%B8%D0%BD%D0%B4%D0%B0%D0%BD%D0%B0&amp;oos_search=false" TargetMode="External"/><Relationship Id="rId41" Type="http://schemas.openxmlformats.org/officeDocument/2006/relationships/hyperlink" Target="https://www.emkolbaski.ru/50-metrov-polimernaya-obolochka-dlya-vyalenyih-kolbas-naloferm/" TargetMode="External"/><Relationship Id="rId54" Type="http://schemas.openxmlformats.org/officeDocument/2006/relationships/hyperlink" Target="https://www.ozon.ru/product/krasitel-pishchevoy-krasnyy-barhat-art-color-base-dlya-vypechki-desertov-konditerskih-izdeliy-311527017/?advert=5os0eAf8HBS8DL-t2EPd_ppFRQOCRbjEml7x3K-tREDltNIuXEk88rl1EeXQr2Ffk5K64xjb5JhBYSloHayDkSXaDlBqyuggjUTqHkzsBM2YXpJixi9RICLgCC0vwaqFD1uNHyw-GdGGIeAa7Ggzwah2X_DMsocP8PC2QmHWvl-aAXkGZvxkYRUROZElvRlH-GnNyRh_1kpTrRtUHKofbzdy7PUJuyp-u4aDQYgUTK5tnNLkMzYHqOKmpthjNYCSmDGMPUPU7iYJt5gMz-l8U5jOQnfiSBBRsM9hBGbhC9VjXSSAg_8vx9GuX7GrmbAFHHCgwsDUOnVxxKzlgfNyDPvTibbu&amp;avtc=1&amp;avte=4&amp;avts=1711085462&amp;from_sku=311527017&amp;from_url=https%253A%252F%252Fwww.ozon.ru%252Fcategory%252Fingredienty-dlya-vypechki-9408%252F%253Fcategory_was_predicted%253Dtrue%2526deny_category_prediction%253Dtrue%2526from_global%253Dtrue%2526text%253D%2525D0%2525BF%2525D0%2525B8%2525D1%252589%2525D0%2525B5%2525D0%2525B2%2525D0%2525BE%2525D0%2525B9%252B%2525D0%2525BA%2525D1%252580%2525D0%2525B0%2525D1%252581%2525D0%2525B8%2525D1%252582%2525D0%2525B5%2525D0%2525BB%2525D1%25258C&amp;keywords=%D0%BF%D0%B8%D1%89%D0%B5%D0%B2%D0%BE%D0%B9+%D0%BA%D1%80%D0%B0%D1%81%D0%B8%D1%82%D0%B5%D0%BB%D1%8C&amp;oos_search=false" TargetMode="External"/><Relationship Id="rId62" Type="http://schemas.openxmlformats.org/officeDocument/2006/relationships/hyperlink" Target="https://europa-market.ru/product/krupa-perlovaya-evropa-800g-195181" TargetMode="External"/><Relationship Id="rId70" Type="http://schemas.openxmlformats.org/officeDocument/2006/relationships/hyperlink" Target="https://www.ozon.ru/product/drozhzhi-spirtovye-turbo-bragman-industrial-200l-520-g-bragman-indastrial-200-litrov-dlya-samogona-170040789/?from_sku=170040789&amp;oos_search=false" TargetMode="External"/><Relationship Id="rId75" Type="http://schemas.openxmlformats.org/officeDocument/2006/relationships/hyperlink" Target="https://www.ozon.ru/product/lukovyy-poroshok-sushenyy-molotyy-luk-premium-768326092/?at=jYtZ4q0yli5X4LLxUA1mEJyhVXEw9LsWjXN5ETqRNJk9" TargetMode="External"/><Relationship Id="rId83" Type="http://schemas.openxmlformats.org/officeDocument/2006/relationships/printerSettings" Target="../printerSettings/printerSettings1.bin"/><Relationship Id="rId88" Type="http://schemas.openxmlformats.org/officeDocument/2006/relationships/comments" Target="../comments1.xml"/><Relationship Id="rId1" Type="http://schemas.openxmlformats.org/officeDocument/2006/relationships/hyperlink" Target="https://www.ozon.ru/product/albumin-suhaya-krov-500-g-1322993999/?advert=WgH1jWyJ2xR4m3qsH69r18INvBzlRjw-YyAfI0X_KZvjKExBTIfUcPTS9QHk8z5DFa5t7E1maeRETo4mzjfETvVWuR01-IzMjkZxddNsi4MaTswRKhxUJHBereKHissou6K-J_QS27jxBxSiF_1ZGZ8onIRfCgw9WZKadb6ZZ51n9b0ICnKOHDKGyhdPq5rS8Xw-iUtbBJbyLy-kyqZ4PKghhCcuFRGNkxGr1ynten7J4Zh6Y7OUK9YYLIh1QaSdM3UW7OEHmUU2HZAwfsmmeMmWFqeX-6dU319hEpGGUiCrJYE-wECw2igo8x1AhdKmex1IwFe_qEIvkAtkxxz7tPuKzMgTdg&amp;avtc=1&amp;avte=2&amp;avts=1707737098&amp;keywords=%D0%B0%D0%BB%D1%8C%D0%B1%D1%83%D0%BC%D0%B8%D0%BD+%D0%BA%D1%80%D0%BE%D0%B2%D1%8C" TargetMode="External"/><Relationship Id="rId6" Type="http://schemas.openxmlformats.org/officeDocument/2006/relationships/hyperlink" Target="https://www.ozon.ru/product/perets-belyy-goroshek-perets-goroshkom-noyer-250-gr-202659590/?advert=8BHobJ2dMPS1dFRDwQGkLycUQ2fVnrPKn4RSiHK4exa858Rl7kqxljM0Qd1uJrhuLrRJoePWxtlQbOOaWbK2_3hQj0UW6AA-0jtala5o1TZYtdq7PfC6pCNhrcanUb_ekgDHYCaN4n1lklgecabQeOklJFPx0SIg21dK20Zm5ajUQ0awHn2j37i8gBAPY1FSReJOSNRZ_D1R2lunlwVD8wvUOdqhjPKIcWfcd79L5gnpYTJ39Ad34eg_VtPWIv9_x_1rrMqIrSSYtNGXkeu_E31DtziBfCW0m2ho9d88idRKDt06W2B50Nq1DPsufY3i0rXXSNV6hJbRx3Yj8w5sb3H2YA&amp;avtc=1&amp;avte=2&amp;avts=1707737980&amp;keywords=%D0%BF%D0%B5%D1%80%D0%B5%D1%86+%D0%B1%D0%B5%D0%BB%D1%8B%D0%B9" TargetMode="External"/><Relationship Id="rId15" Type="http://schemas.openxmlformats.org/officeDocument/2006/relationships/hyperlink" Target="https://www.ozon.ru/product/koriandr-molotyy-indana-450-g-1000-ml-s-dozatorom-213559863/?asb=1ltog0we0G88m1FFn2F5shKV4%252F7pdj5oB8ZM1X75AZE%253D&amp;asb2=wXOU-hGDvQgn8wjTd4_ItEm_u7WyO_tfGRKwfj1wQGidcJpAjXEXcaq8I7nyQVNw6WOWttA32Aoq-DkyhKiR1w&amp;avtc=1&amp;avte=2&amp;avts=1707742194&amp;keywords=%D0%BA%D0%BE%D1%80%D0%B8%D0%B0%D0%BD%D0%B4%D1%80+%D0%B8%D0%BD%D0%B4%D0%B0%D0%BD%D0%B0" TargetMode="External"/><Relationship Id="rId23" Type="http://schemas.openxmlformats.org/officeDocument/2006/relationships/hyperlink" Target="https://www.emkolbaski.ru/opt-nitritnaya-sol-25-kg-meshok/" TargetMode="External"/><Relationship Id="rId28" Type="http://schemas.openxmlformats.org/officeDocument/2006/relationships/hyperlink" Target="https://www.ozon.ru/product/selderey-zelen-sushenaya-premium-768342160/?advert=XGwIYthANmybBR7bUJGbBCZ2JupU8s0qaJjBscUughSH4sr4UPQF-AYGEKnJ6S_FdZXOg9LmRiynhAHS_7NWLFwbs1Dvh7kWTg8Zhh_fCBkWgHmgLzmGhBlC_sMLdCkqdxq_1WFodJe2F87JQ9IvCceBHdWalyQIR7lOU4eg1jpwETEO9JH3RfUGSknFaNNHv-TdPhi2V25bSrqJTh4zBgygA-hiIRCv9o8YNFTPaGOeBhn00vE6iTz_3f2TYlOcNolTdI_XK7dkbg9Sbi-B1wK-XwplNhKNYQc4IYSYT2aTRazbWxeTkSflob63RDzfi9Wdw5ArQDe3VqTD60TePqXCc3U&amp;avtc=1&amp;avte=2&amp;avts=1707743187&amp;from_sku=768342160&amp;from_url=https%253A%252F%252Fwww.ozon.ru%252Fcategory%252Fspetsii-pripravy-i-pryanosti-9411%252F%253Fcategory_was_predicted%253Dtrue%2526deny_category_prediction%253Dtrue%2526from_global%253Dtrue%2526text%253D%2525D1%252581%2525D0%2525B5%2525D0%2525BB%2525D1%25258C%2525D0%2525B4%2525D0%2525B5%2525D1%252580%2525D0%2525B5%2525D0%2525B9%252B%2525D1%252581%2525D1%252583%2525D1%252588%2525D0%2525B5%2525D0%2525BD%2525D1%25258B%2525D0%2525B9&amp;keywords=%D1%81%D0%B5%D0%BB%D1%8C%D0%B4%D0%B5%D1%80%D0%B5%D0%B9+%D1%81%D1%83%D1%88%D0%B5%D0%BD%D1%8B%D0%B9&amp;oos_search=false" TargetMode="External"/><Relationship Id="rId36" Type="http://schemas.openxmlformats.org/officeDocument/2006/relationships/hyperlink" Target="https://www.emkolbaski.ru/opt-poliamidnaya-dlya-varenyih-kolbas-i-vetchin-80mm-50m/" TargetMode="External"/><Relationship Id="rId49" Type="http://schemas.openxmlformats.org/officeDocument/2006/relationships/hyperlink" Target="https://www.emkolbaski.ru/polimernaya-obolochka-dlya-syirovyaleniya-aytsel-25-m/" TargetMode="External"/><Relationship Id="rId57" Type="http://schemas.openxmlformats.org/officeDocument/2006/relationships/hyperlink" Target="https://europa-market.ru/product/luk-repchaty-imp-ves-63375" TargetMode="External"/><Relationship Id="rId10" Type="http://schemas.openxmlformats.org/officeDocument/2006/relationships/hyperlink" Target="https://www.ozon.ru/product/tmin-molotyy-indana-250-g-500-ml-s-dozatorom-246968539/?asb=JZKPwwwmcYbiTKFw6Nx1TvEzhisBxpluURYM0ojxm6c%253D&amp;asb2=FoZVfZvvg_YNPk3G5AdXD1XTvbJfZSIeJs71aTn1pqr1njL4nI0buJA6SuojA2IwgTn4T1r2rZBpJRJsFlnkqw&amp;avtc=1&amp;avte=2&amp;avts=1707738294&amp;keywords=%D1%82%D0%BC%D0%B8%D0%BD+%D0%B8%D0%BD%D0%B4%D0%B0%D0%BD%D0%B0" TargetMode="External"/><Relationship Id="rId31" Type="http://schemas.openxmlformats.org/officeDocument/2006/relationships/hyperlink" Target="https://www.ozon.ru/product/myata-perechnaya-sushenaya-premium-768746378/?advert=zalKR-5ATDvoB1EJJ6wjyn8HNU1jjiMhmymbL7xk3zBKqT69CI97dh7hqXyx0juVI1T_rEwYo5FouWkv0QZ0ytpsfNMAotcOdMDqPqQs_TnRlDA-yR_qfyYIZNENVEKEzCHqcem1XaXGybhVQLFHKL4q5R8tlBZAbLFvASpzVANrudqt3zKrHq-j9sgymh6kKqUIGqTwEkdQLRvdtFrV1Yi9CSfCvdqo4D04fLqaCJSYWPBjN9d2bVGc2PtlkBuzGQWUNZUJ3xRUnTYjmimB2vhBYorIdp4v_EUM-bbuOVyKr7MtbtwAnymbb4P3wpMf_vDsReah1hrLepZNdHMn9D83YB16cg&amp;avtc=1&amp;avte=2&amp;avts=1707743431&amp;keywords=%D0%BC%D1%8F%D1%82%D0%B0+%D0%BF%D1%80%D0%B8%D0%BF%D1%80%D0%B0%D0%B2%D0%B0" TargetMode="External"/><Relationship Id="rId44" Type="http://schemas.openxmlformats.org/officeDocument/2006/relationships/hyperlink" Target="https://europa-market.ru/product/suhoe-moloko-dlya-vypechki-14442" TargetMode="External"/><Relationship Id="rId52" Type="http://schemas.openxmlformats.org/officeDocument/2006/relationships/hyperlink" Target="https://www.ozon.ru/product/uksus-stolovyy-9-1-l-1194373193/?asb=JJcBcZ7ziYoa3HIQp4ZdengleeWRozYonKsXrWO0voU%253D&amp;asb2=A76e3IcR_s7my54OCQGu1v999jGlP_9o0fL8qUi0At5x6Bje-PC60z16WXDC_U64hubYV3gu5OFKH_Ce0i64tA&amp;avtc=1&amp;avte=2&amp;avts=1710312762&amp;keywords=%D1%83%D0%BA%D1%81%D1%83%D1%81&amp;sh=30m-0Ss5Nw" TargetMode="External"/><Relationship Id="rId60" Type="http://schemas.openxmlformats.org/officeDocument/2006/relationships/hyperlink" Target="https://www.ozon.ru/product/anis-semena-tm-indana-200-gr-500-ml-497986659/?asb=QN7Q%252B1ybxRDDf67GQaR12IrMspWrg8JzSMs84Jqp1d0%253D&amp;asb2=gfU34VYJu3OhK2gzO-T-uCkes09f9_Rb5iSh_upm406bKKh0PE-yE-miLq5EHtF2gN3Eh3iNX_2bBSFutS90kA&amp;avtc=1&amp;avte=2&amp;avts=1722842840&amp;keywords=%D0%B0%D0%BD%D0%B8%D1%81" TargetMode="External"/><Relationship Id="rId65" Type="http://schemas.openxmlformats.org/officeDocument/2006/relationships/hyperlink" Target="https://europa-market.ru/product/petrushka-vesovaya-39756" TargetMode="External"/><Relationship Id="rId73" Type="http://schemas.openxmlformats.org/officeDocument/2006/relationships/hyperlink" Target="https://europa-market.ru/product/forel-sm-b-g-krupnaya-53133" TargetMode="External"/><Relationship Id="rId78" Type="http://schemas.openxmlformats.org/officeDocument/2006/relationships/hyperlink" Target="https://europa-market.ru/product/nut-agro-alyans-450-g-ekstra-292778" TargetMode="External"/><Relationship Id="rId81" Type="http://schemas.openxmlformats.org/officeDocument/2006/relationships/hyperlink" Target="https://www.ozon.ru/product/barbaris-sushenyy-hobbyhelper-krasnyy-banka-100g-1323184020/?at=VvtzVx2oMskEl6R1i5Oz0VNsglx9KBIojPl8KUXEGDrV" TargetMode="External"/><Relationship Id="rId86" Type="http://schemas.openxmlformats.org/officeDocument/2006/relationships/table" Target="../tables/table5.xml"/><Relationship Id="rId4" Type="http://schemas.openxmlformats.org/officeDocument/2006/relationships/hyperlink" Target="https://europa-market.ru/product/sol-1kg-pischevaya-v-pachke-312405" TargetMode="External"/><Relationship Id="rId9" Type="http://schemas.openxmlformats.org/officeDocument/2006/relationships/hyperlink" Target="https://www.ozon.ru/product/perets-chernyy-goroshek-goroshkom-tm-indana-1-000-ml-500-gr-756635104/?asb=h9UTCx6uWapZtVevi4rZb5937A%252FKap2BN5pSrQBDG54%253D&amp;asb2=gXFeKw9o4pEwa30p4HUgQY6JXE5Ji234PVobcdiYqwhmk6CIigaDNgQoDtJusog64PGGJNRWTOfO1v8tAp_QDg&amp;avtc=1&amp;avte=2&amp;avts=1707738213&amp;from_sku=760689187&amp;from_url=https%253A%252F%252Fwww.ozon.ru%252Fcategory%252Fspetsii-pripravy-i-pryanosti-9411%252F%253Fcategory_was_predicted%253Dtrue%2526deny_category_prediction%253Dtrue%2526from_global%253Dtrue%2526text%253D%2525D0%25259F%2525D0%2525B5%2525D1%252580%2525D0%2525B5%2525D1%252586%252B%2525D1%252587%2525D0%2525B5%2525D1%252580%2525D0%2525BD%2525D1%25258B%2525D0%2525B9%252B%2525D0%2525B3%2525D0%2525BE%2525D1%252580%2525D0%2525BE%2525D1%252588%2525D0%2525B5%2525D0%2525BA&amp;keywords=%D0%9F%D0%B5%D1%80%D0%B5%D1%86+%D1%87%D0%B5%D1%80%D0%BD%D1%8B%D0%B9+%D0%B3%D0%BE%D1%80%D0%BE%D1%88%D0%B5%D0%BA&amp;oos_search=false" TargetMode="External"/><Relationship Id="rId13" Type="http://schemas.openxmlformats.org/officeDocument/2006/relationships/hyperlink" Target="https://www.ozon.ru/product/chesnok-sushenyy-granulirovannyy-indana-600-g-1000-ml-s-dozatorom-214345648/?asb=eQAJAslsEl3hfvK%252Ba2e8gk490X1G3bIW62VSYDBqiC8%253D&amp;asb2=7oHyX2i4TKVDbVaejY0EFrGR4tmzWmnOxjkPeaulcsgWxdlobfNruWaEz9mXj3mKcgjiV4WCyScL_XxWg2bMSA&amp;avtc=1&amp;avte=2&amp;avts=1707742061&amp;keywords=%D0%A7%D0%B5%D1%81%D0%BD%D0%BE%D0%BA+%D1%81%D1%83%D1%88%D0%B5%D0%BD%D1%8B%D0%B9+%D0%B3%D1%80%D0%B0%D0%BD%D1%83%D0%BB%D0%B8%D1%80%D0%BE%D0%B2%D0%B0%D0%BD%D0%BD%D1%8B%D0%B9+%D0%B8%D0%BD%D0%B4%D0%B0%D0%BD%D0%B0" TargetMode="External"/><Relationship Id="rId18" Type="http://schemas.openxmlformats.org/officeDocument/2006/relationships/hyperlink" Target="https://www.ozon.ru/product/glutamat-natriya-naturalnyy-1-000-ml-800-gr-priprava-usilitel-vkusa-i-aromata-pishchevaya-dobavka-529935601/?asb=YilaFTsvEn6wjCkP6F4trF0ocqBhTxnCAH2nCSxN0Zo%253D&amp;asb2=GjEKjDkC8u7fgohsAoudAzKHX4Y-LSzLsMhb_Zgcld_uW59GlgWu-Ba8UNYp4RJSnbpLnS5oph2wjpPv4N_3bg&amp;avtc=1&amp;avte=2&amp;avts=1707742410&amp;keywords=%D0%B3%D0%BB%D1%83%D1%82%D0%B0%D0%BC%D0%B0%D1%82+%D0%BD%D0%B0%D1%82%D1%80%D0%B8%D1%8F" TargetMode="External"/><Relationship Id="rId39" Type="http://schemas.openxmlformats.org/officeDocument/2006/relationships/hyperlink" Target="https://www.emkolbaski.ru/svinaya-chereva-32-34-91-44m-puchok/" TargetMode="External"/><Relationship Id="rId34" Type="http://schemas.openxmlformats.org/officeDocument/2006/relationships/hyperlink" Target="https://www.emkolbaski.ru/smes-priprav-dlya-mortadellyi-1-kg-i-2-kg/" TargetMode="External"/><Relationship Id="rId50" Type="http://schemas.openxmlformats.org/officeDocument/2006/relationships/hyperlink" Target="https://www.emkolbaski.ru/opt-poliamidnaya-dlya-varenyih-kolbas-i-vetchin-60mm-50m/" TargetMode="External"/><Relationship Id="rId55" Type="http://schemas.openxmlformats.org/officeDocument/2006/relationships/hyperlink" Target="https://www.ozon.ru/product/perets-chernyy-molotyy-indana-550-gr-1-000-ml-s-dozatorom-828189366/?asb=7en7P0wAd5kvvszbV1WeM%252FgtfVIz9RY7AvIQfcJf6Dg%253D&amp;asb2=esQMXwpiJvaW-0bW63-GP81CVBOqAXp92-JqRhH1uzO--SM1xdK6mV89TyNxVP6z&amp;avtc=1&amp;avte=2&amp;avts=1714285685&amp;keywords=%D0%9F%D0%B5%D1%80%D0%B5%D1%86+%D1%87%D0%B5%D1%80%D0%BD%D1%8B%D0%B9+%D0%BC%D0%BE%D0%BB%D0%BE%D1%82%D1%8B%D0%B9+%D0%98%D0%BD%D0%B4%D0%B0%D0%BD%D0%B0+550+%D0%B3%D1%80.%2F1+000+%D0%BC%D0%BB.%2C+%D1%81+%D0%B4%D0%BE%D0%B7%D0%B0%D1%82%D0%BE%D1%80%D0%BE%D0%BC" TargetMode="External"/><Relationship Id="rId76" Type="http://schemas.openxmlformats.org/officeDocument/2006/relationships/hyperlink" Target="https://www.emkolbaski.ru/chereva-baranya-10-m-91m/" TargetMode="External"/><Relationship Id="rId7" Type="http://schemas.openxmlformats.org/officeDocument/2006/relationships/hyperlink" Target="https://www.ozon.ru/product/perets-dushistyy-indana-goroshek-180-gr-500-ml-246968553/?asb=JxAFr7l02thPpPsRizYkzDXgnlsDVP8fSfG4h%252FDYFSE%253D&amp;asb2=MIKSXjUVv4NhTLuJTx3iW1zm9K4GXseixcJeqGnQcVusSZ5YKJq3El7t58KdaLg7zNPVgpUE10j9k-t0cfdR7g&amp;avtc=1&amp;avte=4&amp;avts=1707738061&amp;keywords=%D0%BF%D0%B5%D1%80%D0%B5%D1%86+%D0%B4%D1%83%D1%88%D0%B8%D1%81%D1%82%D1%8B%D0%B9" TargetMode="External"/><Relationship Id="rId71" Type="http://schemas.openxmlformats.org/officeDocument/2006/relationships/hyperlink" Target="https://europa-market.ru/product/morkov-ves-62910" TargetMode="External"/><Relationship Id="rId2" Type="http://schemas.openxmlformats.org/officeDocument/2006/relationships/hyperlink" Target="https://www.ozon.ru/product/zhelatin-gala-aspik-s-aromatom-govyadiny-100-gr-5-paketov-1328180818/?asb=jK3IjhYApm4BUADftYPW95zEz4T8BFbi8YFKm2Vv9cw%253D&amp;asb2=xS837CmAFlS9DLw31mqUiIT96wi_m0Gfz4eddPABA-I3ClqvtIhnu0XMeZOq0h44&amp;avtc=1&amp;avte=2&amp;avts=1707737176&amp;from_sku=846913059&amp;from_url=https%253A%252F%252Fwww.ozon.ru%252Fsearch%252F%253Ftext%253D%2525D0%252590%2525D1%252581%2525D0%2525BF%2525D0%2525B8%2525D0%2525BA%25252C%252B220%252B%2525D0%2525B1%2525D0%2525BB%2525D1%25258E%2525D0%2525BC%2526from_global%253Dtrue&amp;keywords=%D0%90%D1%81%D0%BF%D0%B8%D0%BA%2C+220+%D0%B1%D0%BB%D1%8E%D0%BC&amp;oos_search=false" TargetMode="External"/><Relationship Id="rId29" Type="http://schemas.openxmlformats.org/officeDocument/2006/relationships/hyperlink" Target="https://www.ozon.ru/product/lavrovyy-list-tselyy-sushenyy-indana-50-g-1000-ml-754886890/?asb=l8kZCJa35wsBa5mTBcFqmbcDYiSpeBAU73fP%252BQPWGhU%253D&amp;asb2=x2Hfydn_Bvosr8UeJ8kLFiPTNqd8SM7EM9Xkd58X8EzoY1CmM0W5zcD1RLVnvcxNs28taFRadEmJpm_6dp0boQ&amp;avtc=1&amp;avte=2&amp;avts=1707743315&amp;keywords=%D0%BB%D0%B0%D0%B2%D1%80%D0%BE%D0%B2%D1%8B%D0%B9+%D0%BB%D0%B8%D1%81%D1%82" TargetMode="External"/><Relationship Id="rId24" Type="http://schemas.openxmlformats.org/officeDocument/2006/relationships/hyperlink" Target="https://www.emkolbaski.ru/startovyie-kulturyi-i-quot-t-sp-i-quot-dlya-s-v-s-k-kolbas-i-quot-klassicheskiy-evropeyskiy-vkus-i-quot-5gr-umenshennaya-fasovka/" TargetMode="External"/><Relationship Id="rId40" Type="http://schemas.openxmlformats.org/officeDocument/2006/relationships/hyperlink" Target="https://www.emkolbaski.ru/poliamidnaya-sosisochnaya-obolochka/" TargetMode="External"/><Relationship Id="rId45" Type="http://schemas.openxmlformats.org/officeDocument/2006/relationships/hyperlink" Target="https://europa-market.ru/product/fistashki-500g-orehovaya-dolina-888583" TargetMode="External"/><Relationship Id="rId66" Type="http://schemas.openxmlformats.org/officeDocument/2006/relationships/hyperlink" Target="https://www.ozon.ru/product/kurkuma-hobbyhelper-molotaya-350g-207400581/?asb2=IQWtR125aLQOHaXwUahKAdxOir8GbBcTrN9Q47KQ2w51zNOKoV-Gv6Zz7Y2UpdDMm-iLOHmTatoSDt6HuSOAEw&amp;avtc=1&amp;avte=2&amp;avts=1728635540&amp;keywords=%D0%BA%D1%83%D1%80%D0%BA%D1%83%D0%BC%D0%B0" TargetMode="External"/><Relationship Id="rId87" Type="http://schemas.microsoft.com/office/2007/relationships/slicer" Target="../slicers/slicer1.xml"/><Relationship Id="rId61" Type="http://schemas.openxmlformats.org/officeDocument/2006/relationships/hyperlink" Target="https://www.ozon.ru/product/krahmal-kartofelnyy-gost-3sht-po-1-kg-rosplanta-bez-glyutena-vysshiy-sort-838789167/?asb2=XNnUHaUoEjxaR8o6lsxcjdfrj-tqJoj1DlxxuT_wWEj39tAAmcaU4f0rRiMjSZBTnUH2-E3m4UrAOOkLExXzxA&amp;avtc=1&amp;avte=2&amp;avts=1722844188" TargetMode="External"/><Relationship Id="rId82" Type="http://schemas.openxmlformats.org/officeDocument/2006/relationships/hyperlink" Target="https://europa-market.ru/product/chesnok-molodoy-ves-1561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AUk8hq2wdRI" TargetMode="External"/><Relationship Id="rId299" Type="http://schemas.openxmlformats.org/officeDocument/2006/relationships/hyperlink" Target="https://www.youtube.com/watch?v=S6Ug6ilt2fE" TargetMode="External"/><Relationship Id="rId21" Type="http://schemas.openxmlformats.org/officeDocument/2006/relationships/hyperlink" Target="../../../../Video/&#1050;&#1086;&#1083;&#1073;&#1072;&#1089;&#1072;_&#1088;&#1077;&#1094;&#1077;&#1087;&#1090;&#1099;/&#1050;&#1040;&#1056;&#1040;&#1057;&#1068;%20&#1093;&#1086;&#1083;&#1086;&#1076;&#1085;&#1086;&#1075;&#1086;%20&#1082;&#1086;&#1087;&#1095;&#1077;&#1085;&#1080;&#1103;%20&#1087;&#1086;%20&#1082;&#1072;&#1079;&#1072;&#1093;&#1089;&#1082;&#1080;%20&#1086;&#1090;%20&#1048;&#1043;&#1054;&#1056;&#1071;%20&#1074;%20&#1082;&#1086;&#1087;&#1090;&#1080;&#1083;&#1100;&#1085;&#1077;%20&#1084;&#1086;&#1089;&#1082;&#1080;&#1090;.mp4" TargetMode="External"/><Relationship Id="rId63" Type="http://schemas.openxmlformats.org/officeDocument/2006/relationships/hyperlink" Target="../../../../Video/&#1050;&#1086;&#1083;&#1073;&#1072;&#1089;&#1072;_&#1088;&#1077;&#1094;&#1077;&#1087;&#1090;&#1099;/&#1050;&#1040;&#1056;&#1040;&#1057;&#1068;%20&#1093;&#1086;&#1083;&#1086;&#1076;&#1085;&#1086;&#1075;&#1086;%20&#1082;&#1086;&#1087;&#1095;&#1077;&#1085;&#1080;&#1103;%20&#1087;&#1086;%20&#1082;&#1072;&#1079;&#1072;&#1093;&#1089;&#1082;&#1080;%20&#1086;&#1090;%20&#1048;&#1043;&#1054;&#1056;&#1071;%20&#1074;%20&#1082;&#1086;&#1087;&#1090;&#1080;&#1083;&#1100;&#1085;&#1077;%20&#1084;&#1086;&#1089;&#1082;&#1080;&#1090;.mp4" TargetMode="External"/><Relationship Id="rId159" Type="http://schemas.openxmlformats.org/officeDocument/2006/relationships/hyperlink" Target="https://www.youtube.com/watch?v=Kn8ZRKjfc9s" TargetMode="External"/><Relationship Id="rId324" Type="http://schemas.openxmlformats.org/officeDocument/2006/relationships/hyperlink" Target="https://www.youtube.com/watch?v=7cFAvk39Ji0&amp;t=3s" TargetMode="External"/><Relationship Id="rId366" Type="http://schemas.openxmlformats.org/officeDocument/2006/relationships/hyperlink" Target="https://www.youtube.com/watch?v=JL9fOZ3WnMI" TargetMode="External"/><Relationship Id="rId170" Type="http://schemas.openxmlformats.org/officeDocument/2006/relationships/hyperlink" Target="https://www.youtube.com/watch?v=Kn8ZRKjfc9s" TargetMode="External"/><Relationship Id="rId226" Type="http://schemas.openxmlformats.org/officeDocument/2006/relationships/hyperlink" Target="https://www.youtube.com/watch?v=bHoFNz9opco" TargetMode="External"/><Relationship Id="rId268" Type="http://schemas.openxmlformats.org/officeDocument/2006/relationships/hyperlink" Target="../../../../Video/&#1050;&#1086;&#1083;&#1073;&#1072;&#1089;&#1072;_&#1088;&#1077;&#1094;&#1077;&#1087;&#1090;&#1099;/&#1056;&#1077;&#1094;&#1077;&#1087;&#1090;%20&#1082;&#1086;&#1083;&#1073;&#1072;&#1089;&#1086;&#1082;%20&#1080;&#1079;%20&#1052;&#1054;&#1045;&#1049;%20&#1061;&#1054;&#1058;&#1044;&#1054;&#1046;&#1053;&#1054;&#1049;%20&#1074;%20&#1055;&#1080;&#1090;&#1077;&#1088;&#1077;!.mp4" TargetMode="External"/><Relationship Id="rId32" Type="http://schemas.openxmlformats.org/officeDocument/2006/relationships/hyperlink" Target="../../../../Video/&#1050;&#1086;&#1083;&#1073;&#1072;&#1089;&#1072;_&#1088;&#1077;&#1094;&#1077;&#1087;&#1090;&#1099;/&#1050;&#1083;&#1072;&#1089;&#1089;&#1080;&#1095;&#1077;&#1089;&#1082;&#1072;&#1103;%20&#1050;&#1088;&#1072;&#1082;&#1086;&#1074;&#1089;&#1082;&#1072;&#1103;%20&#1082;&#1086;&#1083;&#1073;&#1072;&#1089;&#1072;%20&#1087;&#1086;&#1083;&#1091;&#1082;&#1086;&#1087;&#1095;&#1077;&#1085;&#1072;&#1103;%20&#1089;&#1074;&#1086;&#1080;&#1084;&#1080;%20&#1088;&#1091;&#1082;&#1072;&#1084;&#1080;.mp4" TargetMode="External"/><Relationship Id="rId74" Type="http://schemas.openxmlformats.org/officeDocument/2006/relationships/hyperlink" Target="../../../../Video/&#1050;&#1086;&#1083;&#1073;&#1072;&#1089;&#1072;_&#1088;&#1077;&#1094;&#1077;&#1087;&#1090;&#1099;/&#1045;&#1074;&#1088;&#1077;&#1081;&#1089;&#1082;&#1072;&#1103;%20&#1082;&#1086;&#1087;&#1095;&#1105;&#1085;&#1072;&#1103;%20&#1082;&#1086;&#1083;&#1073;&#1072;&#1089;&#1072;%20&#1074;%20&#1076;&#1086;&#1084;&#1072;&#1096;&#1085;&#1080;&#1093;%20&#1091;&#1089;&#1083;&#1086;&#1074;&#1080;&#1103;&#1093;.%20&#1057;&#1090;&#1072;&#1085;&#1076;&#1072;&#1088;&#1090;%201938&#1075;.mp4" TargetMode="External"/><Relationship Id="rId128" Type="http://schemas.openxmlformats.org/officeDocument/2006/relationships/hyperlink" Target="../../../../Video/&#1050;&#1086;&#1083;&#1073;&#1072;&#1089;&#1072;_&#1088;&#1077;&#1094;&#1077;&#1087;&#1090;&#1099;/&#1057;&#1040;&#1052;&#1040;&#1071;%20&#1042;&#1050;&#1059;&#1057;&#1053;&#1040;&#1071;%20&#1050;&#1056;&#1054;&#1042;&#1071;&#1053;&#1050;&#1040;%20-%20&#1071;&#1079;&#1099;&#1082;&#1086;&#1074;&#1072;&#1103;%20&#1082;&#1088;&#1086;&#1074;&#1103;&#1085;&#1072;&#1103;%20&#1082;&#1086;&#1083;&#1073;&#1072;&#1089;&#1072;!%20&#1056;&#1054;&#1047;&#1067;&#1043;&#1056;&#1067;&#1064;%20&#1055;&#1056;&#1048;&#1047;&#1054;&#1042;.mp4" TargetMode="External"/><Relationship Id="rId335" Type="http://schemas.openxmlformats.org/officeDocument/2006/relationships/hyperlink" Target="https://www.youtube.com/watch?v=F10ChDTJQn4" TargetMode="External"/><Relationship Id="rId377" Type="http://schemas.openxmlformats.org/officeDocument/2006/relationships/hyperlink" Target="https://www.youtube.com/watch?v=pO4cS1NcSig&amp;t=527s" TargetMode="External"/><Relationship Id="rId5" Type="http://schemas.openxmlformats.org/officeDocument/2006/relationships/hyperlink" Target="https://www.youtube.com/watch?v=S6Ug6ilt2fE" TargetMode="External"/><Relationship Id="rId181" Type="http://schemas.openxmlformats.org/officeDocument/2006/relationships/hyperlink" Target="https://www.youtube.com/watch?v=fvRBCLYYmZM" TargetMode="External"/><Relationship Id="rId237" Type="http://schemas.openxmlformats.org/officeDocument/2006/relationships/hyperlink" Target="https://www.youtube.com/watch?v=l4YTFXybrO4" TargetMode="External"/><Relationship Id="rId402" Type="http://schemas.openxmlformats.org/officeDocument/2006/relationships/hyperlink" Target="https://www.youtube.com/watch?v=PwFXCb96LRQ&amp;t=445s" TargetMode="External"/><Relationship Id="rId279" Type="http://schemas.openxmlformats.org/officeDocument/2006/relationships/hyperlink" Target="https://www.youtube.com/watch?v=QZoNgAaBgY0" TargetMode="External"/><Relationship Id="rId43" Type="http://schemas.openxmlformats.org/officeDocument/2006/relationships/hyperlink" Target="../../../../Video/&#1050;&#1086;&#1083;&#1073;&#1072;&#1089;&#1072;_&#1088;&#1077;&#1094;&#1077;&#1087;&#1090;&#1099;/&#1044;&#1086;&#1082;&#1090;&#1086;&#1088;&#1089;&#1082;&#1072;&#1103;%20&#1082;&#1086;&#1083;&#1073;&#1072;&#1089;&#1072;%20&#1043;&#1054;&#1057;&#1058;%2023670-79%20&#1074;%20&#1076;&#1086;&#1084;&#1072;&#1096;&#1085;&#1080;&#1093;%20&#1091;&#1089;&#1083;&#1086;&#1074;&#1080;&#1103;&#1093;.mp4" TargetMode="External"/><Relationship Id="rId139" Type="http://schemas.openxmlformats.org/officeDocument/2006/relationships/hyperlink" Target="https://www.youtube.com/watch?v=F10ChDTJQn4" TargetMode="External"/><Relationship Id="rId290" Type="http://schemas.openxmlformats.org/officeDocument/2006/relationships/hyperlink" Target="https://www.youtube.com/watch?v=mgB4QoUK4dk" TargetMode="External"/><Relationship Id="rId304" Type="http://schemas.openxmlformats.org/officeDocument/2006/relationships/hyperlink" Target="https://www.youtube.com/watch?v=S6Ug6ilt2fE" TargetMode="External"/><Relationship Id="rId346" Type="http://schemas.openxmlformats.org/officeDocument/2006/relationships/hyperlink" Target="https://www.youtube.com/watch?v=mvaLbMCDunw&amp;t=2s" TargetMode="External"/><Relationship Id="rId388" Type="http://schemas.openxmlformats.org/officeDocument/2006/relationships/hyperlink" Target="https://1000.menu/cooking/42853-pelmeni-domashnie-klassicheskie" TargetMode="External"/><Relationship Id="rId85" Type="http://schemas.openxmlformats.org/officeDocument/2006/relationships/hyperlink" Target="../../../../Video/&#1050;&#1086;&#1083;&#1073;&#1072;&#1089;&#1072;_&#1088;&#1077;&#1094;&#1077;&#1087;&#1090;&#1099;/&#1052;&#1054;&#1057;&#1050;&#1054;&#1042;&#1057;&#1050;&#1040;&#1071;%20&#1050;&#1054;&#1055;&#1063;&#1045;&#1053;&#1040;&#1071;%20&#1076;&#1086;&#1084;&#1072;&#1096;&#1085;&#1103;&#1103;%20&#1082;&#1086;&#1083;&#1073;&#1072;&#1089;&#1072;%20&#1043;&#1054;&#1057;&#1058;%201938.mp4" TargetMode="External"/><Relationship Id="rId150" Type="http://schemas.openxmlformats.org/officeDocument/2006/relationships/hyperlink" Target="../../../../Video/&#1050;&#1086;&#1083;&#1073;&#1072;&#1089;&#1072;_&#1088;&#1077;&#1094;&#1077;&#1087;&#1090;&#1099;/&#1044;&#1077;&#1083;&#1072;&#1077;&#1084;%20&#1060;&#1059;&#1069;&#1058;%20&#8212;%20&#1080;&#1089;&#1087;&#1072;&#1085;&#1089;&#1082;&#1072;&#1103;%20&#1089;&#1099;&#1088;&#1086;&#1074;&#1103;&#1083;&#1077;&#1085;&#1072;&#1103;%20&#1082;&#1086;&#1083;&#1073;&#1072;&#1089;&#1072;%20&#1074;%20&#1087;&#1083;&#1077;&#1089;&#1077;&#1085;&#1080;.%20FUET.mp4" TargetMode="External"/><Relationship Id="rId192" Type="http://schemas.openxmlformats.org/officeDocument/2006/relationships/hyperlink" Target="https://www.youtube.com/watch?v=sOpq7K5NJdk" TargetMode="External"/><Relationship Id="rId206" Type="http://schemas.openxmlformats.org/officeDocument/2006/relationships/hyperlink" Target="../../../../Video/&#1050;&#1086;&#1083;&#1073;&#1072;&#1089;&#1072;_&#1088;&#1077;&#1094;&#1077;&#1087;&#1090;&#1099;/&#127470;&#127481;&#128293;&#127869;&#65039;%20&#1050;&#1083;&#1072;&#1089;&#1089;&#1080;&#1095;&#1077;&#1089;&#1082;&#1072;&#1103;%20&#1048;&#1090;&#1072;&#1083;&#1100;&#1103;&#1085;&#1089;&#1082;&#1072;&#1103;%20&#1052;&#1054;&#1056;&#1058;&#1040;&#1044;&#1045;&#1051;&#1051;&#1040;%20&#1074;%20&#1044;&#1091;&#1093;&#1086;&#1074;&#1082;&#1077;!%20&#127838;&#128104;&#8205;&#127859;&#128105;&#8205;&#127859;&#127470;&#127481;&#127830;&#128076;.mp4" TargetMode="External"/><Relationship Id="rId413" Type="http://schemas.openxmlformats.org/officeDocument/2006/relationships/hyperlink" Target="https://youtu.be/dqZj1rANEhA" TargetMode="External"/><Relationship Id="rId248" Type="http://schemas.openxmlformats.org/officeDocument/2006/relationships/hyperlink" Target="../../../../Video/&#1050;&#1086;&#1083;&#1073;&#1072;&#1089;&#1072;_&#1088;&#1077;&#1094;&#1077;&#1087;&#1090;&#1099;/&#1050;&#1072;&#1073;&#1072;&#1085;&#1086;&#1089;&#1099;%20(Kabanosy)%20&#1074;%20&#1076;&#1086;&#1084;&#1072;&#1096;&#1085;&#1080;&#1093;%20&#1091;&#1089;&#1083;&#1086;&#1074;&#1080;&#1103;&#1093;.mp4" TargetMode="External"/><Relationship Id="rId12" Type="http://schemas.openxmlformats.org/officeDocument/2006/relationships/hyperlink" Target="https://www.youtube.com/watch?v=Z2RwYRh1lJ8" TargetMode="External"/><Relationship Id="rId108" Type="http://schemas.openxmlformats.org/officeDocument/2006/relationships/hyperlink" Target="https://www.youtube.com/watch?v=AUk8hq2wdRI" TargetMode="External"/><Relationship Id="rId315" Type="http://schemas.openxmlformats.org/officeDocument/2006/relationships/hyperlink" Target="../../../../Video/&#1050;&#1086;&#1083;&#1073;&#1072;&#1089;&#1072;_&#1088;&#1077;&#1094;&#1077;&#1087;&#1090;&#1099;/Pancetta%20Artesanal.mp4" TargetMode="External"/><Relationship Id="rId357" Type="http://schemas.openxmlformats.org/officeDocument/2006/relationships/hyperlink" Target="https://www.youtube.com/watch?v=bmRMtjHz6f4" TargetMode="External"/><Relationship Id="rId54" Type="http://schemas.openxmlformats.org/officeDocument/2006/relationships/hyperlink" Target="../../../../Video/&#1050;&#1086;&#1083;&#1073;&#1072;&#1089;&#1072;_&#1088;&#1077;&#1094;&#1077;&#1087;&#1090;&#1099;/&#1061;&#1048;&#1058;!!!%20&#1050;&#1091;&#1088;&#1080;&#1094;&#1072;%20&#1082;&#1086;&#1087;&#1095;&#1077;&#1085;&#1086;-&#1074;&#1072;&#1088;&#1077;&#1085;&#1072;&#1103;.%20&#1050;&#1072;&#1082;%20&#1087;&#1088;&#1072;&#1074;&#1080;&#1083;&#1100;&#1085;&#1086;%20&#1096;&#1087;&#1088;&#1080;&#1094;&#1077;&#1074;&#1072;&#1090;&#1100;%20&#1080;%20&#1082;&#1086;&#1087;&#1090;&#1080;&#1090;&#1100;.%20&#1050;&#1072;&#1082;%20&#1089;&#1076;&#1077;&#1083;&#1072;&#1090;&#1100;%20&#1079;&#1086;&#1083;&#1086;&#1090;&#1080;&#1089;&#1090;&#1091;&#1102;%20&#1082;&#1086;&#1088;&#1086;&#1095;&#1082;&#1091;.mp4" TargetMode="External"/><Relationship Id="rId96" Type="http://schemas.openxmlformats.org/officeDocument/2006/relationships/hyperlink" Target="../../../../Video/&#1050;&#1086;&#1083;&#1073;&#1072;&#1089;&#1072;_&#1088;&#1077;&#1094;&#1077;&#1087;&#1090;&#1099;/&#1057;&#1077;&#1083;&#1100;&#1076;&#1100;%20&#1087;&#1088;&#1103;&#1085;&#1086;&#1075;&#1086;%20&#1087;&#1086;&#1089;&#1086;&#1083;&#1072;.%20&#1056;&#1077;&#1094;&#1077;&#1087;&#1090;&#1091;&#1088;&#1072;%20&#1076;&#1083;&#1103;%20&#1088;&#1072;&#1089;&#1089;&#1086;&#1083;&#1072;.%20&#1054;&#1090;&#1076;&#1077;&#1083;&#1077;&#1085;&#1080;&#1077;%20&#1092;&#1080;&#1083;&#1077;%20&#1086;&#1090;%20&#1082;&#1086;&#1089;&#1090;&#1077;&#1081;.mp4" TargetMode="External"/><Relationship Id="rId161" Type="http://schemas.openxmlformats.org/officeDocument/2006/relationships/hyperlink" Target="https://www.youtube.com/watch?v=Kn8ZRKjfc9s" TargetMode="External"/><Relationship Id="rId217" Type="http://schemas.openxmlformats.org/officeDocument/2006/relationships/hyperlink" Target="../../../../Video/&#1050;&#1086;&#1083;&#1073;&#1072;&#1089;&#1072;_&#1088;&#1077;&#1094;&#1077;&#1087;&#1090;&#1099;/&#1057;&#1086;&#1089;&#1080;&#1089;&#1082;&#1080;%20&#1076;&#1077;&#1090;&#1089;&#1082;&#1080;&#1077;%20&#1084;&#1086;&#1083;&#1086;&#1095;&#1085;&#1099;&#1077;%20&#1041;&#1045;&#1047;%20&#1053;&#1048;&#1058;&#1056;&#1048;&#1058;&#1053;&#1054;&#1049;%20&#1057;&#1054;&#1051;&#1048;.mp4" TargetMode="External"/><Relationship Id="rId399" Type="http://schemas.openxmlformats.org/officeDocument/2006/relationships/hyperlink" Target="https://www.youtube.com/watch?v=PwFXCb96LRQ&amp;t=445s" TargetMode="External"/><Relationship Id="rId259" Type="http://schemas.openxmlformats.org/officeDocument/2006/relationships/hyperlink" Target="https://www.youtube.com/watch?v=DzdRsfq_Sgo&amp;t=1s" TargetMode="External"/><Relationship Id="rId23" Type="http://schemas.openxmlformats.org/officeDocument/2006/relationships/hyperlink" Target="../../../../Video/&#1050;&#1086;&#1083;&#1073;&#1072;&#1089;&#1072;_&#1088;&#1077;&#1094;&#1077;&#1087;&#1090;&#1099;/&#1045;&#1074;&#1088;&#1077;&#1081;&#1089;&#1082;&#1072;&#1103;%20&#1082;&#1086;&#1087;&#1095;&#1105;&#1085;&#1072;&#1103;%20&#1082;&#1086;&#1083;&#1073;&#1072;&#1089;&#1072;%20&#1074;%20&#1076;&#1086;&#1084;&#1072;&#1096;&#1085;&#1080;&#1093;%20&#1091;&#1089;&#1083;&#1086;&#1074;&#1080;&#1103;&#1093;.%20&#1057;&#1090;&#1072;&#1085;&#1076;&#1072;&#1088;&#1090;%201938&#1075;.mp4" TargetMode="External"/><Relationship Id="rId119" Type="http://schemas.openxmlformats.org/officeDocument/2006/relationships/hyperlink" Target="https://www.youtube.com/watch?v=AUk8hq2wdRI" TargetMode="External"/><Relationship Id="rId270" Type="http://schemas.openxmlformats.org/officeDocument/2006/relationships/hyperlink" Target="../../../../Video/&#1050;&#1086;&#1083;&#1073;&#1072;&#1089;&#1072;_&#1088;&#1077;&#1094;&#1077;&#1087;&#1090;&#1099;/&#1056;&#1077;&#1094;&#1077;&#1087;&#1090;%20&#1082;&#1086;&#1083;&#1073;&#1072;&#1089;&#1086;&#1082;%20&#1080;&#1079;%20&#1052;&#1054;&#1045;&#1049;%20&#1061;&#1054;&#1058;&#1044;&#1054;&#1046;&#1053;&#1054;&#1049;%20&#1074;%20&#1055;&#1080;&#1090;&#1077;&#1088;&#1077;!.mp4" TargetMode="External"/><Relationship Id="rId326" Type="http://schemas.openxmlformats.org/officeDocument/2006/relationships/hyperlink" Target="../../../../Video/&#1050;&#1086;&#1083;&#1073;&#1072;&#1089;&#1072;_&#1088;&#1077;&#1094;&#1077;&#1087;&#1090;&#1099;/&#1042;&#1045;&#1058;&#1063;&#1048;&#1053;&#1040;%20&#1052;&#1056;&#1040;&#1052;&#1054;&#1056;&#1053;&#1040;&#1071;%20&#1053;&#1040;&#1057;&#1058;&#1054;&#1071;&#1065;&#1040;&#1071;%20&#1074;%20&#1076;&#1086;&#1084;&#1072;&#1096;&#1085;&#1080;&#1093;%20&#1091;&#1089;&#1083;&#1086;&#1074;&#1080;&#1103;&#1093;.mp4" TargetMode="External"/><Relationship Id="rId65" Type="http://schemas.openxmlformats.org/officeDocument/2006/relationships/hyperlink" Target="../../../../Video/&#1050;&#1086;&#1083;&#1073;&#1072;&#1089;&#1072;_&#1088;&#1077;&#1094;&#1077;&#1087;&#1090;&#1099;/&#1050;&#1040;&#1056;&#1040;&#1057;&#1068;%20&#1093;&#1086;&#1083;&#1086;&#1076;&#1085;&#1086;&#1075;&#1086;%20&#1082;&#1086;&#1087;&#1095;&#1077;&#1085;&#1080;&#1103;%20&#1087;&#1086;%20&#1082;&#1072;&#1079;&#1072;&#1093;&#1089;&#1082;&#1080;%20&#1086;&#1090;%20&#1048;&#1043;&#1054;&#1056;&#1071;%20&#1074;%20&#1082;&#1086;&#1087;&#1090;&#1080;&#1083;&#1100;&#1085;&#1077;%20&#1084;&#1086;&#1089;&#1082;&#1080;&#1090;.mp4" TargetMode="External"/><Relationship Id="rId130" Type="http://schemas.openxmlformats.org/officeDocument/2006/relationships/hyperlink" Target="../../../../Video/&#1050;&#1086;&#1083;&#1073;&#1072;&#1089;&#1072;_&#1088;&#1077;&#1094;&#1077;&#1087;&#1090;&#1099;/&#1057;&#1040;&#1052;&#1040;&#1071;%20&#1042;&#1050;&#1059;&#1057;&#1053;&#1040;&#1071;%20&#1050;&#1056;&#1054;&#1042;&#1071;&#1053;&#1050;&#1040;%20-%20&#1071;&#1079;&#1099;&#1082;&#1086;&#1074;&#1072;&#1103;%20&#1082;&#1088;&#1086;&#1074;&#1103;&#1085;&#1072;&#1103;%20&#1082;&#1086;&#1083;&#1073;&#1072;&#1089;&#1072;!%20&#1056;&#1054;&#1047;&#1067;&#1043;&#1056;&#1067;&#1064;%20&#1055;&#1056;&#1048;&#1047;&#1054;&#1042;.mp4" TargetMode="External"/><Relationship Id="rId368" Type="http://schemas.openxmlformats.org/officeDocument/2006/relationships/hyperlink" Target="https://www.youtube.com/watch?v=JL9fOZ3WnMI" TargetMode="External"/><Relationship Id="rId172" Type="http://schemas.openxmlformats.org/officeDocument/2006/relationships/hyperlink" Target="https://www.youtube.com/watch?v=7U9tw9JGhlk" TargetMode="External"/><Relationship Id="rId228" Type="http://schemas.openxmlformats.org/officeDocument/2006/relationships/hyperlink" Target="https://www.youtube.com/watch?v=bHoFNz9opco" TargetMode="External"/><Relationship Id="rId281" Type="http://schemas.openxmlformats.org/officeDocument/2006/relationships/hyperlink" Target="../../../../Video/&#1050;&#1086;&#1083;&#1073;&#1072;&#1089;&#1072;_&#1088;&#1077;&#1094;&#1077;&#1087;&#1090;&#1099;/&#1057;&#1086;&#1089;&#1080;&#1089;&#1082;&#1080;%20&#1050;&#1088;&#1077;&#1087;&#1099;&#1096;,%20&#1073;&#1077;&#1079;%20&#1085;&#1080;&#1090;&#1088;&#1080;&#1090;&#1085;&#1086;&#1081;%20&#1089;&#1086;&#1083;&#1080;.%20&#1057;&#1088;&#1072;&#1074;&#1085;&#1077;&#1085;&#1080;&#1077;%20&#1088;&#1077;&#1094;&#1077;&#1087;&#1090;&#1091;&#1088;%20&#1089;%20&#1092;&#1086;&#1089;&#1092;&#1072;&#1090;&#1086;&#1084;%20&#1080;%20&#1094;&#1080;&#1090;&#1088;&#1072;&#1090;&#1086;&#1084;%20-%20&#1082;&#1086;&#1085;&#1089;&#1080;&#1089;&#1090;&#1077;&#1085;&#1094;&#1080;&#1103;%20&#1080;%20&#1074;&#1082;&#1091;&#1089;.mp4" TargetMode="External"/><Relationship Id="rId337" Type="http://schemas.openxmlformats.org/officeDocument/2006/relationships/hyperlink" Target="../../../../Video/&#1050;&#1086;&#1083;&#1073;&#1072;&#1089;&#1072;_&#1088;&#1077;&#1094;&#1077;&#1087;&#1090;&#1099;/&#1054;&#1095;&#1077;&#1085;&#1100;%20&#1074;&#1082;&#1091;&#1089;&#1085;&#1072;&#1103;%20&#1076;&#1086;&#1084;&#1072;&#1096;&#1085;&#1103;&#1103;%20&#1082;&#1086;&#1083;&#1073;&#1072;&#1089;&#1072;%20-%20&#1044;&#1088;&#1086;&#1075;&#1086;&#1073;&#1099;&#1095;&#1089;&#1082;&#1072;&#1103;.%20&#1055;&#1088;&#1086;&#1089;&#1090;&#1086;,%20&#1076;&#1086;&#1084;&#1072;,%20&#1089;&#1074;&#1086;&#1080;&#1084;&#1080;%20&#1088;&#1091;&#1082;&#1072;&#1084;&#1080;.mp4" TargetMode="External"/><Relationship Id="rId34" Type="http://schemas.openxmlformats.org/officeDocument/2006/relationships/hyperlink" Target="../../../../Video/&#1050;&#1086;&#1083;&#1073;&#1072;&#1089;&#1072;_&#1088;&#1077;&#1094;&#1077;&#1087;&#1090;&#1099;/Pancetta%20Artesanal.mp4" TargetMode="External"/><Relationship Id="rId76" Type="http://schemas.openxmlformats.org/officeDocument/2006/relationships/hyperlink" Target="../../../../Video/&#1050;&#1086;&#1083;&#1073;&#1072;&#1089;&#1072;_&#1088;&#1077;&#1094;&#1077;&#1087;&#1090;&#1099;/&#1045;&#1074;&#1088;&#1077;&#1081;&#1089;&#1082;&#1072;&#1103;%20&#1082;&#1086;&#1087;&#1095;&#1105;&#1085;&#1072;&#1103;%20&#1082;&#1086;&#1083;&#1073;&#1072;&#1089;&#1072;%20&#1074;%20&#1076;&#1086;&#1084;&#1072;&#1096;&#1085;&#1080;&#1093;%20&#1091;&#1089;&#1083;&#1086;&#1074;&#1080;&#1103;&#1093;.%20&#1057;&#1090;&#1072;&#1085;&#1076;&#1072;&#1088;&#1090;%201938&#1075;.mp4" TargetMode="External"/><Relationship Id="rId141" Type="http://schemas.openxmlformats.org/officeDocument/2006/relationships/hyperlink" Target="https://www.youtube.com/watch?v=zgSpESIhaR0" TargetMode="External"/><Relationship Id="rId379" Type="http://schemas.openxmlformats.org/officeDocument/2006/relationships/hyperlink" Target="https://www.youtube.com/watch?v=pO4cS1NcSig&amp;t=527s" TargetMode="External"/><Relationship Id="rId7" Type="http://schemas.openxmlformats.org/officeDocument/2006/relationships/hyperlink" Target="https://www.youtube.com/watch?v=DzdRsfq_Sgo&amp;t=1s" TargetMode="External"/><Relationship Id="rId183" Type="http://schemas.openxmlformats.org/officeDocument/2006/relationships/hyperlink" Target="https://www.youtube.com/watch?v=fvRBCLYYmZM" TargetMode="External"/><Relationship Id="rId239" Type="http://schemas.openxmlformats.org/officeDocument/2006/relationships/hyperlink" Target="https://www.youtube.com/watch?v=l4YTFXybrO4" TargetMode="External"/><Relationship Id="rId390" Type="http://schemas.openxmlformats.org/officeDocument/2006/relationships/hyperlink" Target="https://1000.menu/cooking/42853-pelmeni-domashnie-klassicheskie" TargetMode="External"/><Relationship Id="rId404" Type="http://schemas.openxmlformats.org/officeDocument/2006/relationships/hyperlink" Target="https://www.youtube.com/watch?v=PwFXCb96LRQ&amp;t=445s" TargetMode="External"/><Relationship Id="rId250" Type="http://schemas.openxmlformats.org/officeDocument/2006/relationships/hyperlink" Target="../../../../Video/&#1050;&#1086;&#1083;&#1073;&#1072;&#1089;&#1072;_&#1088;&#1077;&#1094;&#1077;&#1087;&#1090;&#1099;/&#1050;&#1072;&#1073;&#1072;&#1085;&#1086;&#1089;&#1099;%20(Kabanosy)%20&#1074;%20&#1076;&#1086;&#1084;&#1072;&#1096;&#1085;&#1080;&#1093;%20&#1091;&#1089;&#1083;&#1086;&#1074;&#1080;&#1103;&#1093;.mp4" TargetMode="External"/><Relationship Id="rId292" Type="http://schemas.openxmlformats.org/officeDocument/2006/relationships/hyperlink" Target="https://www.youtube.com/watch?v=mgB4QoUK4dk" TargetMode="External"/><Relationship Id="rId306" Type="http://schemas.openxmlformats.org/officeDocument/2006/relationships/hyperlink" Target="../../../../Video/&#1050;&#1086;&#1083;&#1073;&#1072;&#1089;&#1072;_&#1088;&#1077;&#1094;&#1077;&#1087;&#1090;&#1099;/&#1051;&#1091;&#1082;&#1072;&#1085;&#1082;&#1072;%20&#1073;&#1086;&#1083;&#1075;&#1072;&#1088;&#1089;&#1082;&#1072;&#1103;.%20&#1040;&#1076;&#1072;&#1087;&#1090;&#1080;&#1088;&#1086;&#1074;&#1072;&#1085;&#1085;&#1099;&#1081;%20&#1088;&#1077;&#1094;&#1077;&#1087;&#1090;%20&#1076;&#1083;&#1103;%20&#1085;&#1072;&#1095;&#1080;&#1085;&#1072;&#1102;&#1097;&#1080;&#1093;.mp4" TargetMode="External"/><Relationship Id="rId45" Type="http://schemas.openxmlformats.org/officeDocument/2006/relationships/hyperlink" Target="../../../../Video/&#1050;&#1086;&#1083;&#1073;&#1072;&#1089;&#1072;_&#1088;&#1077;&#1094;&#1077;&#1087;&#1090;&#1099;/&#1044;&#1086;&#1084;&#1072;&#1096;&#1085;&#1080;&#1077;%20&#1082;&#1091;&#1088;&#1080;&#1085;&#1099;&#1077;%20&#1089;&#1086;&#1089;&#1080;&#1089;&#1082;&#1080;%20&#1089;%20&#1090;&#1074;&#1077;&#1088;&#1076;&#1099;&#1084;%20&#1089;&#1099;&#1088;&#1086;&#1084;.mp4" TargetMode="External"/><Relationship Id="rId87" Type="http://schemas.openxmlformats.org/officeDocument/2006/relationships/hyperlink" Target="../../../../Video/&#1050;&#1086;&#1083;&#1073;&#1072;&#1089;&#1072;_&#1088;&#1077;&#1094;&#1077;&#1087;&#1090;&#1099;/&#1057;&#1072;&#1083;&#1103;&#1084;&#1080;%20&#1052;&#1080;&#1083;&#1072;&#1085;&#1086;%20&#1089;&#1086;%20&#1089;&#1090;&#1072;&#1088;&#1090;&#1086;&#1074;&#1099;&#1084;&#1080;%20&#1082;&#1091;&#1083;&#1100;&#1090;&#1091;&#1088;&#1072;&#1084;&#1080;.mp4" TargetMode="External"/><Relationship Id="rId110" Type="http://schemas.openxmlformats.org/officeDocument/2006/relationships/hyperlink" Target="https://www.youtube.com/watch?v=AUk8hq2wdRI" TargetMode="External"/><Relationship Id="rId348" Type="http://schemas.openxmlformats.org/officeDocument/2006/relationships/hyperlink" Target="https://www.youtube.com/watch?v=mvaLbMCDunw&amp;t=2s" TargetMode="External"/><Relationship Id="rId152" Type="http://schemas.openxmlformats.org/officeDocument/2006/relationships/hyperlink" Target="../../../../Video/&#1050;&#1086;&#1083;&#1073;&#1072;&#1089;&#1072;_&#1088;&#1077;&#1094;&#1077;&#1087;&#1090;&#1099;/&#1044;&#1077;&#1083;&#1072;&#1077;&#1084;%20&#1060;&#1059;&#1069;&#1058;%20&#8212;%20&#1080;&#1089;&#1087;&#1072;&#1085;&#1089;&#1082;&#1072;&#1103;%20&#1089;&#1099;&#1088;&#1086;&#1074;&#1103;&#1083;&#1077;&#1085;&#1072;&#1103;%20&#1082;&#1086;&#1083;&#1073;&#1072;&#1089;&#1072;%20&#1074;%20&#1087;&#1083;&#1077;&#1089;&#1077;&#1085;&#1080;.%20FUET.mp4" TargetMode="External"/><Relationship Id="rId194" Type="http://schemas.openxmlformats.org/officeDocument/2006/relationships/hyperlink" Target="https://www.youtube.com/watch?v=sOpq7K5NJdk" TargetMode="External"/><Relationship Id="rId208" Type="http://schemas.openxmlformats.org/officeDocument/2006/relationships/hyperlink" Target="../../../../Video/&#1050;&#1086;&#1083;&#1073;&#1072;&#1089;&#1072;_&#1088;&#1077;&#1094;&#1077;&#1087;&#1090;&#1099;/&#127470;&#127481;&#128293;&#127869;&#65039;%20&#1050;&#1083;&#1072;&#1089;&#1089;&#1080;&#1095;&#1077;&#1089;&#1082;&#1072;&#1103;%20&#1048;&#1090;&#1072;&#1083;&#1100;&#1103;&#1085;&#1089;&#1082;&#1072;&#1103;%20&#1052;&#1054;&#1056;&#1058;&#1040;&#1044;&#1045;&#1051;&#1051;&#1040;%20&#1074;%20&#1044;&#1091;&#1093;&#1086;&#1074;&#1082;&#1077;!%20&#127838;&#128104;&#8205;&#127859;&#128105;&#8205;&#127859;&#127470;&#127481;&#127830;&#128076;.mp4" TargetMode="External"/><Relationship Id="rId415" Type="http://schemas.openxmlformats.org/officeDocument/2006/relationships/hyperlink" Target="https://youtu.be/dqZj1rANEhA" TargetMode="External"/><Relationship Id="rId261" Type="http://schemas.openxmlformats.org/officeDocument/2006/relationships/hyperlink" Target="https://www.youtube.com/watch?v=DzdRsfq_Sgo&amp;t=1s" TargetMode="External"/><Relationship Id="rId14" Type="http://schemas.openxmlformats.org/officeDocument/2006/relationships/hyperlink" Target="https://www.youtube.com/watch?v=Kn8ZRKjfc9s" TargetMode="External"/><Relationship Id="rId56" Type="http://schemas.openxmlformats.org/officeDocument/2006/relationships/hyperlink" Target="../../../../Video/&#1050;&#1086;&#1083;&#1073;&#1072;&#1089;&#1072;_&#1088;&#1077;&#1094;&#1077;&#1087;&#1090;&#1099;/&#1043;&#1056;&#1059;&#1044;&#1048;&#1053;&#1050;&#1040;%20&#1065;&#1045;&#1050;&#1054;&#1042;&#1048;&#1053;&#1040;%20&#1043;&#1054;&#1056;&#1071;&#1063;&#1045;&#1043;&#1054;%20&#1050;&#1054;&#1055;&#1063;&#1045;&#1053;&#1048;&#1071;%20&#1042;%20&#1084;&#1086;&#1089;&#1082;&#1080;&#1090;&#1077;.mp4" TargetMode="External"/><Relationship Id="rId317" Type="http://schemas.openxmlformats.org/officeDocument/2006/relationships/hyperlink" Target="../../../../Video/&#1050;&#1086;&#1083;&#1073;&#1072;&#1089;&#1072;_&#1088;&#1077;&#1094;&#1077;&#1087;&#1090;&#1099;/Pancetta%20Artesanal.mp4" TargetMode="External"/><Relationship Id="rId359" Type="http://schemas.openxmlformats.org/officeDocument/2006/relationships/hyperlink" Target="https://www.youtube.com/watch?v=mp6IBTJIyGA" TargetMode="External"/><Relationship Id="rId98" Type="http://schemas.openxmlformats.org/officeDocument/2006/relationships/hyperlink" Target="../../../../Video/&#1050;&#1086;&#1083;&#1073;&#1072;&#1089;&#1072;_&#1088;&#1077;&#1094;&#1077;&#1087;&#1090;&#1099;/&#1057;&#1077;&#1083;&#1100;&#1076;&#1100;%20&#1087;&#1088;&#1103;&#1085;&#1086;&#1075;&#1086;%20&#1087;&#1086;&#1089;&#1086;&#1083;&#1072;.%20&#1056;&#1077;&#1094;&#1077;&#1087;&#1090;&#1091;&#1088;&#1072;%20&#1076;&#1083;&#1103;%20&#1088;&#1072;&#1089;&#1089;&#1086;&#1083;&#1072;.%20&#1054;&#1090;&#1076;&#1077;&#1083;&#1077;&#1085;&#1080;&#1077;%20&#1092;&#1080;&#1083;&#1077;%20&#1086;&#1090;%20&#1082;&#1086;&#1089;&#1090;&#1077;&#1081;.mp4" TargetMode="External"/><Relationship Id="rId121" Type="http://schemas.openxmlformats.org/officeDocument/2006/relationships/hyperlink" Target="../../../../Video/&#1050;&#1086;&#1083;&#1073;&#1072;&#1089;&#1072;_&#1088;&#1077;&#1094;&#1077;&#1087;&#1090;&#1099;/&#1057;&#1040;&#1052;&#1040;&#1071;%20&#1042;&#1050;&#1059;&#1057;&#1053;&#1040;&#1071;%20&#1050;&#1056;&#1054;&#1042;&#1071;&#1053;&#1050;&#1040;%20-%20&#1071;&#1079;&#1099;&#1082;&#1086;&#1074;&#1072;&#1103;%20&#1082;&#1088;&#1086;&#1074;&#1103;&#1085;&#1072;&#1103;%20&#1082;&#1086;&#1083;&#1073;&#1072;&#1089;&#1072;!%20&#1056;&#1054;&#1047;&#1067;&#1043;&#1056;&#1067;&#1064;%20&#1055;&#1056;&#1048;&#1047;&#1054;&#1042;.mp4" TargetMode="External"/><Relationship Id="rId163" Type="http://schemas.openxmlformats.org/officeDocument/2006/relationships/hyperlink" Target="../../../../Video/&#1050;&#1086;&#1083;&#1073;&#1072;&#1089;&#1072;_&#1088;&#1077;&#1094;&#1077;&#1087;&#1090;&#1099;/&#1048;&#1089;&#1087;&#1072;&#1085;&#1089;&#1082;&#1072;&#1103;%20&#1082;&#1086;&#1083;&#1073;&#1072;&#1089;&#1072;%20&#1063;&#1086;&#1088;&#1080;&#1079;&#1086;%20&#1074;%20&#1076;&#1086;&#1084;&#1072;&#1096;&#1085;&#1080;&#1093;%20&#1091;&#1089;&#1083;&#1086;&#1074;&#1080;&#1103;&#1093;.mp4" TargetMode="External"/><Relationship Id="rId219" Type="http://schemas.openxmlformats.org/officeDocument/2006/relationships/hyperlink" Target="../../../../Video/&#1050;&#1086;&#1083;&#1073;&#1072;&#1089;&#1072;_&#1088;&#1077;&#1094;&#1077;&#1087;&#1090;&#1099;/&#1057;&#1086;&#1089;&#1080;&#1089;&#1082;&#1080;%20&#1076;&#1077;&#1090;&#1089;&#1082;&#1080;&#1077;%20&#1084;&#1086;&#1083;&#1086;&#1095;&#1085;&#1099;&#1077;%20&#1041;&#1045;&#1047;%20&#1053;&#1048;&#1058;&#1056;&#1048;&#1058;&#1053;&#1054;&#1049;%20&#1057;&#1054;&#1051;&#1048;.mp4" TargetMode="External"/><Relationship Id="rId370" Type="http://schemas.openxmlformats.org/officeDocument/2006/relationships/hyperlink" Target="https://www.youtube.com/watch?v=JL9fOZ3WnMI" TargetMode="External"/><Relationship Id="rId230" Type="http://schemas.openxmlformats.org/officeDocument/2006/relationships/hyperlink" Target="../../../../Video/&#1050;&#1086;&#1083;&#1073;&#1072;&#1089;&#1072;_&#1088;&#1077;&#1094;&#1077;&#1087;&#1090;&#1099;/&#1057;&#1082;&#1086;&#1083;&#1100;&#1082;&#1086;%20&#1089;&#1086;&#1083;&#1080;%20&#1085;&#1091;&#1078;&#1085;&#1086;%20&#1076;&#1083;&#1103;%20&#1088;&#1072;&#1089;&#1089;&#1086;&#1083;&#1072;,%20&#1082;&#1086;&#1090;&#1086;&#1088;&#1099;&#1084;%20&#1096;&#1087;&#1088;&#1080;&#1094;&#1091;&#1102;&#1090;%20&#1084;&#1103;&#1089;&#1086;.%20&#1050;&#1072;&#1088;&#1073;&#1086;&#1085;&#1072;&#1076;%20(&#1073;&#1072;&#1083;&#1099;&#1082;)%20&#1074;&#1072;&#1088;&#1077;&#1085;&#1086;-&#1082;&#1086;&#1087;&#1095;&#1077;&#1085;&#1099;&#1081;.mp4" TargetMode="External"/><Relationship Id="rId25" Type="http://schemas.openxmlformats.org/officeDocument/2006/relationships/hyperlink" Target="../../../../Video/&#1050;&#1086;&#1083;&#1073;&#1072;&#1089;&#1072;_&#1088;&#1077;&#1094;&#1077;&#1087;&#1090;&#1099;/&#1057;&#1072;&#1083;&#1103;&#1084;&#1080;%20&#1052;&#1080;&#1083;&#1072;&#1085;&#1086;%20&#1089;&#1086;%20&#1089;&#1090;&#1072;&#1088;&#1090;&#1086;&#1074;&#1099;&#1084;&#1080;%20&#1082;&#1091;&#1083;&#1100;&#1090;&#1091;&#1088;&#1072;&#1084;&#1080;.mp4" TargetMode="External"/><Relationship Id="rId67" Type="http://schemas.openxmlformats.org/officeDocument/2006/relationships/hyperlink" Target="../../../../Video/&#1050;&#1086;&#1083;&#1073;&#1072;&#1089;&#1072;_&#1088;&#1077;&#1094;&#1077;&#1087;&#1090;&#1099;/&#1050;&#1040;&#1056;&#1040;&#1057;&#1068;%20&#1093;&#1086;&#1083;&#1086;&#1076;&#1085;&#1086;&#1075;&#1086;%20&#1082;&#1086;&#1087;&#1095;&#1077;&#1085;&#1080;&#1103;%20&#1087;&#1086;%20&#1082;&#1072;&#1079;&#1072;&#1093;&#1089;&#1082;&#1080;%20&#1086;&#1090;%20&#1048;&#1043;&#1054;&#1056;&#1071;%20&#1074;%20&#1082;&#1086;&#1087;&#1090;&#1080;&#1083;&#1100;&#1085;&#1077;%20&#1084;&#1086;&#1089;&#1082;&#1080;&#1090;.mp4" TargetMode="External"/><Relationship Id="rId272" Type="http://schemas.openxmlformats.org/officeDocument/2006/relationships/hyperlink" Target="../../../../Video/&#1050;&#1086;&#1083;&#1073;&#1072;&#1089;&#1072;_&#1088;&#1077;&#1094;&#1077;&#1087;&#1090;&#1099;/&#1056;&#1077;&#1094;&#1077;&#1087;&#1090;%20&#1082;&#1086;&#1083;&#1073;&#1072;&#1089;&#1086;&#1082;%20&#1080;&#1079;%20&#1052;&#1054;&#1045;&#1049;%20&#1061;&#1054;&#1058;&#1044;&#1054;&#1046;&#1053;&#1054;&#1049;%20&#1074;%20&#1055;&#1080;&#1090;&#1077;&#1088;&#1077;!.mp4" TargetMode="External"/><Relationship Id="rId328" Type="http://schemas.openxmlformats.org/officeDocument/2006/relationships/hyperlink" Target="https://www.youtube.com/watch?v=YHdyryDTJaE&amp;t=51s" TargetMode="External"/><Relationship Id="rId132" Type="http://schemas.openxmlformats.org/officeDocument/2006/relationships/hyperlink" Target="https://www.youtube.com/watch?v=F10ChDTJQn4" TargetMode="External"/><Relationship Id="rId174" Type="http://schemas.openxmlformats.org/officeDocument/2006/relationships/hyperlink" Target="https://www.youtube.com/watch?v=7U9tw9JGhlk" TargetMode="External"/><Relationship Id="rId381" Type="http://schemas.openxmlformats.org/officeDocument/2006/relationships/hyperlink" Target="https://www.youtube.com/watch?v=pO4cS1NcSig&amp;t=527s" TargetMode="External"/><Relationship Id="rId241" Type="http://schemas.openxmlformats.org/officeDocument/2006/relationships/hyperlink" Target="https://www.youtube.com/watch?v=l4YTFXybrO4" TargetMode="External"/><Relationship Id="rId36" Type="http://schemas.openxmlformats.org/officeDocument/2006/relationships/hyperlink" Target="../../../../Video/&#1050;&#1086;&#1083;&#1073;&#1072;&#1089;&#1072;_&#1088;&#1077;&#1094;&#1077;&#1087;&#1090;&#1099;/&#1057;&#1086;&#1089;&#1080;&#1089;&#1082;&#1080;%20&#1076;&#1077;&#1090;&#1089;&#1082;&#1080;&#1077;%20&#1084;&#1086;&#1083;&#1086;&#1095;&#1085;&#1099;&#1077;%20&#1041;&#1045;&#1047;%20&#1053;&#1048;&#1058;&#1056;&#1048;&#1058;&#1053;&#1054;&#1049;%20&#1057;&#1054;&#1051;&#1048;.mp4" TargetMode="External"/><Relationship Id="rId283" Type="http://schemas.openxmlformats.org/officeDocument/2006/relationships/hyperlink" Target="../../../../Video/&#1050;&#1086;&#1083;&#1073;&#1072;&#1089;&#1072;_&#1088;&#1077;&#1094;&#1077;&#1087;&#1090;&#1099;/&#1057;&#1086;&#1089;&#1080;&#1089;&#1082;&#1080;%20&#1050;&#1088;&#1077;&#1087;&#1099;&#1096;,%20&#1073;&#1077;&#1079;%20&#1085;&#1080;&#1090;&#1088;&#1080;&#1090;&#1085;&#1086;&#1081;%20&#1089;&#1086;&#1083;&#1080;.%20&#1057;&#1088;&#1072;&#1074;&#1085;&#1077;&#1085;&#1080;&#1077;%20&#1088;&#1077;&#1094;&#1077;&#1087;&#1090;&#1091;&#1088;%20&#1089;%20&#1092;&#1086;&#1089;&#1092;&#1072;&#1090;&#1086;&#1084;%20&#1080;%20&#1094;&#1080;&#1090;&#1088;&#1072;&#1090;&#1086;&#1084;%20-%20&#1082;&#1086;&#1085;&#1089;&#1080;&#1089;&#1090;&#1077;&#1085;&#1094;&#1080;&#1103;%20&#1080;%20&#1074;&#1082;&#1091;&#1089;.mp4" TargetMode="External"/><Relationship Id="rId339" Type="http://schemas.openxmlformats.org/officeDocument/2006/relationships/hyperlink" Target="https://www.youtube.com/watch?v=mvaLbMCDunw&amp;t=2s" TargetMode="External"/><Relationship Id="rId78" Type="http://schemas.openxmlformats.org/officeDocument/2006/relationships/hyperlink" Target="../../../../Video/&#1050;&#1086;&#1083;&#1073;&#1072;&#1089;&#1072;_&#1088;&#1077;&#1094;&#1077;&#1087;&#1090;&#1099;/&#1045;&#1074;&#1088;&#1077;&#1081;&#1089;&#1082;&#1072;&#1103;%20&#1082;&#1086;&#1087;&#1095;&#1105;&#1085;&#1072;&#1103;%20&#1082;&#1086;&#1083;&#1073;&#1072;&#1089;&#1072;%20&#1074;%20&#1076;&#1086;&#1084;&#1072;&#1096;&#1085;&#1080;&#1093;%20&#1091;&#1089;&#1083;&#1086;&#1074;&#1080;&#1103;&#1093;.%20&#1057;&#1090;&#1072;&#1085;&#1076;&#1072;&#1088;&#1090;%201938&#1075;.mp4" TargetMode="External"/><Relationship Id="rId101" Type="http://schemas.openxmlformats.org/officeDocument/2006/relationships/hyperlink" Target="../../../../Video/&#1050;&#1086;&#1083;&#1073;&#1072;&#1089;&#1072;_&#1088;&#1077;&#1094;&#1077;&#1087;&#1090;&#1099;/&#1057;&#1077;&#1083;&#1100;&#1076;&#1100;%20&#1087;&#1088;&#1103;&#1085;&#1086;&#1075;&#1086;%20&#1087;&#1086;&#1089;&#1086;&#1083;&#1072;.%20&#1056;&#1077;&#1094;&#1077;&#1087;&#1090;&#1091;&#1088;&#1072;%20&#1076;&#1083;&#1103;%20&#1088;&#1072;&#1089;&#1089;&#1086;&#1083;&#1072;.%20&#1054;&#1090;&#1076;&#1077;&#1083;&#1077;&#1085;&#1080;&#1077;%20&#1092;&#1080;&#1083;&#1077;%20&#1086;&#1090;%20&#1082;&#1086;&#1089;&#1090;&#1077;&#1081;.mp4" TargetMode="External"/><Relationship Id="rId143" Type="http://schemas.openxmlformats.org/officeDocument/2006/relationships/hyperlink" Target="https://www.youtube.com/watch?v=zgSpESIhaR0" TargetMode="External"/><Relationship Id="rId185" Type="http://schemas.openxmlformats.org/officeDocument/2006/relationships/hyperlink" Target="https://www.youtube.com/watch?v=fvRBCLYYmZM" TargetMode="External"/><Relationship Id="rId350" Type="http://schemas.openxmlformats.org/officeDocument/2006/relationships/hyperlink" Target="https://www.youtube.com/watch?v=ny4OrQ93ATQ" TargetMode="External"/><Relationship Id="rId406" Type="http://schemas.openxmlformats.org/officeDocument/2006/relationships/hyperlink" Target="https://www.youtube.com/watch?v=PwFXCb96LRQ&amp;t=445s" TargetMode="External"/><Relationship Id="rId9" Type="http://schemas.openxmlformats.org/officeDocument/2006/relationships/hyperlink" Target="https://www.youtube.com/watch?v=bHoFNz9opco" TargetMode="External"/><Relationship Id="rId210" Type="http://schemas.openxmlformats.org/officeDocument/2006/relationships/hyperlink" Target="https://www.youtube.com/watch?v=UL8b1lAjZi8" TargetMode="External"/><Relationship Id="rId392" Type="http://schemas.openxmlformats.org/officeDocument/2006/relationships/hyperlink" Target="https://1000.menu/cooking/42853-pelmeni-domashnie-klassicheskie" TargetMode="External"/><Relationship Id="rId252" Type="http://schemas.openxmlformats.org/officeDocument/2006/relationships/hyperlink" Target="../../../../Video/&#1050;&#1086;&#1083;&#1073;&#1072;&#1089;&#1072;_&#1088;&#1077;&#1094;&#1077;&#1087;&#1090;&#1099;/&#1050;&#1072;&#1073;&#1072;&#1085;&#1086;&#1089;&#1099;%20(Kabanosy)%20&#1074;%20&#1076;&#1086;&#1084;&#1072;&#1096;&#1085;&#1080;&#1093;%20&#1091;&#1089;&#1083;&#1086;&#1074;&#1080;&#1103;&#1093;.mp4" TargetMode="External"/><Relationship Id="rId294" Type="http://schemas.openxmlformats.org/officeDocument/2006/relationships/hyperlink" Target="../../../../Video/&#1050;&#1086;&#1083;&#1073;&#1072;&#1089;&#1072;_&#1088;&#1077;&#1094;&#1077;&#1087;&#1090;&#1099;/&#1056;&#1054;&#1047;&#1067;&#1043;&#1056;&#1067;&#1064;%20&#1080;%20&#1040;&#1050;&#1062;&#1048;&#1071;.%20&#1052;&#1086;&#1088;&#1090;&#1072;&#1076;&#1077;&#1083;&#1083;&#1072;%20&#1074;%20&#1076;&#1091;&#1093;&#1086;&#1074;&#1082;&#1077;%20+%20&#1088;&#1077;&#1094;&#1077;&#1087;&#1090;&#1091;&#1088;&#1072;%20&#1089;&#1099;&#1088;&#1086;&#1074;&#1103;&#1083;&#1077;&#1085;&#1086;&#1081;%20&#1051;&#1091;&#1082;&#1072;&#1085;&#1082;&#1080;,%20&#1074;&#1103;&#1083;&#1080;&#1084;%20&#1074;%20&#1093;&#1086;&#1083;&#1086;&#1076;&#1080;&#1083;&#1100;&#1085;&#1080;&#1082;&#1077;.mp4" TargetMode="External"/><Relationship Id="rId308" Type="http://schemas.openxmlformats.org/officeDocument/2006/relationships/hyperlink" Target="../../../../Video/&#1050;&#1086;&#1083;&#1073;&#1072;&#1089;&#1072;_&#1088;&#1077;&#1094;&#1077;&#1087;&#1090;&#1099;/&#1051;&#1091;&#1082;&#1072;&#1085;&#1082;&#1072;%20&#1073;&#1086;&#1083;&#1075;&#1072;&#1088;&#1089;&#1082;&#1072;&#1103;.%20&#1040;&#1076;&#1072;&#1087;&#1090;&#1080;&#1088;&#1086;&#1074;&#1072;&#1085;&#1085;&#1099;&#1081;%20&#1088;&#1077;&#1094;&#1077;&#1087;&#1090;%20&#1076;&#1083;&#1103;%20&#1085;&#1072;&#1095;&#1080;&#1085;&#1072;&#1102;&#1097;&#1080;&#1093;.mp4" TargetMode="External"/><Relationship Id="rId47" Type="http://schemas.openxmlformats.org/officeDocument/2006/relationships/hyperlink" Target="../../../../Video/&#1050;&#1086;&#1083;&#1073;&#1072;&#1089;&#1072;_&#1088;&#1077;&#1094;&#1077;&#1087;&#1090;&#1099;/&#1044;&#1086;&#1084;&#1072;&#1096;&#1085;&#1080;&#1077;%20&#1082;&#1091;&#1088;&#1080;&#1085;&#1099;&#1077;%20&#1089;&#1086;&#1089;&#1080;&#1089;&#1082;&#1080;%20&#1089;%20&#1090;&#1074;&#1077;&#1088;&#1076;&#1099;&#1084;%20&#1089;&#1099;&#1088;&#1086;&#1084;.mp4" TargetMode="External"/><Relationship Id="rId89" Type="http://schemas.openxmlformats.org/officeDocument/2006/relationships/hyperlink" Target="../../../../Video/&#1050;&#1086;&#1083;&#1073;&#1072;&#1089;&#1072;_&#1088;&#1077;&#1094;&#1077;&#1087;&#1090;&#1099;/&#1057;&#1072;&#1083;&#1103;&#1084;&#1080;%20&#1052;&#1080;&#1083;&#1072;&#1085;&#1086;%20&#1089;&#1086;%20&#1089;&#1090;&#1072;&#1088;&#1090;&#1086;&#1074;&#1099;&#1084;&#1080;%20&#1082;&#1091;&#1083;&#1100;&#1090;&#1091;&#1088;&#1072;&#1084;&#1080;.mp4" TargetMode="External"/><Relationship Id="rId112" Type="http://schemas.openxmlformats.org/officeDocument/2006/relationships/hyperlink" Target="https://www.youtube.com/watch?v=AUk8hq2wdRI" TargetMode="External"/><Relationship Id="rId154" Type="http://schemas.openxmlformats.org/officeDocument/2006/relationships/hyperlink" Target="../../../../Video/&#1050;&#1086;&#1083;&#1073;&#1072;&#1089;&#1072;_&#1088;&#1077;&#1094;&#1077;&#1087;&#1090;&#1099;/&#1044;&#1077;&#1083;&#1072;&#1077;&#1084;%20&#1060;&#1059;&#1069;&#1058;%20&#8212;%20&#1080;&#1089;&#1087;&#1072;&#1085;&#1089;&#1082;&#1072;&#1103;%20&#1089;&#1099;&#1088;&#1086;&#1074;&#1103;&#1083;&#1077;&#1085;&#1072;&#1103;%20&#1082;&#1086;&#1083;&#1073;&#1072;&#1089;&#1072;%20&#1074;%20&#1087;&#1083;&#1077;&#1089;&#1077;&#1085;&#1080;.%20FUET.mp4" TargetMode="External"/><Relationship Id="rId361" Type="http://schemas.openxmlformats.org/officeDocument/2006/relationships/hyperlink" Target="https://www.youtube.com/watch?v=mp6IBTJIyGA" TargetMode="External"/><Relationship Id="rId196" Type="http://schemas.openxmlformats.org/officeDocument/2006/relationships/hyperlink" Target="https://www.youtube.com/watch?v=sOpq7K5NJdk" TargetMode="External"/><Relationship Id="rId417" Type="http://schemas.openxmlformats.org/officeDocument/2006/relationships/drawing" Target="../drawings/drawing2.xml"/><Relationship Id="rId16" Type="http://schemas.openxmlformats.org/officeDocument/2006/relationships/hyperlink" Target="https://www.youtube.com/watch?v=7U9tw9JGhlk" TargetMode="External"/><Relationship Id="rId221" Type="http://schemas.openxmlformats.org/officeDocument/2006/relationships/hyperlink" Target="../../../../Video/&#1050;&#1086;&#1083;&#1073;&#1072;&#1089;&#1072;_&#1088;&#1077;&#1094;&#1077;&#1087;&#1090;&#1099;/&#1057;&#1086;&#1089;&#1080;&#1089;&#1082;&#1080;%20&#1076;&#1077;&#1090;&#1089;&#1082;&#1080;&#1077;%20&#1084;&#1086;&#1083;&#1086;&#1095;&#1085;&#1099;&#1077;%20&#1041;&#1045;&#1047;%20&#1053;&#1048;&#1058;&#1056;&#1048;&#1058;&#1053;&#1054;&#1049;%20&#1057;&#1054;&#1051;&#1048;.mp4" TargetMode="External"/><Relationship Id="rId263" Type="http://schemas.openxmlformats.org/officeDocument/2006/relationships/hyperlink" Target="https://www.youtube.com/watch?v=DzdRsfq_Sgo&amp;t=1s" TargetMode="External"/><Relationship Id="rId319" Type="http://schemas.openxmlformats.org/officeDocument/2006/relationships/hyperlink" Target="https://www.youtube.com/watch?v=9kQSi1-fvXM" TargetMode="External"/><Relationship Id="rId58" Type="http://schemas.openxmlformats.org/officeDocument/2006/relationships/hyperlink" Target="../../../../Video/&#1050;&#1086;&#1083;&#1073;&#1072;&#1089;&#1072;_&#1088;&#1077;&#1094;&#1077;&#1087;&#1090;&#1099;/&#1043;&#1056;&#1059;&#1044;&#1048;&#1053;&#1050;&#1040;%20&#1065;&#1045;&#1050;&#1054;&#1042;&#1048;&#1053;&#1040;%20&#1043;&#1054;&#1056;&#1071;&#1063;&#1045;&#1043;&#1054;%20&#1050;&#1054;&#1055;&#1063;&#1045;&#1053;&#1048;&#1071;%20&#1042;%20&#1084;&#1086;&#1089;&#1082;&#1080;&#1090;&#1077;.mp4" TargetMode="External"/><Relationship Id="rId123" Type="http://schemas.openxmlformats.org/officeDocument/2006/relationships/hyperlink" Target="../../../../Video/&#1050;&#1086;&#1083;&#1073;&#1072;&#1089;&#1072;_&#1088;&#1077;&#1094;&#1077;&#1087;&#1090;&#1099;/&#1057;&#1040;&#1052;&#1040;&#1071;%20&#1042;&#1050;&#1059;&#1057;&#1053;&#1040;&#1071;%20&#1050;&#1056;&#1054;&#1042;&#1071;&#1053;&#1050;&#1040;%20-%20&#1071;&#1079;&#1099;&#1082;&#1086;&#1074;&#1072;&#1103;%20&#1082;&#1088;&#1086;&#1074;&#1103;&#1085;&#1072;&#1103;%20&#1082;&#1086;&#1083;&#1073;&#1072;&#1089;&#1072;!%20&#1056;&#1054;&#1047;&#1067;&#1043;&#1056;&#1067;&#1064;%20&#1055;&#1056;&#1048;&#1047;&#1054;&#1042;.mp4" TargetMode="External"/><Relationship Id="rId330" Type="http://schemas.openxmlformats.org/officeDocument/2006/relationships/hyperlink" Target="../../../../Video/&#1050;&#1086;&#1083;&#1073;&#1072;&#1089;&#1072;_&#1088;&#1077;&#1094;&#1077;&#1087;&#1090;&#1099;/&#1048;&#1090;&#1072;&#1083;&#1100;&#1103;&#1085;&#1089;&#1082;&#1072;&#1103;%20&#1089;&#1099;&#1088;&#1086;&#1074;&#1103;&#1083;&#1077;&#1085;&#1072;&#1103;%20&#1082;&#1086;&#1083;&#1073;&#1072;&#1089;&#1072;%20&#1060;&#1080;&#1085;&#1086;&#1082;&#1082;&#1100;&#1086;&#1085;&#1072;%20&#1074;%20&#1076;&#1086;&#1084;&#1072;&#1096;&#1085;&#1080;&#1093;%20&#1091;&#1089;&#1083;&#1086;&#1074;&#1080;&#1103;&#1093;.mp4" TargetMode="External"/><Relationship Id="rId165" Type="http://schemas.openxmlformats.org/officeDocument/2006/relationships/hyperlink" Target="../../../../Video/&#1050;&#1086;&#1083;&#1073;&#1072;&#1089;&#1072;_&#1088;&#1077;&#1094;&#1077;&#1087;&#1090;&#1099;/&#1048;&#1089;&#1087;&#1072;&#1085;&#1089;&#1082;&#1072;&#1103;%20&#1082;&#1086;&#1083;&#1073;&#1072;&#1089;&#1072;%20&#1063;&#1086;&#1088;&#1080;&#1079;&#1086;%20&#1074;%20&#1076;&#1086;&#1084;&#1072;&#1096;&#1085;&#1080;&#1093;%20&#1091;&#1089;&#1083;&#1086;&#1074;&#1080;&#1103;&#1093;.mp4" TargetMode="External"/><Relationship Id="rId372" Type="http://schemas.openxmlformats.org/officeDocument/2006/relationships/hyperlink" Target="https://www.youtube.com/watch?v=JL9fOZ3WnMI" TargetMode="External"/><Relationship Id="rId232" Type="http://schemas.openxmlformats.org/officeDocument/2006/relationships/hyperlink" Target="../../../../Video/&#1050;&#1086;&#1083;&#1073;&#1072;&#1089;&#1072;_&#1088;&#1077;&#1094;&#1077;&#1087;&#1090;&#1099;/&#1057;&#1082;&#1086;&#1083;&#1100;&#1082;&#1086;%20&#1089;&#1086;&#1083;&#1080;%20&#1085;&#1091;&#1078;&#1085;&#1086;%20&#1076;&#1083;&#1103;%20&#1088;&#1072;&#1089;&#1089;&#1086;&#1083;&#1072;,%20&#1082;&#1086;&#1090;&#1086;&#1088;&#1099;&#1084;%20&#1096;&#1087;&#1088;&#1080;&#1094;&#1091;&#1102;&#1090;%20&#1084;&#1103;&#1089;&#1086;.%20&#1050;&#1072;&#1088;&#1073;&#1086;&#1085;&#1072;&#1076;%20(&#1073;&#1072;&#1083;&#1099;&#1082;)%20&#1074;&#1072;&#1088;&#1077;&#1085;&#1086;-&#1082;&#1086;&#1087;&#1095;&#1077;&#1085;&#1099;&#1081;.mp4" TargetMode="External"/><Relationship Id="rId274" Type="http://schemas.openxmlformats.org/officeDocument/2006/relationships/hyperlink" Target="../../../../Video/&#1050;&#1086;&#1083;&#1073;&#1072;&#1089;&#1072;_&#1088;&#1077;&#1094;&#1077;&#1087;&#1090;&#1099;/&#1056;&#1077;&#1094;&#1077;&#1087;&#1090;%20&#1082;&#1086;&#1083;&#1073;&#1072;&#1089;&#1086;&#1082;%20&#1080;&#1079;%20&#1052;&#1054;&#1045;&#1049;%20&#1061;&#1054;&#1058;&#1044;&#1054;&#1046;&#1053;&#1054;&#1049;%20&#1074;%20&#1055;&#1080;&#1090;&#1077;&#1088;&#1077;!.mp4" TargetMode="External"/><Relationship Id="rId27" Type="http://schemas.openxmlformats.org/officeDocument/2006/relationships/hyperlink" Target="../../../../Video/&#1050;&#1086;&#1083;&#1073;&#1072;&#1089;&#1072;_&#1088;&#1077;&#1094;&#1077;&#1087;&#1090;&#1099;/&#1057;&#1040;&#1052;&#1040;&#1071;%20&#1042;&#1050;&#1059;&#1057;&#1053;&#1040;&#1071;%20&#1050;&#1056;&#1054;&#1042;&#1071;&#1053;&#1050;&#1040;%20-%20&#1071;&#1079;&#1099;&#1082;&#1086;&#1074;&#1072;&#1103;%20&#1082;&#1088;&#1086;&#1074;&#1103;&#1085;&#1072;&#1103;%20&#1082;&#1086;&#1083;&#1073;&#1072;&#1089;&#1072;!%20&#1056;&#1054;&#1047;&#1067;&#1043;&#1056;&#1067;&#1064;%20&#1055;&#1056;&#1048;&#1047;&#1054;&#1042;.mp4" TargetMode="External"/><Relationship Id="rId69" Type="http://schemas.openxmlformats.org/officeDocument/2006/relationships/hyperlink" Target="../../../../Video/&#1050;&#1086;&#1083;&#1073;&#1072;&#1089;&#1072;_&#1088;&#1077;&#1094;&#1077;&#1087;&#1090;&#1099;/&#1050;&#1040;&#1056;&#1040;&#1057;&#1068;%20&#1093;&#1086;&#1083;&#1086;&#1076;&#1085;&#1086;&#1075;&#1086;%20&#1082;&#1086;&#1087;&#1095;&#1077;&#1085;&#1080;&#1103;%20&#1087;&#1086;%20&#1082;&#1072;&#1079;&#1072;&#1093;&#1089;&#1082;&#1080;%20&#1086;&#1090;%20&#1048;&#1043;&#1054;&#1056;&#1071;%20&#1074;%20&#1082;&#1086;&#1087;&#1090;&#1080;&#1083;&#1100;&#1085;&#1077;%20&#1084;&#1086;&#1089;&#1082;&#1080;&#1090;.mp4" TargetMode="External"/><Relationship Id="rId134" Type="http://schemas.openxmlformats.org/officeDocument/2006/relationships/hyperlink" Target="https://www.youtube.com/watch?v=F10ChDTJQn4" TargetMode="External"/><Relationship Id="rId80" Type="http://schemas.openxmlformats.org/officeDocument/2006/relationships/hyperlink" Target="../../../../Video/&#1050;&#1086;&#1083;&#1073;&#1072;&#1089;&#1072;_&#1088;&#1077;&#1094;&#1077;&#1087;&#1090;&#1099;/&#1052;&#1054;&#1057;&#1050;&#1054;&#1042;&#1057;&#1050;&#1040;&#1071;%20&#1050;&#1054;&#1055;&#1063;&#1045;&#1053;&#1040;&#1071;%20&#1076;&#1086;&#1084;&#1072;&#1096;&#1085;&#1103;&#1103;%20&#1082;&#1086;&#1083;&#1073;&#1072;&#1089;&#1072;%20&#1043;&#1054;&#1057;&#1058;%201938.mp4" TargetMode="External"/><Relationship Id="rId176" Type="http://schemas.openxmlformats.org/officeDocument/2006/relationships/hyperlink" Target="../../../../Video/&#1050;&#1086;&#1083;&#1073;&#1072;&#1089;&#1072;_&#1088;&#1077;&#1094;&#1077;&#1087;&#1090;&#1099;/&#1051;&#1091;&#1095;&#1096;&#1080;&#1081;%20&#1088;&#1077;&#1094;&#1077;&#1087;&#1090;%20&#1079;&#1072;&#1089;&#1086;&#1083;&#1082;&#1080;%20&#1089;&#1072;&#1083;&#1072;!!%20&#1043;&#1086;&#1090;&#1086;&#1074;&#1080;&#1084;%20&#1087;&#1086;%20&#1043;&#1054;&#1057;&#1058;&#1091;%201938&#1075;.mp4" TargetMode="External"/><Relationship Id="rId341" Type="http://schemas.openxmlformats.org/officeDocument/2006/relationships/hyperlink" Target="https://www.youtube.com/watch?v=mvaLbMCDunw&amp;t=2s" TargetMode="External"/><Relationship Id="rId383" Type="http://schemas.openxmlformats.org/officeDocument/2006/relationships/hyperlink" Target="https://www.youtube.com/watch?v=pO4cS1NcSig&amp;t=527s" TargetMode="External"/><Relationship Id="rId201" Type="http://schemas.openxmlformats.org/officeDocument/2006/relationships/hyperlink" Target="../../../../Video/&#1050;&#1086;&#1083;&#1073;&#1072;&#1089;&#1072;_&#1088;&#1077;&#1094;&#1077;&#1087;&#1090;&#1099;/&#127470;&#127481;&#128293;&#127869;&#65039;%20&#1050;&#1083;&#1072;&#1089;&#1089;&#1080;&#1095;&#1077;&#1089;&#1082;&#1072;&#1103;%20&#1048;&#1090;&#1072;&#1083;&#1100;&#1103;&#1085;&#1089;&#1082;&#1072;&#1103;%20&#1052;&#1054;&#1056;&#1058;&#1040;&#1044;&#1045;&#1051;&#1051;&#1040;%20&#1074;%20&#1044;&#1091;&#1093;&#1086;&#1074;&#1082;&#1077;!%20&#127838;&#128104;&#8205;&#127859;&#128105;&#8205;&#127859;&#127470;&#127481;&#127830;&#128076;.mp4" TargetMode="External"/><Relationship Id="rId222" Type="http://schemas.openxmlformats.org/officeDocument/2006/relationships/hyperlink" Target="../../../../Video/&#1050;&#1086;&#1083;&#1073;&#1072;&#1089;&#1072;_&#1088;&#1077;&#1094;&#1077;&#1087;&#1090;&#1099;/&#1057;&#1086;&#1089;&#1080;&#1089;&#1082;&#1080;%20&#1076;&#1077;&#1090;&#1089;&#1082;&#1080;&#1077;%20&#1084;&#1086;&#1083;&#1086;&#1095;&#1085;&#1099;&#1077;%20&#1041;&#1045;&#1047;%20&#1053;&#1048;&#1058;&#1056;&#1048;&#1058;&#1053;&#1054;&#1049;%20&#1057;&#1054;&#1051;&#1048;.mp4" TargetMode="External"/><Relationship Id="rId243" Type="http://schemas.openxmlformats.org/officeDocument/2006/relationships/hyperlink" Target="https://www.youtube.com/watch?v=l4YTFXybrO4" TargetMode="External"/><Relationship Id="rId264" Type="http://schemas.openxmlformats.org/officeDocument/2006/relationships/hyperlink" Target="https://www.youtube.com/watch?v=DzdRsfq_Sgo&amp;t=1s" TargetMode="External"/><Relationship Id="rId285" Type="http://schemas.openxmlformats.org/officeDocument/2006/relationships/hyperlink" Target="../../../../Video/&#1050;&#1086;&#1083;&#1073;&#1072;&#1089;&#1072;_&#1088;&#1077;&#1094;&#1077;&#1087;&#1090;&#1099;/&#1057;&#1086;&#1089;&#1080;&#1089;&#1082;&#1080;%20&#1050;&#1088;&#1077;&#1087;&#1099;&#1096;,%20&#1073;&#1077;&#1079;%20&#1085;&#1080;&#1090;&#1088;&#1080;&#1090;&#1085;&#1086;&#1081;%20&#1089;&#1086;&#1083;&#1080;.%20&#1057;&#1088;&#1072;&#1074;&#1085;&#1077;&#1085;&#1080;&#1077;%20&#1088;&#1077;&#1094;&#1077;&#1087;&#1090;&#1091;&#1088;%20&#1089;%20&#1092;&#1086;&#1089;&#1092;&#1072;&#1090;&#1086;&#1084;%20&#1080;%20&#1094;&#1080;&#1090;&#1088;&#1072;&#1090;&#1086;&#1084;%20-%20&#1082;&#1086;&#1085;&#1089;&#1080;&#1089;&#1090;&#1077;&#1085;&#1094;&#1080;&#1103;%20&#1080;%20&#1074;&#1082;&#1091;&#1089;.mp4" TargetMode="External"/><Relationship Id="rId17" Type="http://schemas.openxmlformats.org/officeDocument/2006/relationships/hyperlink" Target="../../../../Video/&#1050;&#1086;&#1083;&#1073;&#1072;&#1089;&#1072;_&#1088;&#1077;&#1094;&#1077;&#1087;&#1090;&#1099;/&#1044;&#1086;&#1084;&#1072;&#1096;&#1085;&#1080;&#1077;%20&#1082;&#1091;&#1088;&#1080;&#1085;&#1099;&#1077;%20&#1089;&#1086;&#1089;&#1080;&#1089;&#1082;&#1080;%20&#1089;%20&#1090;&#1074;&#1077;&#1088;&#1076;&#1099;&#1084;%20&#1089;&#1099;&#1088;&#1086;&#1084;.mp4" TargetMode="External"/><Relationship Id="rId38" Type="http://schemas.openxmlformats.org/officeDocument/2006/relationships/hyperlink" Target="../../../../Video/&#1050;&#1086;&#1083;&#1073;&#1072;&#1089;&#1072;_&#1088;&#1077;&#1094;&#1077;&#1087;&#1090;&#1099;/&#1050;&#1072;&#1073;&#1072;&#1085;&#1086;&#1089;&#1099;%20(Kabanosy)%20&#1074;%20&#1076;&#1086;&#1084;&#1072;&#1096;&#1085;&#1080;&#1093;%20&#1091;&#1089;&#1083;&#1086;&#1074;&#1080;&#1103;&#1093;.mp4" TargetMode="External"/><Relationship Id="rId59" Type="http://schemas.openxmlformats.org/officeDocument/2006/relationships/hyperlink" Target="../../../../Video/&#1050;&#1086;&#1083;&#1073;&#1072;&#1089;&#1072;_&#1088;&#1077;&#1094;&#1077;&#1087;&#1090;&#1099;/&#1043;&#1056;&#1059;&#1044;&#1048;&#1053;&#1050;&#1040;%20&#1065;&#1045;&#1050;&#1054;&#1042;&#1048;&#1053;&#1040;%20&#1043;&#1054;&#1056;&#1071;&#1063;&#1045;&#1043;&#1054;%20&#1050;&#1054;&#1055;&#1063;&#1045;&#1053;&#1048;&#1071;%20&#1042;%20&#1084;&#1086;&#1089;&#1082;&#1080;&#1090;&#1077;.mp4" TargetMode="External"/><Relationship Id="rId103" Type="http://schemas.openxmlformats.org/officeDocument/2006/relationships/hyperlink" Target="../../../../Video/&#1050;&#1086;&#1083;&#1073;&#1072;&#1089;&#1072;_&#1088;&#1077;&#1094;&#1077;&#1087;&#1090;&#1099;/&#1057;&#1077;&#1083;&#1100;&#1076;&#1100;%20&#1087;&#1088;&#1103;&#1085;&#1086;&#1075;&#1086;%20&#1087;&#1086;&#1089;&#1086;&#1083;&#1072;.%20&#1056;&#1077;&#1094;&#1077;&#1087;&#1090;&#1091;&#1088;&#1072;%20&#1076;&#1083;&#1103;%20&#1088;&#1072;&#1089;&#1089;&#1086;&#1083;&#1072;.%20&#1054;&#1090;&#1076;&#1077;&#1083;&#1077;&#1085;&#1080;&#1077;%20&#1092;&#1080;&#1083;&#1077;%20&#1086;&#1090;%20&#1082;&#1086;&#1089;&#1090;&#1077;&#1081;.mp4" TargetMode="External"/><Relationship Id="rId124" Type="http://schemas.openxmlformats.org/officeDocument/2006/relationships/hyperlink" Target="../../../../Video/&#1050;&#1086;&#1083;&#1073;&#1072;&#1089;&#1072;_&#1088;&#1077;&#1094;&#1077;&#1087;&#1090;&#1099;/&#1057;&#1040;&#1052;&#1040;&#1071;%20&#1042;&#1050;&#1059;&#1057;&#1053;&#1040;&#1071;%20&#1050;&#1056;&#1054;&#1042;&#1071;&#1053;&#1050;&#1040;%20-%20&#1071;&#1079;&#1099;&#1082;&#1086;&#1074;&#1072;&#1103;%20&#1082;&#1088;&#1086;&#1074;&#1103;&#1085;&#1072;&#1103;%20&#1082;&#1086;&#1083;&#1073;&#1072;&#1089;&#1072;!%20&#1056;&#1054;&#1047;&#1067;&#1043;&#1056;&#1067;&#1064;%20&#1055;&#1056;&#1048;&#1047;&#1054;&#1042;.mp4" TargetMode="External"/><Relationship Id="rId310" Type="http://schemas.openxmlformats.org/officeDocument/2006/relationships/hyperlink" Target="../../../../Video/&#1050;&#1086;&#1083;&#1073;&#1072;&#1089;&#1072;_&#1088;&#1077;&#1094;&#1077;&#1087;&#1090;&#1099;/&#1051;&#1091;&#1082;&#1072;&#1085;&#1082;&#1072;%20&#1073;&#1086;&#1083;&#1075;&#1072;&#1088;&#1089;&#1082;&#1072;&#1103;.%20&#1040;&#1076;&#1072;&#1087;&#1090;&#1080;&#1088;&#1086;&#1074;&#1072;&#1085;&#1085;&#1099;&#1081;%20&#1088;&#1077;&#1094;&#1077;&#1087;&#1090;%20&#1076;&#1083;&#1103;%20&#1085;&#1072;&#1095;&#1080;&#1085;&#1072;&#1102;&#1097;&#1080;&#1093;.mp4" TargetMode="External"/><Relationship Id="rId70" Type="http://schemas.openxmlformats.org/officeDocument/2006/relationships/hyperlink" Target="../../../../Video/&#1050;&#1086;&#1083;&#1073;&#1072;&#1089;&#1072;_&#1088;&#1077;&#1094;&#1077;&#1087;&#1090;&#1099;/&#1075;&#1086;&#1088;&#1073;&#1091;&#1096;&#1072;%20&#1093;&#1086;&#1083;&#1086;&#1076;&#1085;&#1086;&#1075;&#1086;%20&#1082;&#1086;&#1087;&#1095;&#1077;&#1085;&#1080;&#1103;%20&#1074;%20&#1082;&#1086;&#1087;&#1090;&#1080;&#1083;&#1100;&#1085;&#1077;%20&#1084;&#1086;&#1089;&#1082;&#1080;&#1090;.mp4" TargetMode="External"/><Relationship Id="rId91" Type="http://schemas.openxmlformats.org/officeDocument/2006/relationships/hyperlink" Target="../../../../Video/&#1050;&#1086;&#1083;&#1073;&#1072;&#1089;&#1072;_&#1088;&#1077;&#1094;&#1077;&#1087;&#1090;&#1099;/&#1057;&#1072;&#1083;&#1103;&#1084;&#1080;%20&#1052;&#1080;&#1083;&#1072;&#1085;&#1086;%20&#1089;&#1086;%20&#1089;&#1090;&#1072;&#1088;&#1090;&#1086;&#1074;&#1099;&#1084;&#1080;%20&#1082;&#1091;&#1083;&#1100;&#1090;&#1091;&#1088;&#1072;&#1084;&#1080;.mp4" TargetMode="External"/><Relationship Id="rId145" Type="http://schemas.openxmlformats.org/officeDocument/2006/relationships/hyperlink" Target="https://www.youtube.com/watch?v=zgSpESIhaR0" TargetMode="External"/><Relationship Id="rId166" Type="http://schemas.openxmlformats.org/officeDocument/2006/relationships/hyperlink" Target="../../../../Video/&#1050;&#1086;&#1083;&#1073;&#1072;&#1089;&#1072;_&#1088;&#1077;&#1094;&#1077;&#1087;&#1090;&#1099;/&#1048;&#1089;&#1087;&#1072;&#1085;&#1089;&#1082;&#1072;&#1103;%20&#1082;&#1086;&#1083;&#1073;&#1072;&#1089;&#1072;%20&#1063;&#1086;&#1088;&#1080;&#1079;&#1086;%20&#1074;%20&#1076;&#1086;&#1084;&#1072;&#1096;&#1085;&#1080;&#1093;%20&#1091;&#1089;&#1083;&#1086;&#1074;&#1080;&#1103;&#1093;.mp4" TargetMode="External"/><Relationship Id="rId187" Type="http://schemas.openxmlformats.org/officeDocument/2006/relationships/hyperlink" Target="https://www.youtube.com/watch?v=fvRBCLYYmZM" TargetMode="External"/><Relationship Id="rId331" Type="http://schemas.openxmlformats.org/officeDocument/2006/relationships/hyperlink" Target="https://www.youtube.com/watch?v=u-809JqYnfE&amp;t=500s" TargetMode="External"/><Relationship Id="rId352" Type="http://schemas.openxmlformats.org/officeDocument/2006/relationships/hyperlink" Target="https://www.youtube.com/watch?v=l6XNRcGn3jI" TargetMode="External"/><Relationship Id="rId373" Type="http://schemas.openxmlformats.org/officeDocument/2006/relationships/hyperlink" Target="https://www.youtube.com/watch?v=JL9fOZ3WnMI" TargetMode="External"/><Relationship Id="rId394" Type="http://schemas.openxmlformats.org/officeDocument/2006/relationships/hyperlink" Target="https://1000.menu/cooking/42853-pelmeni-domashnie-klassicheskie" TargetMode="External"/><Relationship Id="rId408" Type="http://schemas.openxmlformats.org/officeDocument/2006/relationships/hyperlink" Target="https://www.youtube.com/watch?v=PwFXCb96LRQ&amp;t=445s" TargetMode="External"/><Relationship Id="rId1" Type="http://schemas.openxmlformats.org/officeDocument/2006/relationships/hyperlink" Target="https://www.youtube.com/watch?v=AUk8hq2wdRI" TargetMode="External"/><Relationship Id="rId212" Type="http://schemas.openxmlformats.org/officeDocument/2006/relationships/hyperlink" Target="https://www.youtube.com/watch?v=UL8b1lAjZi8" TargetMode="External"/><Relationship Id="rId233" Type="http://schemas.openxmlformats.org/officeDocument/2006/relationships/hyperlink" Target="https://www.youtube.com/watch?v=l4YTFXybrO4" TargetMode="External"/><Relationship Id="rId254" Type="http://schemas.openxmlformats.org/officeDocument/2006/relationships/hyperlink" Target="../../../../Video/&#1050;&#1086;&#1083;&#1073;&#1072;&#1089;&#1072;_&#1088;&#1077;&#1094;&#1077;&#1087;&#1090;&#1099;/&#1050;&#1072;&#1073;&#1072;&#1085;&#1086;&#1089;&#1099;%20(Kabanosy)%20&#1074;%20&#1076;&#1086;&#1084;&#1072;&#1096;&#1085;&#1080;&#1093;%20&#1091;&#1089;&#1083;&#1086;&#1074;&#1080;&#1103;&#1093;.mp4" TargetMode="External"/><Relationship Id="rId28" Type="http://schemas.openxmlformats.org/officeDocument/2006/relationships/hyperlink" Target="../../../../Video/&#1050;&#1086;&#1083;&#1073;&#1072;&#1089;&#1072;_&#1088;&#1077;&#1094;&#1077;&#1087;&#1090;&#1099;/&#1042;&#1045;&#1058;&#1063;&#1048;&#1053;&#1053;&#1054;-&#1056;&#1059;&#1041;&#1051;&#1045;&#1053;&#1040;&#1071;%20&#1074;&#1072;&#1088;&#1077;&#1085;&#1072;&#1103;%20&#1076;&#1086;&#1084;&#1072;&#1096;&#1085;&#1103;&#1103;.%20&#1043;&#1054;&#1057;&#1058;%20&#1057;&#1057;&#1057;&#1056;.mp4" TargetMode="External"/><Relationship Id="rId49" Type="http://schemas.openxmlformats.org/officeDocument/2006/relationships/hyperlink" Target="../../../../Video/&#1050;&#1086;&#1083;&#1073;&#1072;&#1089;&#1072;_&#1088;&#1077;&#1094;&#1077;&#1087;&#1090;&#1099;/&#1044;&#1086;&#1084;&#1072;&#1096;&#1085;&#1080;&#1077;%20&#1082;&#1091;&#1088;&#1080;&#1085;&#1099;&#1077;%20&#1089;&#1086;&#1089;&#1080;&#1089;&#1082;&#1080;%20&#1089;%20&#1090;&#1074;&#1077;&#1088;&#1076;&#1099;&#1084;%20&#1089;&#1099;&#1088;&#1086;&#1084;.mp4" TargetMode="External"/><Relationship Id="rId114" Type="http://schemas.openxmlformats.org/officeDocument/2006/relationships/hyperlink" Target="https://www.youtube.com/watch?v=AUk8hq2wdRI" TargetMode="External"/><Relationship Id="rId275" Type="http://schemas.openxmlformats.org/officeDocument/2006/relationships/hyperlink" Target="https://www.youtube.com/watch?v=QZoNgAaBgY0" TargetMode="External"/><Relationship Id="rId296" Type="http://schemas.openxmlformats.org/officeDocument/2006/relationships/hyperlink" Target="../../../../Video/&#1050;&#1086;&#1083;&#1073;&#1072;&#1089;&#1072;_&#1088;&#1077;&#1094;&#1077;&#1087;&#1090;&#1099;/&#1056;&#1054;&#1047;&#1067;&#1043;&#1056;&#1067;&#1064;%20&#1080;%20&#1040;&#1050;&#1062;&#1048;&#1071;.%20&#1052;&#1086;&#1088;&#1090;&#1072;&#1076;&#1077;&#1083;&#1083;&#1072;%20&#1074;%20&#1076;&#1091;&#1093;&#1086;&#1074;&#1082;&#1077;%20+%20&#1088;&#1077;&#1094;&#1077;&#1087;&#1090;&#1091;&#1088;&#1072;%20&#1089;&#1099;&#1088;&#1086;&#1074;&#1103;&#1083;&#1077;&#1085;&#1086;&#1081;%20&#1051;&#1091;&#1082;&#1072;&#1085;&#1082;&#1080;,%20&#1074;&#1103;&#1083;&#1080;&#1084;%20&#1074;%20&#1093;&#1086;&#1083;&#1086;&#1076;&#1080;&#1083;&#1100;&#1085;&#1080;&#1082;&#1077;.mp4" TargetMode="External"/><Relationship Id="rId300" Type="http://schemas.openxmlformats.org/officeDocument/2006/relationships/hyperlink" Target="https://www.youtube.com/watch?v=S6Ug6ilt2fE" TargetMode="External"/><Relationship Id="rId60" Type="http://schemas.openxmlformats.org/officeDocument/2006/relationships/hyperlink" Target="../../../../Video/&#1050;&#1086;&#1083;&#1073;&#1072;&#1089;&#1072;_&#1088;&#1077;&#1094;&#1077;&#1087;&#1090;&#1099;/&#1043;&#1056;&#1059;&#1044;&#1048;&#1053;&#1050;&#1040;%20&#1065;&#1045;&#1050;&#1054;&#1042;&#1048;&#1053;&#1040;%20&#1043;&#1054;&#1056;&#1071;&#1063;&#1045;&#1043;&#1054;%20&#1050;&#1054;&#1055;&#1063;&#1045;&#1053;&#1048;&#1071;%20&#1042;%20&#1084;&#1086;&#1089;&#1082;&#1080;&#1090;&#1077;.mp4" TargetMode="External"/><Relationship Id="rId81" Type="http://schemas.openxmlformats.org/officeDocument/2006/relationships/hyperlink" Target="../../../../Video/&#1050;&#1086;&#1083;&#1073;&#1072;&#1089;&#1072;_&#1088;&#1077;&#1094;&#1077;&#1087;&#1090;&#1099;/&#1052;&#1054;&#1057;&#1050;&#1054;&#1042;&#1057;&#1050;&#1040;&#1071;%20&#1050;&#1054;&#1055;&#1063;&#1045;&#1053;&#1040;&#1071;%20&#1076;&#1086;&#1084;&#1072;&#1096;&#1085;&#1103;&#1103;%20&#1082;&#1086;&#1083;&#1073;&#1072;&#1089;&#1072;%20&#1043;&#1054;&#1057;&#1058;%201938.mp4" TargetMode="External"/><Relationship Id="rId135" Type="http://schemas.openxmlformats.org/officeDocument/2006/relationships/hyperlink" Target="https://www.youtube.com/watch?v=F10ChDTJQn4" TargetMode="External"/><Relationship Id="rId156" Type="http://schemas.openxmlformats.org/officeDocument/2006/relationships/hyperlink" Target="https://www.youtube.com/watch?v=Kn8ZRKjfc9s" TargetMode="External"/><Relationship Id="rId177" Type="http://schemas.openxmlformats.org/officeDocument/2006/relationships/hyperlink" Target="../../../../Video/&#1050;&#1086;&#1083;&#1073;&#1072;&#1089;&#1072;_&#1088;&#1077;&#1094;&#1077;&#1087;&#1090;&#1099;/&#1051;&#1091;&#1095;&#1096;&#1080;&#1081;%20&#1088;&#1077;&#1094;&#1077;&#1087;&#1090;%20&#1079;&#1072;&#1089;&#1086;&#1083;&#1082;&#1080;%20&#1089;&#1072;&#1083;&#1072;!!%20&#1043;&#1086;&#1090;&#1086;&#1074;&#1080;&#1084;%20&#1087;&#1086;%20&#1043;&#1054;&#1057;&#1058;&#1091;%201938&#1075;.mp4" TargetMode="External"/><Relationship Id="rId198" Type="http://schemas.openxmlformats.org/officeDocument/2006/relationships/hyperlink" Target="https://www.youtube.com/watch?v=sOpq7K5NJdk" TargetMode="External"/><Relationship Id="rId321" Type="http://schemas.openxmlformats.org/officeDocument/2006/relationships/hyperlink" Target="../../../../Video/&#1050;&#1086;&#1083;&#1073;&#1072;&#1089;&#1072;_&#1088;&#1077;&#1094;&#1077;&#1087;&#1090;&#1099;/&#1051;&#1070;&#1041;&#1048;&#1058;&#1045;&#1051;&#1068;&#1057;&#1050;&#1040;&#1071;%20&#1050;&#1054;&#1051;&#1041;&#1040;&#1057;&#1040;%20&#1076;&#1086;&#1084;&#1072;&#1096;&#1085;&#1103;&#1103;,%20&#1057;&#1054;&#1042;&#1045;&#1058;&#1057;&#1050;&#1048;&#1049;%20&#1043;&#1054;&#1057;&#1058;.mp4" TargetMode="External"/><Relationship Id="rId342" Type="http://schemas.openxmlformats.org/officeDocument/2006/relationships/hyperlink" Target="https://www.youtube.com/watch?v=mvaLbMCDunw&amp;t=2s" TargetMode="External"/><Relationship Id="rId363" Type="http://schemas.openxmlformats.org/officeDocument/2006/relationships/hyperlink" Target="https://www.youtube.com/watch?v=mp6IBTJIyGA" TargetMode="External"/><Relationship Id="rId384" Type="http://schemas.openxmlformats.org/officeDocument/2006/relationships/hyperlink" Target="https://www.youtube.com/watch?v=pO4cS1NcSig&amp;t=527s" TargetMode="External"/><Relationship Id="rId419" Type="http://schemas.microsoft.com/office/2007/relationships/slicer" Target="../slicers/slicer2.xml"/><Relationship Id="rId202" Type="http://schemas.openxmlformats.org/officeDocument/2006/relationships/hyperlink" Target="../../../../Video/&#1050;&#1086;&#1083;&#1073;&#1072;&#1089;&#1072;_&#1088;&#1077;&#1094;&#1077;&#1087;&#1090;&#1099;/&#127470;&#127481;&#128293;&#127869;&#65039;%20&#1050;&#1083;&#1072;&#1089;&#1089;&#1080;&#1095;&#1077;&#1089;&#1082;&#1072;&#1103;%20&#1048;&#1090;&#1072;&#1083;&#1100;&#1103;&#1085;&#1089;&#1082;&#1072;&#1103;%20&#1052;&#1054;&#1056;&#1058;&#1040;&#1044;&#1045;&#1051;&#1051;&#1040;%20&#1074;%20&#1044;&#1091;&#1093;&#1086;&#1074;&#1082;&#1077;!%20&#127838;&#128104;&#8205;&#127859;&#128105;&#8205;&#127859;&#127470;&#127481;&#127830;&#128076;.mp4" TargetMode="External"/><Relationship Id="rId223" Type="http://schemas.openxmlformats.org/officeDocument/2006/relationships/hyperlink" Target="../../../../Video/&#1050;&#1086;&#1083;&#1073;&#1072;&#1089;&#1072;_&#1088;&#1077;&#1094;&#1077;&#1087;&#1090;&#1099;/&#1057;&#1086;&#1089;&#1080;&#1089;&#1082;&#1080;%20&#1076;&#1077;&#1090;&#1089;&#1082;&#1080;&#1077;%20&#1084;&#1086;&#1083;&#1086;&#1095;&#1085;&#1099;&#1077;%20&#1041;&#1045;&#1047;%20&#1053;&#1048;&#1058;&#1056;&#1048;&#1058;&#1053;&#1054;&#1049;%20&#1057;&#1054;&#1051;&#1048;.mp4" TargetMode="External"/><Relationship Id="rId244" Type="http://schemas.openxmlformats.org/officeDocument/2006/relationships/hyperlink" Target="../../../../Video/&#1050;&#1086;&#1083;&#1073;&#1072;&#1089;&#1072;_&#1088;&#1077;&#1094;&#1077;&#1087;&#1090;&#1099;/&#1050;&#1072;&#1073;&#1072;&#1085;&#1086;&#1089;&#1099;%20(Kabanosy)%20&#1074;%20&#1076;&#1086;&#1084;&#1072;&#1096;&#1085;&#1080;&#1093;%20&#1091;&#1089;&#1083;&#1086;&#1074;&#1080;&#1103;&#1093;.mp4" TargetMode="External"/><Relationship Id="rId18" Type="http://schemas.openxmlformats.org/officeDocument/2006/relationships/hyperlink" Target="../../../../Video/&#1050;&#1086;&#1083;&#1073;&#1072;&#1089;&#1072;_&#1088;&#1077;&#1094;&#1077;&#1087;&#1090;&#1099;/&#1050;&#1059;&#1056;&#1048;&#1062;&#1040;%20&#1075;&#1086;&#1088;&#1103;&#1095;&#1077;&#1075;&#1086;%20&#1082;&#1086;&#1087;&#1095;&#1077;&#1085;&#1080;&#1103;%20&#1074;%20&#1082;&#1086;&#1087;&#1090;&#1080;&#1083;&#1100;&#1085;&#1077;%20&#1091;&#1101;&#1082;%20&#1084;&#1086;&#1089;&#1082;&#1080;&#1090;.mp4" TargetMode="External"/><Relationship Id="rId39" Type="http://schemas.openxmlformats.org/officeDocument/2006/relationships/hyperlink" Target="../../../../Video/&#1050;&#1086;&#1083;&#1073;&#1072;&#1089;&#1072;_&#1088;&#1077;&#1094;&#1077;&#1087;&#1090;&#1099;/&#1056;&#1077;&#1094;&#1077;&#1087;&#1090;%20&#1082;&#1086;&#1083;&#1073;&#1072;&#1089;&#1086;&#1082;%20&#1080;&#1079;%20&#1052;&#1054;&#1045;&#1049;%20&#1061;&#1054;&#1058;&#1044;&#1054;&#1046;&#1053;&#1054;&#1049;%20&#1074;%20&#1055;&#1080;&#1090;&#1077;&#1088;&#1077;!.mp4" TargetMode="External"/><Relationship Id="rId265" Type="http://schemas.openxmlformats.org/officeDocument/2006/relationships/hyperlink" Target="../../../../Video/&#1050;&#1086;&#1083;&#1073;&#1072;&#1089;&#1072;_&#1088;&#1077;&#1094;&#1077;&#1087;&#1090;&#1099;/&#1056;&#1077;&#1094;&#1077;&#1087;&#1090;%20&#1082;&#1086;&#1083;&#1073;&#1072;&#1089;&#1086;&#1082;%20&#1080;&#1079;%20&#1052;&#1054;&#1045;&#1049;%20&#1061;&#1054;&#1058;&#1044;&#1054;&#1046;&#1053;&#1054;&#1049;%20&#1074;%20&#1055;&#1080;&#1090;&#1077;&#1088;&#1077;!.mp4" TargetMode="External"/><Relationship Id="rId286" Type="http://schemas.openxmlformats.org/officeDocument/2006/relationships/hyperlink" Target="../../../../Video/&#1050;&#1086;&#1083;&#1073;&#1072;&#1089;&#1072;_&#1088;&#1077;&#1094;&#1077;&#1087;&#1090;&#1099;/&#1057;&#1086;&#1089;&#1080;&#1089;&#1082;&#1080;%20&#1050;&#1088;&#1077;&#1087;&#1099;&#1096;,%20&#1073;&#1077;&#1079;%20&#1085;&#1080;&#1090;&#1088;&#1080;&#1090;&#1085;&#1086;&#1081;%20&#1089;&#1086;&#1083;&#1080;.%20&#1057;&#1088;&#1072;&#1074;&#1085;&#1077;&#1085;&#1080;&#1077;%20&#1088;&#1077;&#1094;&#1077;&#1087;&#1090;&#1091;&#1088;%20&#1089;%20&#1092;&#1086;&#1089;&#1092;&#1072;&#1090;&#1086;&#1084;%20&#1080;%20&#1094;&#1080;&#1090;&#1088;&#1072;&#1090;&#1086;&#1084;%20-%20&#1082;&#1086;&#1085;&#1089;&#1080;&#1089;&#1090;&#1077;&#1085;&#1094;&#1080;&#1103;%20&#1080;%20&#1074;&#1082;&#1091;&#1089;.mp4" TargetMode="External"/><Relationship Id="rId50" Type="http://schemas.openxmlformats.org/officeDocument/2006/relationships/hyperlink" Target="../../../../Video/&#1050;&#1086;&#1083;&#1073;&#1072;&#1089;&#1072;_&#1088;&#1077;&#1094;&#1077;&#1087;&#1090;&#1099;/&#1044;&#1086;&#1084;&#1072;&#1096;&#1085;&#1080;&#1077;%20&#1082;&#1091;&#1088;&#1080;&#1085;&#1099;&#1077;%20&#1089;&#1086;&#1089;&#1080;&#1089;&#1082;&#1080;%20&#1089;%20&#1090;&#1074;&#1077;&#1088;&#1076;&#1099;&#1084;%20&#1089;&#1099;&#1088;&#1086;&#1084;.mp4" TargetMode="External"/><Relationship Id="rId104" Type="http://schemas.openxmlformats.org/officeDocument/2006/relationships/hyperlink" Target="../../../../Video/&#1050;&#1086;&#1083;&#1073;&#1072;&#1089;&#1072;_&#1088;&#1077;&#1094;&#1077;&#1087;&#1090;&#1099;/&#1057;&#1077;&#1083;&#1100;&#1076;&#1100;%20&#1087;&#1088;&#1103;&#1085;&#1086;&#1075;&#1086;%20&#1087;&#1086;&#1089;&#1086;&#1083;&#1072;.%20&#1056;&#1077;&#1094;&#1077;&#1087;&#1090;&#1091;&#1088;&#1072;%20&#1076;&#1083;&#1103;%20&#1088;&#1072;&#1089;&#1089;&#1086;&#1083;&#1072;.%20&#1054;&#1090;&#1076;&#1077;&#1083;&#1077;&#1085;&#1080;&#1077;%20&#1092;&#1080;&#1083;&#1077;%20&#1086;&#1090;%20&#1082;&#1086;&#1089;&#1090;&#1077;&#1081;.mp4" TargetMode="External"/><Relationship Id="rId125" Type="http://schemas.openxmlformats.org/officeDocument/2006/relationships/hyperlink" Target="../../../../Video/&#1050;&#1086;&#1083;&#1073;&#1072;&#1089;&#1072;_&#1088;&#1077;&#1094;&#1077;&#1087;&#1090;&#1099;/&#1057;&#1040;&#1052;&#1040;&#1071;%20&#1042;&#1050;&#1059;&#1057;&#1053;&#1040;&#1071;%20&#1050;&#1056;&#1054;&#1042;&#1071;&#1053;&#1050;&#1040;%20-%20&#1071;&#1079;&#1099;&#1082;&#1086;&#1074;&#1072;&#1103;%20&#1082;&#1088;&#1086;&#1074;&#1103;&#1085;&#1072;&#1103;%20&#1082;&#1086;&#1083;&#1073;&#1072;&#1089;&#1072;!%20&#1056;&#1054;&#1047;&#1067;&#1043;&#1056;&#1067;&#1064;%20&#1055;&#1056;&#1048;&#1047;&#1054;&#1042;.mp4" TargetMode="External"/><Relationship Id="rId146" Type="http://schemas.openxmlformats.org/officeDocument/2006/relationships/hyperlink" Target="https://www.youtube.com/watch?v=zgSpESIhaR0" TargetMode="External"/><Relationship Id="rId167" Type="http://schemas.openxmlformats.org/officeDocument/2006/relationships/hyperlink" Target="../../../../Video/&#1050;&#1086;&#1083;&#1073;&#1072;&#1089;&#1072;_&#1088;&#1077;&#1094;&#1077;&#1087;&#1090;&#1099;/&#1048;&#1089;&#1087;&#1072;&#1085;&#1089;&#1082;&#1072;&#1103;%20&#1082;&#1086;&#1083;&#1073;&#1072;&#1089;&#1072;%20&#1063;&#1086;&#1088;&#1080;&#1079;&#1086;%20&#1074;%20&#1076;&#1086;&#1084;&#1072;&#1096;&#1085;&#1080;&#1093;%20&#1091;&#1089;&#1083;&#1086;&#1074;&#1080;&#1103;&#1093;.mp4" TargetMode="External"/><Relationship Id="rId188" Type="http://schemas.openxmlformats.org/officeDocument/2006/relationships/hyperlink" Target="https://www.youtube.com/watch?v=fvRBCLYYmZM" TargetMode="External"/><Relationship Id="rId311" Type="http://schemas.openxmlformats.org/officeDocument/2006/relationships/hyperlink" Target="https://www.youtube.com/watch?v=Z2RwYRh1lJ8" TargetMode="External"/><Relationship Id="rId332" Type="http://schemas.openxmlformats.org/officeDocument/2006/relationships/hyperlink" Target="https://www.youtube.com/watch?v=u-809JqYnfE&amp;t=500s" TargetMode="External"/><Relationship Id="rId353" Type="http://schemas.openxmlformats.org/officeDocument/2006/relationships/hyperlink" Target="https://www.youtube.com/watch?v=l6XNRcGn3jI" TargetMode="External"/><Relationship Id="rId374" Type="http://schemas.openxmlformats.org/officeDocument/2006/relationships/hyperlink" Target="https://www.youtube.com/watch?v=JL9fOZ3WnMI" TargetMode="External"/><Relationship Id="rId395" Type="http://schemas.openxmlformats.org/officeDocument/2006/relationships/hyperlink" Target="../../../../Video/&#1050;&#1086;&#1083;&#1073;&#1072;&#1089;&#1072;_&#1088;&#1077;&#1094;&#1077;&#1087;&#1090;&#1099;/&#1044;&#1086;&#1082;&#1090;&#1086;&#1088;&#1089;&#1082;&#1072;&#1103;%20&#1082;&#1086;&#1083;&#1073;&#1072;&#1089;&#1072;%20&#1043;&#1054;&#1057;&#1058;%2023670-79%20&#1074;%20&#1076;&#1086;&#1084;&#1072;&#1096;&#1085;&#1080;&#1093;%20&#1091;&#1089;&#1083;&#1086;&#1074;&#1080;&#1103;&#1093;.mp4" TargetMode="External"/><Relationship Id="rId409" Type="http://schemas.openxmlformats.org/officeDocument/2006/relationships/hyperlink" Target="https://www.youtube.com/watch?v=PwFXCb96LRQ&amp;t=445s" TargetMode="External"/><Relationship Id="rId71" Type="http://schemas.openxmlformats.org/officeDocument/2006/relationships/hyperlink" Target="../../../../Video/&#1050;&#1086;&#1083;&#1073;&#1072;&#1089;&#1072;_&#1088;&#1077;&#1094;&#1077;&#1087;&#1090;&#1099;/&#1075;&#1086;&#1088;&#1073;&#1091;&#1096;&#1072;%20&#1093;&#1086;&#1083;&#1086;&#1076;&#1085;&#1086;&#1075;&#1086;%20&#1082;&#1086;&#1087;&#1095;&#1077;&#1085;&#1080;&#1103;%20&#1074;%20&#1082;&#1086;&#1087;&#1090;&#1080;&#1083;&#1100;&#1085;&#1077;%20&#1084;&#1086;&#1089;&#1082;&#1080;&#1090;.mp4" TargetMode="External"/><Relationship Id="rId92" Type="http://schemas.openxmlformats.org/officeDocument/2006/relationships/hyperlink" Target="../../../../Video/&#1050;&#1086;&#1083;&#1073;&#1072;&#1089;&#1072;_&#1088;&#1077;&#1094;&#1077;&#1087;&#1090;&#1099;/&#1057;&#1072;&#1083;&#1103;&#1084;&#1080;%20&#1052;&#1080;&#1083;&#1072;&#1085;&#1086;%20&#1089;&#1086;%20&#1089;&#1090;&#1072;&#1088;&#1090;&#1086;&#1074;&#1099;&#1084;&#1080;%20&#1082;&#1091;&#1083;&#1100;&#1090;&#1091;&#1088;&#1072;&#1084;&#1080;.mp4" TargetMode="External"/><Relationship Id="rId213" Type="http://schemas.openxmlformats.org/officeDocument/2006/relationships/hyperlink" Target="https://www.youtube.com/watch?v=UL8b1lAjZi8" TargetMode="External"/><Relationship Id="rId234" Type="http://schemas.openxmlformats.org/officeDocument/2006/relationships/hyperlink" Target="https://www.youtube.com/watch?v=l4YTFXybrO4" TargetMode="External"/><Relationship Id="rId2" Type="http://schemas.openxmlformats.org/officeDocument/2006/relationships/hyperlink" Target="https://www.youtube.com/watch?v=F10ChDTJQn4" TargetMode="External"/><Relationship Id="rId29" Type="http://schemas.openxmlformats.org/officeDocument/2006/relationships/hyperlink" Target="../../../../Video/&#1050;&#1086;&#1083;&#1073;&#1072;&#1089;&#1072;_&#1088;&#1077;&#1094;&#1077;&#1087;&#1090;&#1099;/&#1044;&#1077;&#1083;&#1072;&#1077;&#1084;%20&#1060;&#1059;&#1069;&#1058;%20&#8212;%20&#1080;&#1089;&#1087;&#1072;&#1085;&#1089;&#1082;&#1072;&#1103;%20&#1089;&#1099;&#1088;&#1086;&#1074;&#1103;&#1083;&#1077;&#1085;&#1072;&#1103;%20&#1082;&#1086;&#1083;&#1073;&#1072;&#1089;&#1072;%20&#1074;%20&#1087;&#1083;&#1077;&#1089;&#1077;&#1085;&#1080;.%20FUET.mp4" TargetMode="External"/><Relationship Id="rId255" Type="http://schemas.openxmlformats.org/officeDocument/2006/relationships/hyperlink" Target="https://www.youtube.com/watch?v=DzdRsfq_Sgo&amp;t=1s" TargetMode="External"/><Relationship Id="rId276" Type="http://schemas.openxmlformats.org/officeDocument/2006/relationships/hyperlink" Target="https://www.youtube.com/watch?v=QZoNgAaBgY0" TargetMode="External"/><Relationship Id="rId297" Type="http://schemas.openxmlformats.org/officeDocument/2006/relationships/hyperlink" Target="../../../../Video/&#1050;&#1086;&#1083;&#1073;&#1072;&#1089;&#1072;_&#1088;&#1077;&#1094;&#1077;&#1087;&#1090;&#1099;/&#1056;&#1054;&#1047;&#1067;&#1043;&#1056;&#1067;&#1064;%20&#1080;%20&#1040;&#1050;&#1062;&#1048;&#1071;.%20&#1052;&#1086;&#1088;&#1090;&#1072;&#1076;&#1077;&#1083;&#1083;&#1072;%20&#1074;%20&#1076;&#1091;&#1093;&#1086;&#1074;&#1082;&#1077;%20+%20&#1088;&#1077;&#1094;&#1077;&#1087;&#1090;&#1091;&#1088;&#1072;%20&#1089;&#1099;&#1088;&#1086;&#1074;&#1103;&#1083;&#1077;&#1085;&#1086;&#1081;%20&#1051;&#1091;&#1082;&#1072;&#1085;&#1082;&#1080;,%20&#1074;&#1103;&#1083;&#1080;&#1084;%20&#1074;%20&#1093;&#1086;&#1083;&#1086;&#1076;&#1080;&#1083;&#1100;&#1085;&#1080;&#1082;&#1077;.mp4" TargetMode="External"/><Relationship Id="rId40" Type="http://schemas.openxmlformats.org/officeDocument/2006/relationships/hyperlink" Target="../../../../Video/&#1050;&#1086;&#1083;&#1073;&#1072;&#1089;&#1072;_&#1088;&#1077;&#1094;&#1077;&#1087;&#1090;&#1099;/&#1057;&#1086;&#1089;&#1080;&#1089;&#1082;&#1080;%20&#1050;&#1088;&#1077;&#1087;&#1099;&#1096;,%20&#1073;&#1077;&#1079;%20&#1085;&#1080;&#1090;&#1088;&#1080;&#1090;&#1085;&#1086;&#1081;%20&#1089;&#1086;&#1083;&#1080;.%20&#1057;&#1088;&#1072;&#1074;&#1085;&#1077;&#1085;&#1080;&#1077;%20&#1088;&#1077;&#1094;&#1077;&#1087;&#1090;&#1091;&#1088;%20&#1089;%20&#1092;&#1086;&#1089;&#1092;&#1072;&#1090;&#1086;&#1084;%20&#1080;%20&#1094;&#1080;&#1090;&#1088;&#1072;&#1090;&#1086;&#1084;%20-%20&#1082;&#1086;&#1085;&#1089;&#1080;&#1089;&#1090;&#1077;&#1085;&#1094;&#1080;&#1103;%20&#1080;%20&#1074;&#1082;&#1091;&#1089;.mp4" TargetMode="External"/><Relationship Id="rId115" Type="http://schemas.openxmlformats.org/officeDocument/2006/relationships/hyperlink" Target="https://www.youtube.com/watch?v=AUk8hq2wdRI" TargetMode="External"/><Relationship Id="rId136" Type="http://schemas.openxmlformats.org/officeDocument/2006/relationships/hyperlink" Target="https://www.youtube.com/watch?v=F10ChDTJQn4" TargetMode="External"/><Relationship Id="rId157" Type="http://schemas.openxmlformats.org/officeDocument/2006/relationships/hyperlink" Target="https://www.youtube.com/watch?v=Kn8ZRKjfc9s" TargetMode="External"/><Relationship Id="rId178" Type="http://schemas.openxmlformats.org/officeDocument/2006/relationships/hyperlink" Target="../../../../Video/&#1050;&#1086;&#1083;&#1073;&#1072;&#1089;&#1072;_&#1088;&#1077;&#1094;&#1077;&#1087;&#1090;&#1099;/&#1051;&#1091;&#1095;&#1096;&#1080;&#1081;%20&#1088;&#1077;&#1094;&#1077;&#1087;&#1090;%20&#1079;&#1072;&#1089;&#1086;&#1083;&#1082;&#1080;%20&#1089;&#1072;&#1083;&#1072;!!%20&#1043;&#1086;&#1090;&#1086;&#1074;&#1080;&#1084;%20&#1087;&#1086;%20&#1043;&#1054;&#1057;&#1058;&#1091;%201938&#1075;.mp4" TargetMode="External"/><Relationship Id="rId301" Type="http://schemas.openxmlformats.org/officeDocument/2006/relationships/hyperlink" Target="https://www.youtube.com/watch?v=S6Ug6ilt2fE" TargetMode="External"/><Relationship Id="rId322" Type="http://schemas.openxmlformats.org/officeDocument/2006/relationships/hyperlink" Target="../../../../Video/&#1050;&#1086;&#1083;&#1073;&#1072;&#1089;&#1072;_&#1088;&#1077;&#1094;&#1077;&#1087;&#1090;&#1099;/&#1051;&#1070;&#1041;&#1048;&#1058;&#1045;&#1051;&#1068;&#1057;&#1050;&#1040;&#1071;%20&#1050;&#1054;&#1051;&#1041;&#1040;&#1057;&#1040;%20&#1076;&#1086;&#1084;&#1072;&#1096;&#1085;&#1103;&#1103;,%20&#1057;&#1054;&#1042;&#1045;&#1058;&#1057;&#1050;&#1048;&#1049;%20&#1043;&#1054;&#1057;&#1058;.mp4" TargetMode="External"/><Relationship Id="rId343" Type="http://schemas.openxmlformats.org/officeDocument/2006/relationships/hyperlink" Target="https://www.youtube.com/watch?v=mvaLbMCDunw&amp;t=2s" TargetMode="External"/><Relationship Id="rId364" Type="http://schemas.openxmlformats.org/officeDocument/2006/relationships/hyperlink" Target="https://www.youtube.com/watch?v=mp6IBTJIyGA" TargetMode="External"/><Relationship Id="rId61" Type="http://schemas.openxmlformats.org/officeDocument/2006/relationships/hyperlink" Target="../../../../Video/&#1050;&#1086;&#1083;&#1073;&#1072;&#1089;&#1072;_&#1088;&#1077;&#1094;&#1077;&#1087;&#1090;&#1099;/&#1043;&#1056;&#1059;&#1044;&#1048;&#1053;&#1050;&#1040;%20&#1065;&#1045;&#1050;&#1054;&#1042;&#1048;&#1053;&#1040;%20&#1043;&#1054;&#1056;&#1071;&#1063;&#1045;&#1043;&#1054;%20&#1050;&#1054;&#1055;&#1063;&#1045;&#1053;&#1048;&#1071;%20&#1042;%20&#1084;&#1086;&#1089;&#1082;&#1080;&#1090;&#1077;.mp4" TargetMode="External"/><Relationship Id="rId82" Type="http://schemas.openxmlformats.org/officeDocument/2006/relationships/hyperlink" Target="../../../../Video/&#1050;&#1086;&#1083;&#1073;&#1072;&#1089;&#1072;_&#1088;&#1077;&#1094;&#1077;&#1087;&#1090;&#1099;/&#1052;&#1054;&#1057;&#1050;&#1054;&#1042;&#1057;&#1050;&#1040;&#1071;%20&#1050;&#1054;&#1055;&#1063;&#1045;&#1053;&#1040;&#1071;%20&#1076;&#1086;&#1084;&#1072;&#1096;&#1085;&#1103;&#1103;%20&#1082;&#1086;&#1083;&#1073;&#1072;&#1089;&#1072;%20&#1043;&#1054;&#1057;&#1058;%201938.mp4" TargetMode="External"/><Relationship Id="rId199" Type="http://schemas.openxmlformats.org/officeDocument/2006/relationships/hyperlink" Target="../../../../Video/&#1050;&#1086;&#1083;&#1073;&#1072;&#1089;&#1072;_&#1088;&#1077;&#1094;&#1077;&#1087;&#1090;&#1099;/&#127470;&#127481;&#128293;&#127869;&#65039;%20&#1050;&#1083;&#1072;&#1089;&#1089;&#1080;&#1095;&#1077;&#1089;&#1082;&#1072;&#1103;%20&#1048;&#1090;&#1072;&#1083;&#1100;&#1103;&#1085;&#1089;&#1082;&#1072;&#1103;%20&#1052;&#1054;&#1056;&#1058;&#1040;&#1044;&#1045;&#1051;&#1051;&#1040;%20&#1074;%20&#1044;&#1091;&#1093;&#1086;&#1074;&#1082;&#1077;!%20&#127838;&#128104;&#8205;&#127859;&#128105;&#8205;&#127859;&#127470;&#127481;&#127830;&#128076;.mp4" TargetMode="External"/><Relationship Id="rId203" Type="http://schemas.openxmlformats.org/officeDocument/2006/relationships/hyperlink" Target="../../../../Video/&#1050;&#1086;&#1083;&#1073;&#1072;&#1089;&#1072;_&#1088;&#1077;&#1094;&#1077;&#1087;&#1090;&#1099;/&#127470;&#127481;&#128293;&#127869;&#65039;%20&#1050;&#1083;&#1072;&#1089;&#1089;&#1080;&#1095;&#1077;&#1089;&#1082;&#1072;&#1103;%20&#1048;&#1090;&#1072;&#1083;&#1100;&#1103;&#1085;&#1089;&#1082;&#1072;&#1103;%20&#1052;&#1054;&#1056;&#1058;&#1040;&#1044;&#1045;&#1051;&#1051;&#1040;%20&#1074;%20&#1044;&#1091;&#1093;&#1086;&#1074;&#1082;&#1077;!%20&#127838;&#128104;&#8205;&#127859;&#128105;&#8205;&#127859;&#127470;&#127481;&#127830;&#128076;.mp4" TargetMode="External"/><Relationship Id="rId385" Type="http://schemas.openxmlformats.org/officeDocument/2006/relationships/hyperlink" Target="https://www.youtube.com/watch?v=pO4cS1NcSig&amp;t=527s" TargetMode="External"/><Relationship Id="rId19" Type="http://schemas.openxmlformats.org/officeDocument/2006/relationships/hyperlink" Target="../../../../Video/&#1050;&#1086;&#1083;&#1073;&#1072;&#1089;&#1072;_&#1088;&#1077;&#1094;&#1077;&#1087;&#1090;&#1099;/&#1061;&#1048;&#1058;!!!%20&#1050;&#1091;&#1088;&#1080;&#1094;&#1072;%20&#1082;&#1086;&#1087;&#1095;&#1077;&#1085;&#1086;-&#1074;&#1072;&#1088;&#1077;&#1085;&#1072;&#1103;.%20&#1050;&#1072;&#1082;%20&#1087;&#1088;&#1072;&#1074;&#1080;&#1083;&#1100;&#1085;&#1086;%20&#1096;&#1087;&#1088;&#1080;&#1094;&#1077;&#1074;&#1072;&#1090;&#1100;%20&#1080;%20&#1082;&#1086;&#1087;&#1090;&#1080;&#1090;&#1100;.%20&#1050;&#1072;&#1082;%20&#1089;&#1076;&#1077;&#1083;&#1072;&#1090;&#1100;%20&#1079;&#1086;&#1083;&#1086;&#1090;&#1080;&#1089;&#1090;&#1091;&#1102;%20&#1082;&#1086;&#1088;&#1086;&#1095;&#1082;&#1091;.mp4" TargetMode="External"/><Relationship Id="rId224" Type="http://schemas.openxmlformats.org/officeDocument/2006/relationships/hyperlink" Target="../../../../Video/&#1050;&#1086;&#1083;&#1073;&#1072;&#1089;&#1072;_&#1088;&#1077;&#1094;&#1077;&#1087;&#1090;&#1099;/&#1057;&#1086;&#1089;&#1080;&#1089;&#1082;&#1080;%20&#1076;&#1077;&#1090;&#1089;&#1082;&#1080;&#1077;%20&#1084;&#1086;&#1083;&#1086;&#1095;&#1085;&#1099;&#1077;%20&#1041;&#1045;&#1047;%20&#1053;&#1048;&#1058;&#1056;&#1048;&#1058;&#1053;&#1054;&#1049;%20&#1057;&#1054;&#1051;&#1048;.mp4" TargetMode="External"/><Relationship Id="rId245" Type="http://schemas.openxmlformats.org/officeDocument/2006/relationships/hyperlink" Target="../../../../Video/&#1050;&#1086;&#1083;&#1073;&#1072;&#1089;&#1072;_&#1088;&#1077;&#1094;&#1077;&#1087;&#1090;&#1099;/&#1050;&#1072;&#1073;&#1072;&#1085;&#1086;&#1089;&#1099;%20(Kabanosy)%20&#1074;%20&#1076;&#1086;&#1084;&#1072;&#1096;&#1085;&#1080;&#1093;%20&#1091;&#1089;&#1083;&#1086;&#1074;&#1080;&#1103;&#1093;.mp4" TargetMode="External"/><Relationship Id="rId266" Type="http://schemas.openxmlformats.org/officeDocument/2006/relationships/hyperlink" Target="../../../../Video/&#1050;&#1086;&#1083;&#1073;&#1072;&#1089;&#1072;_&#1088;&#1077;&#1094;&#1077;&#1087;&#1090;&#1099;/&#1056;&#1077;&#1094;&#1077;&#1087;&#1090;%20&#1082;&#1086;&#1083;&#1073;&#1072;&#1089;&#1086;&#1082;%20&#1080;&#1079;%20&#1052;&#1054;&#1045;&#1049;%20&#1061;&#1054;&#1058;&#1044;&#1054;&#1046;&#1053;&#1054;&#1049;%20&#1074;%20&#1055;&#1080;&#1090;&#1077;&#1088;&#1077;!.mp4" TargetMode="External"/><Relationship Id="rId287" Type="http://schemas.openxmlformats.org/officeDocument/2006/relationships/hyperlink" Target="https://www.youtube.com/watch?v=mgB4QoUK4dk" TargetMode="External"/><Relationship Id="rId410" Type="http://schemas.openxmlformats.org/officeDocument/2006/relationships/hyperlink" Target="https://www.youtube.com/watch?v=PwFXCb96LRQ&amp;t=445s" TargetMode="External"/><Relationship Id="rId30" Type="http://schemas.openxmlformats.org/officeDocument/2006/relationships/hyperlink" Target="../../../../Video/&#1050;&#1086;&#1083;&#1073;&#1072;&#1089;&#1072;_&#1088;&#1077;&#1094;&#1077;&#1087;&#1090;&#1099;/&#1048;&#1089;&#1087;&#1072;&#1085;&#1089;&#1082;&#1072;&#1103;%20&#1082;&#1086;&#1083;&#1073;&#1072;&#1089;&#1072;%20&#1063;&#1086;&#1088;&#1080;&#1079;&#1086;%20&#1074;%20&#1076;&#1086;&#1084;&#1072;&#1096;&#1085;&#1080;&#1093;%20&#1091;&#1089;&#1083;&#1086;&#1074;&#1080;&#1103;&#1093;.mp4" TargetMode="External"/><Relationship Id="rId105" Type="http://schemas.openxmlformats.org/officeDocument/2006/relationships/hyperlink" Target="../../../../Video/&#1050;&#1086;&#1083;&#1073;&#1072;&#1089;&#1072;_&#1088;&#1077;&#1094;&#1077;&#1087;&#1090;&#1099;/&#1057;&#1077;&#1083;&#1100;&#1076;&#1100;%20&#1087;&#1088;&#1103;&#1085;&#1086;&#1075;&#1086;%20&#1087;&#1086;&#1089;&#1086;&#1083;&#1072;.%20&#1056;&#1077;&#1094;&#1077;&#1087;&#1090;&#1091;&#1088;&#1072;%20&#1076;&#1083;&#1103;%20&#1088;&#1072;&#1089;&#1089;&#1086;&#1083;&#1072;.%20&#1054;&#1090;&#1076;&#1077;&#1083;&#1077;&#1085;&#1080;&#1077;%20&#1092;&#1080;&#1083;&#1077;%20&#1086;&#1090;%20&#1082;&#1086;&#1089;&#1090;&#1077;&#1081;.mp4" TargetMode="External"/><Relationship Id="rId126" Type="http://schemas.openxmlformats.org/officeDocument/2006/relationships/hyperlink" Target="../../../../Video/&#1050;&#1086;&#1083;&#1073;&#1072;&#1089;&#1072;_&#1088;&#1077;&#1094;&#1077;&#1087;&#1090;&#1099;/&#1057;&#1040;&#1052;&#1040;&#1071;%20&#1042;&#1050;&#1059;&#1057;&#1053;&#1040;&#1071;%20&#1050;&#1056;&#1054;&#1042;&#1071;&#1053;&#1050;&#1040;%20-%20&#1071;&#1079;&#1099;&#1082;&#1086;&#1074;&#1072;&#1103;%20&#1082;&#1088;&#1086;&#1074;&#1103;&#1085;&#1072;&#1103;%20&#1082;&#1086;&#1083;&#1073;&#1072;&#1089;&#1072;!%20&#1056;&#1054;&#1047;&#1067;&#1043;&#1056;&#1067;&#1064;%20&#1055;&#1056;&#1048;&#1047;&#1054;&#1042;.mp4" TargetMode="External"/><Relationship Id="rId147" Type="http://schemas.openxmlformats.org/officeDocument/2006/relationships/hyperlink" Target="https://www.youtube.com/watch?v=zgSpESIhaR0" TargetMode="External"/><Relationship Id="rId168" Type="http://schemas.openxmlformats.org/officeDocument/2006/relationships/hyperlink" Target="../../../../Video/&#1050;&#1086;&#1083;&#1073;&#1072;&#1089;&#1072;_&#1088;&#1077;&#1094;&#1077;&#1087;&#1090;&#1099;/&#1048;&#1089;&#1087;&#1072;&#1085;&#1089;&#1082;&#1072;&#1103;%20&#1082;&#1086;&#1083;&#1073;&#1072;&#1089;&#1072;%20&#1063;&#1086;&#1088;&#1080;&#1079;&#1086;%20&#1074;%20&#1076;&#1086;&#1084;&#1072;&#1096;&#1085;&#1080;&#1093;%20&#1091;&#1089;&#1083;&#1086;&#1074;&#1080;&#1103;&#1093;.mp4" TargetMode="External"/><Relationship Id="rId312" Type="http://schemas.openxmlformats.org/officeDocument/2006/relationships/hyperlink" Target="https://www.youtube.com/watch?v=Z2RwYRh1lJ8" TargetMode="External"/><Relationship Id="rId333" Type="http://schemas.openxmlformats.org/officeDocument/2006/relationships/hyperlink" Target="../../../../Video/&#1050;&#1086;&#1083;&#1073;&#1072;&#1089;&#1072;_&#1088;&#1077;&#1094;&#1077;&#1087;&#1090;&#1099;/&#1054;&#1095;&#1077;&#1085;&#1100;%20&#1074;&#1082;&#1091;&#1089;&#1085;&#1072;&#1103;%20&#1076;&#1086;&#1084;&#1072;&#1096;&#1085;&#1103;&#1103;%20&#1082;&#1086;&#1083;&#1073;&#1072;&#1089;&#1072;%20-%20&#1044;&#1088;&#1086;&#1075;&#1086;&#1073;&#1099;&#1095;&#1089;&#1082;&#1072;&#1103;.%20&#1055;&#1088;&#1086;&#1089;&#1090;&#1086;,%20&#1076;&#1086;&#1084;&#1072;,%20&#1089;&#1074;&#1086;&#1080;&#1084;&#1080;%20&#1088;&#1091;&#1082;&#1072;&#1084;&#1080;.mp4" TargetMode="External"/><Relationship Id="rId354" Type="http://schemas.openxmlformats.org/officeDocument/2006/relationships/hyperlink" Target="https://www.youtube.com/watch?v=l6XNRcGn3jI" TargetMode="External"/><Relationship Id="rId51" Type="http://schemas.openxmlformats.org/officeDocument/2006/relationships/hyperlink" Target="../../../../Video/&#1050;&#1086;&#1083;&#1073;&#1072;&#1089;&#1072;_&#1088;&#1077;&#1094;&#1077;&#1087;&#1090;&#1099;/&#1044;&#1086;&#1084;&#1072;&#1096;&#1085;&#1080;&#1077;%20&#1082;&#1091;&#1088;&#1080;&#1085;&#1099;&#1077;%20&#1089;&#1086;&#1089;&#1080;&#1089;&#1082;&#1080;%20&#1089;%20&#1090;&#1074;&#1077;&#1088;&#1076;&#1099;&#1084;%20&#1089;&#1099;&#1088;&#1086;&#1084;.mp4" TargetMode="External"/><Relationship Id="rId72" Type="http://schemas.openxmlformats.org/officeDocument/2006/relationships/hyperlink" Target="../../../../Video/&#1050;&#1086;&#1083;&#1073;&#1072;&#1089;&#1072;_&#1088;&#1077;&#1094;&#1077;&#1087;&#1090;&#1099;/&#1075;&#1086;&#1088;&#1073;&#1091;&#1096;&#1072;%20&#1093;&#1086;&#1083;&#1086;&#1076;&#1085;&#1086;&#1075;&#1086;%20&#1082;&#1086;&#1087;&#1095;&#1077;&#1085;&#1080;&#1103;%20&#1074;%20&#1082;&#1086;&#1087;&#1090;&#1080;&#1083;&#1100;&#1085;&#1077;%20&#1084;&#1086;&#1089;&#1082;&#1080;&#1090;.mp4" TargetMode="External"/><Relationship Id="rId93" Type="http://schemas.openxmlformats.org/officeDocument/2006/relationships/hyperlink" Target="../../../../Video/&#1050;&#1086;&#1083;&#1073;&#1072;&#1089;&#1072;_&#1088;&#1077;&#1094;&#1077;&#1087;&#1090;&#1099;/&#1057;&#1072;&#1083;&#1103;&#1084;&#1080;%20&#1052;&#1080;&#1083;&#1072;&#1085;&#1086;%20&#1089;&#1086;%20&#1089;&#1090;&#1072;&#1088;&#1090;&#1086;&#1074;&#1099;&#1084;&#1080;%20&#1082;&#1091;&#1083;&#1100;&#1090;&#1091;&#1088;&#1072;&#1084;&#1080;.mp4" TargetMode="External"/><Relationship Id="rId189" Type="http://schemas.openxmlformats.org/officeDocument/2006/relationships/hyperlink" Target="https://www.youtube.com/watch?v=sOpq7K5NJdk" TargetMode="External"/><Relationship Id="rId375" Type="http://schemas.openxmlformats.org/officeDocument/2006/relationships/hyperlink" Target="../../../../Video/&#1050;&#1086;&#1083;&#1073;&#1072;&#1089;&#1072;_&#1088;&#1077;&#1094;&#1077;&#1087;&#1090;&#1099;/&#1050;&#1083;&#1072;&#1089;&#1089;&#1080;&#1095;&#1077;&#1089;&#1082;&#1072;&#1103;%20&#1050;&#1088;&#1072;&#1082;&#1086;&#1074;&#1089;&#1082;&#1072;&#1103;%20&#1082;&#1086;&#1083;&#1073;&#1072;&#1089;&#1072;%20&#1087;&#1086;&#1083;&#1091;&#1082;&#1086;&#1087;&#1095;&#1077;&#1085;&#1072;&#1103;%20&#1089;&#1074;&#1086;&#1080;&#1084;&#1080;%20&#1088;&#1091;&#1082;&#1072;&#1084;&#1080;.mp4" TargetMode="External"/><Relationship Id="rId396" Type="http://schemas.openxmlformats.org/officeDocument/2006/relationships/hyperlink" Target="https://youtu.be/2509npgU6YM" TargetMode="External"/><Relationship Id="rId3" Type="http://schemas.openxmlformats.org/officeDocument/2006/relationships/hyperlink" Target="https://www.youtube.com/watch?v=zgSpESIhaR0" TargetMode="External"/><Relationship Id="rId214" Type="http://schemas.openxmlformats.org/officeDocument/2006/relationships/hyperlink" Target="https://www.youtube.com/watch?v=UL8b1lAjZi8" TargetMode="External"/><Relationship Id="rId235" Type="http://schemas.openxmlformats.org/officeDocument/2006/relationships/hyperlink" Target="https://www.youtube.com/watch?v=l4YTFXybrO4" TargetMode="External"/><Relationship Id="rId256" Type="http://schemas.openxmlformats.org/officeDocument/2006/relationships/hyperlink" Target="https://www.youtube.com/watch?v=DzdRsfq_Sgo&amp;t=1s" TargetMode="External"/><Relationship Id="rId277" Type="http://schemas.openxmlformats.org/officeDocument/2006/relationships/hyperlink" Target="https://www.youtube.com/watch?v=QZoNgAaBgY0" TargetMode="External"/><Relationship Id="rId298" Type="http://schemas.openxmlformats.org/officeDocument/2006/relationships/hyperlink" Target="../../../../Video/&#1050;&#1086;&#1083;&#1073;&#1072;&#1089;&#1072;_&#1088;&#1077;&#1094;&#1077;&#1087;&#1090;&#1099;/&#1056;&#1054;&#1047;&#1067;&#1043;&#1056;&#1067;&#1064;%20&#1080;%20&#1040;&#1050;&#1062;&#1048;&#1071;.%20&#1052;&#1086;&#1088;&#1090;&#1072;&#1076;&#1077;&#1083;&#1083;&#1072;%20&#1074;%20&#1076;&#1091;&#1093;&#1086;&#1074;&#1082;&#1077;%20+%20&#1088;&#1077;&#1094;&#1077;&#1087;&#1090;&#1091;&#1088;&#1072;%20&#1089;&#1099;&#1088;&#1086;&#1074;&#1103;&#1083;&#1077;&#1085;&#1086;&#1081;%20&#1051;&#1091;&#1082;&#1072;&#1085;&#1082;&#1080;,%20&#1074;&#1103;&#1083;&#1080;&#1084;%20&#1074;%20&#1093;&#1086;&#1083;&#1086;&#1076;&#1080;&#1083;&#1100;&#1085;&#1080;&#1082;&#1077;.mp4" TargetMode="External"/><Relationship Id="rId400" Type="http://schemas.openxmlformats.org/officeDocument/2006/relationships/hyperlink" Target="https://www.youtube.com/watch?v=PwFXCb96LRQ&amp;t=445s" TargetMode="External"/><Relationship Id="rId116" Type="http://schemas.openxmlformats.org/officeDocument/2006/relationships/hyperlink" Target="https://www.youtube.com/watch?v=AUk8hq2wdRI" TargetMode="External"/><Relationship Id="rId137" Type="http://schemas.openxmlformats.org/officeDocument/2006/relationships/hyperlink" Target="https://www.youtube.com/watch?v=F10ChDTJQn4" TargetMode="External"/><Relationship Id="rId158" Type="http://schemas.openxmlformats.org/officeDocument/2006/relationships/hyperlink" Target="https://www.youtube.com/watch?v=Kn8ZRKjfc9s" TargetMode="External"/><Relationship Id="rId302" Type="http://schemas.openxmlformats.org/officeDocument/2006/relationships/hyperlink" Target="https://www.youtube.com/watch?v=S6Ug6ilt2fE" TargetMode="External"/><Relationship Id="rId323" Type="http://schemas.openxmlformats.org/officeDocument/2006/relationships/hyperlink" Target="https://www.youtube.com/watch?v=7cFAvk39Ji0&amp;t=3s" TargetMode="External"/><Relationship Id="rId344" Type="http://schemas.openxmlformats.org/officeDocument/2006/relationships/hyperlink" Target="https://www.youtube.com/watch?v=mvaLbMCDunw&amp;t=2s" TargetMode="External"/><Relationship Id="rId20" Type="http://schemas.openxmlformats.org/officeDocument/2006/relationships/hyperlink" Target="../../../../Video/&#1050;&#1086;&#1083;&#1073;&#1072;&#1089;&#1072;_&#1088;&#1077;&#1094;&#1077;&#1087;&#1090;&#1099;/&#1043;&#1056;&#1059;&#1044;&#1048;&#1053;&#1050;&#1040;%20&#1065;&#1045;&#1050;&#1054;&#1042;&#1048;&#1053;&#1040;%20&#1043;&#1054;&#1056;&#1071;&#1063;&#1045;&#1043;&#1054;%20&#1050;&#1054;&#1055;&#1063;&#1045;&#1053;&#1048;&#1071;%20&#1042;%20&#1084;&#1086;&#1089;&#1082;&#1080;&#1090;&#1077;.mp4" TargetMode="External"/><Relationship Id="rId41" Type="http://schemas.openxmlformats.org/officeDocument/2006/relationships/hyperlink" Target="../../../../Video/&#1050;&#1086;&#1083;&#1073;&#1072;&#1089;&#1072;_&#1088;&#1077;&#1094;&#1077;&#1087;&#1090;&#1099;/&#1056;&#1054;&#1047;&#1067;&#1043;&#1056;&#1067;&#1064;%20&#1080;%20&#1040;&#1050;&#1062;&#1048;&#1071;.%20&#1052;&#1086;&#1088;&#1090;&#1072;&#1076;&#1077;&#1083;&#1083;&#1072;%20&#1074;%20&#1076;&#1091;&#1093;&#1086;&#1074;&#1082;&#1077;%20+%20&#1088;&#1077;&#1094;&#1077;&#1087;&#1090;&#1091;&#1088;&#1072;%20&#1089;&#1099;&#1088;&#1086;&#1074;&#1103;&#1083;&#1077;&#1085;&#1086;&#1081;%20&#1051;&#1091;&#1082;&#1072;&#1085;&#1082;&#1080;,%20&#1074;&#1103;&#1083;&#1080;&#1084;%20&#1074;%20&#1093;&#1086;&#1083;&#1086;&#1076;&#1080;&#1083;&#1100;&#1085;&#1080;&#1082;&#1077;.mp4" TargetMode="External"/><Relationship Id="rId62" Type="http://schemas.openxmlformats.org/officeDocument/2006/relationships/hyperlink" Target="../../../../Video/&#1050;&#1086;&#1083;&#1073;&#1072;&#1089;&#1072;_&#1088;&#1077;&#1094;&#1077;&#1087;&#1090;&#1099;/&#1043;&#1056;&#1059;&#1044;&#1048;&#1053;&#1050;&#1040;%20&#1065;&#1045;&#1050;&#1054;&#1042;&#1048;&#1053;&#1040;%20&#1043;&#1054;&#1056;&#1071;&#1063;&#1045;&#1043;&#1054;%20&#1050;&#1054;&#1055;&#1063;&#1045;&#1053;&#1048;&#1071;%20&#1042;%20&#1084;&#1086;&#1089;&#1082;&#1080;&#1090;&#1077;.mp4" TargetMode="External"/><Relationship Id="rId83" Type="http://schemas.openxmlformats.org/officeDocument/2006/relationships/hyperlink" Target="../../../../Video/&#1050;&#1086;&#1083;&#1073;&#1072;&#1089;&#1072;_&#1088;&#1077;&#1094;&#1077;&#1087;&#1090;&#1099;/&#1052;&#1054;&#1057;&#1050;&#1054;&#1042;&#1057;&#1050;&#1040;&#1071;%20&#1050;&#1054;&#1055;&#1063;&#1045;&#1053;&#1040;&#1071;%20&#1076;&#1086;&#1084;&#1072;&#1096;&#1085;&#1103;&#1103;%20&#1082;&#1086;&#1083;&#1073;&#1072;&#1089;&#1072;%20&#1043;&#1054;&#1057;&#1058;%201938.mp4" TargetMode="External"/><Relationship Id="rId179" Type="http://schemas.openxmlformats.org/officeDocument/2006/relationships/hyperlink" Target="../../../../Video/&#1050;&#1086;&#1083;&#1073;&#1072;&#1089;&#1072;_&#1088;&#1077;&#1094;&#1077;&#1087;&#1090;&#1099;/&#1051;&#1091;&#1095;&#1096;&#1080;&#1081;%20&#1088;&#1077;&#1094;&#1077;&#1087;&#1090;%20&#1079;&#1072;&#1089;&#1086;&#1083;&#1082;&#1080;%20&#1089;&#1072;&#1083;&#1072;!!%20&#1043;&#1086;&#1090;&#1086;&#1074;&#1080;&#1084;%20&#1087;&#1086;%20&#1043;&#1054;&#1057;&#1058;&#1091;%201938&#1075;.mp4" TargetMode="External"/><Relationship Id="rId365" Type="http://schemas.openxmlformats.org/officeDocument/2006/relationships/hyperlink" Target="https://www.youtube.com/watch?v=mp6IBTJIyGA" TargetMode="External"/><Relationship Id="rId386" Type="http://schemas.openxmlformats.org/officeDocument/2006/relationships/hyperlink" Target="https://1000.menu/cooking/42853-pelmeni-domashnie-klassicheskie" TargetMode="External"/><Relationship Id="rId190" Type="http://schemas.openxmlformats.org/officeDocument/2006/relationships/hyperlink" Target="https://www.youtube.com/watch?v=sOpq7K5NJdk" TargetMode="External"/><Relationship Id="rId204" Type="http://schemas.openxmlformats.org/officeDocument/2006/relationships/hyperlink" Target="../../../../Video/&#1050;&#1086;&#1083;&#1073;&#1072;&#1089;&#1072;_&#1088;&#1077;&#1094;&#1077;&#1087;&#1090;&#1099;/&#127470;&#127481;&#128293;&#127869;&#65039;%20&#1050;&#1083;&#1072;&#1089;&#1089;&#1080;&#1095;&#1077;&#1089;&#1082;&#1072;&#1103;%20&#1048;&#1090;&#1072;&#1083;&#1100;&#1103;&#1085;&#1089;&#1082;&#1072;&#1103;%20&#1052;&#1054;&#1056;&#1058;&#1040;&#1044;&#1045;&#1051;&#1051;&#1040;%20&#1074;%20&#1044;&#1091;&#1093;&#1086;&#1074;&#1082;&#1077;!%20&#127838;&#128104;&#8205;&#127859;&#128105;&#8205;&#127859;&#127470;&#127481;&#127830;&#128076;.mp4" TargetMode="External"/><Relationship Id="rId225" Type="http://schemas.openxmlformats.org/officeDocument/2006/relationships/hyperlink" Target="https://www.youtube.com/watch?v=bHoFNz9opco" TargetMode="External"/><Relationship Id="rId246" Type="http://schemas.openxmlformats.org/officeDocument/2006/relationships/hyperlink" Target="../../../../Video/&#1050;&#1086;&#1083;&#1073;&#1072;&#1089;&#1072;_&#1088;&#1077;&#1094;&#1077;&#1087;&#1090;&#1099;/&#1050;&#1072;&#1073;&#1072;&#1085;&#1086;&#1089;&#1099;%20(Kabanosy)%20&#1074;%20&#1076;&#1086;&#1084;&#1072;&#1096;&#1085;&#1080;&#1093;%20&#1091;&#1089;&#1083;&#1086;&#1074;&#1080;&#1103;&#1093;.mp4" TargetMode="External"/><Relationship Id="rId267" Type="http://schemas.openxmlformats.org/officeDocument/2006/relationships/hyperlink" Target="../../../../Video/&#1050;&#1086;&#1083;&#1073;&#1072;&#1089;&#1072;_&#1088;&#1077;&#1094;&#1077;&#1087;&#1090;&#1099;/&#1056;&#1077;&#1094;&#1077;&#1087;&#1090;%20&#1082;&#1086;&#1083;&#1073;&#1072;&#1089;&#1086;&#1082;%20&#1080;&#1079;%20&#1052;&#1054;&#1045;&#1049;%20&#1061;&#1054;&#1058;&#1044;&#1054;&#1046;&#1053;&#1054;&#1049;%20&#1074;%20&#1055;&#1080;&#1090;&#1077;&#1088;&#1077;!.mp4" TargetMode="External"/><Relationship Id="rId288" Type="http://schemas.openxmlformats.org/officeDocument/2006/relationships/hyperlink" Target="https://www.youtube.com/watch?v=mgB4QoUK4dk" TargetMode="External"/><Relationship Id="rId411" Type="http://schemas.openxmlformats.org/officeDocument/2006/relationships/hyperlink" Target="https://www.youtube.com/watch?v=PwFXCb96LRQ&amp;t=445s" TargetMode="External"/><Relationship Id="rId106" Type="http://schemas.openxmlformats.org/officeDocument/2006/relationships/hyperlink" Target="../../../../Video/&#1050;&#1086;&#1083;&#1073;&#1072;&#1089;&#1072;_&#1088;&#1077;&#1094;&#1077;&#1087;&#1090;&#1099;/&#1057;&#1077;&#1083;&#1100;&#1076;&#1100;%20&#1087;&#1088;&#1103;&#1085;&#1086;&#1075;&#1086;%20&#1087;&#1086;&#1089;&#1086;&#1083;&#1072;.%20&#1056;&#1077;&#1094;&#1077;&#1087;&#1090;&#1091;&#1088;&#1072;%20&#1076;&#1083;&#1103;%20&#1088;&#1072;&#1089;&#1089;&#1086;&#1083;&#1072;.%20&#1054;&#1090;&#1076;&#1077;&#1083;&#1077;&#1085;&#1080;&#1077;%20&#1092;&#1080;&#1083;&#1077;%20&#1086;&#1090;%20&#1082;&#1086;&#1089;&#1090;&#1077;&#1081;.mp4" TargetMode="External"/><Relationship Id="rId127" Type="http://schemas.openxmlformats.org/officeDocument/2006/relationships/hyperlink" Target="../../../../Video/&#1050;&#1086;&#1083;&#1073;&#1072;&#1089;&#1072;_&#1088;&#1077;&#1094;&#1077;&#1087;&#1090;&#1099;/&#1057;&#1040;&#1052;&#1040;&#1071;%20&#1042;&#1050;&#1059;&#1057;&#1053;&#1040;&#1071;%20&#1050;&#1056;&#1054;&#1042;&#1071;&#1053;&#1050;&#1040;%20-%20&#1071;&#1079;&#1099;&#1082;&#1086;&#1074;&#1072;&#1103;%20&#1082;&#1088;&#1086;&#1074;&#1103;&#1085;&#1072;&#1103;%20&#1082;&#1086;&#1083;&#1073;&#1072;&#1089;&#1072;!%20&#1056;&#1054;&#1047;&#1067;&#1043;&#1056;&#1067;&#1064;%20&#1055;&#1056;&#1048;&#1047;&#1054;&#1042;.mp4" TargetMode="External"/><Relationship Id="rId313" Type="http://schemas.openxmlformats.org/officeDocument/2006/relationships/hyperlink" Target="https://www.youtube.com/watch?v=Z2RwYRh1lJ8" TargetMode="External"/><Relationship Id="rId10" Type="http://schemas.openxmlformats.org/officeDocument/2006/relationships/hyperlink" Target="https://www.youtube.com/watch?v=UL8b1lAjZi8" TargetMode="External"/><Relationship Id="rId31" Type="http://schemas.openxmlformats.org/officeDocument/2006/relationships/hyperlink" Target="../../../../Video/&#1050;&#1086;&#1083;&#1073;&#1072;&#1089;&#1072;_&#1088;&#1077;&#1094;&#1077;&#1087;&#1090;&#1099;/&#1051;&#1091;&#1095;&#1096;&#1080;&#1081;%20&#1088;&#1077;&#1094;&#1077;&#1087;&#1090;%20&#1079;&#1072;&#1089;&#1086;&#1083;&#1082;&#1080;%20&#1089;&#1072;&#1083;&#1072;!!%20&#1043;&#1086;&#1090;&#1086;&#1074;&#1080;&#1084;%20&#1087;&#1086;%20&#1043;&#1054;&#1057;&#1058;&#1091;%201938&#1075;.mp4" TargetMode="External"/><Relationship Id="rId52" Type="http://schemas.openxmlformats.org/officeDocument/2006/relationships/hyperlink" Target="../../../../Video/&#1050;&#1086;&#1083;&#1073;&#1072;&#1089;&#1072;_&#1088;&#1077;&#1094;&#1077;&#1087;&#1090;&#1099;/&#1044;&#1086;&#1084;&#1072;&#1096;&#1085;&#1080;&#1077;%20&#1082;&#1091;&#1088;&#1080;&#1085;&#1099;&#1077;%20&#1089;&#1086;&#1089;&#1080;&#1089;&#1082;&#1080;%20&#1089;%20&#1090;&#1074;&#1077;&#1088;&#1076;&#1099;&#1084;%20&#1089;&#1099;&#1088;&#1086;&#1084;.mp4" TargetMode="External"/><Relationship Id="rId73" Type="http://schemas.openxmlformats.org/officeDocument/2006/relationships/hyperlink" Target="../../../../Video/&#1050;&#1086;&#1083;&#1073;&#1072;&#1089;&#1072;_&#1088;&#1077;&#1094;&#1077;&#1087;&#1090;&#1099;/&#1045;&#1074;&#1088;&#1077;&#1081;&#1089;&#1082;&#1072;&#1103;%20&#1082;&#1086;&#1087;&#1095;&#1105;&#1085;&#1072;&#1103;%20&#1082;&#1086;&#1083;&#1073;&#1072;&#1089;&#1072;%20&#1074;%20&#1076;&#1086;&#1084;&#1072;&#1096;&#1085;&#1080;&#1093;%20&#1091;&#1089;&#1083;&#1086;&#1074;&#1080;&#1103;&#1093;.%20&#1057;&#1090;&#1072;&#1085;&#1076;&#1072;&#1088;&#1090;%201938&#1075;.mp4" TargetMode="External"/><Relationship Id="rId94" Type="http://schemas.openxmlformats.org/officeDocument/2006/relationships/hyperlink" Target="../../../../Video/&#1050;&#1086;&#1083;&#1073;&#1072;&#1089;&#1072;_&#1088;&#1077;&#1094;&#1077;&#1087;&#1090;&#1099;/&#1057;&#1072;&#1083;&#1103;&#1084;&#1080;%20&#1052;&#1080;&#1083;&#1072;&#1085;&#1086;%20&#1089;&#1086;%20&#1089;&#1090;&#1072;&#1088;&#1090;&#1086;&#1074;&#1099;&#1084;&#1080;%20&#1082;&#1091;&#1083;&#1100;&#1090;&#1091;&#1088;&#1072;&#1084;&#1080;.mp4" TargetMode="External"/><Relationship Id="rId148" Type="http://schemas.openxmlformats.org/officeDocument/2006/relationships/hyperlink" Target="../../../../Video/&#1050;&#1086;&#1083;&#1073;&#1072;&#1089;&#1072;_&#1088;&#1077;&#1094;&#1077;&#1087;&#1090;&#1099;/&#1044;&#1077;&#1083;&#1072;&#1077;&#1084;%20&#1060;&#1059;&#1069;&#1058;%20&#8212;%20&#1080;&#1089;&#1087;&#1072;&#1085;&#1089;&#1082;&#1072;&#1103;%20&#1089;&#1099;&#1088;&#1086;&#1074;&#1103;&#1083;&#1077;&#1085;&#1072;&#1103;%20&#1082;&#1086;&#1083;&#1073;&#1072;&#1089;&#1072;%20&#1074;%20&#1087;&#1083;&#1077;&#1089;&#1077;&#1085;&#1080;.%20FUET.mp4" TargetMode="External"/><Relationship Id="rId169" Type="http://schemas.openxmlformats.org/officeDocument/2006/relationships/hyperlink" Target="../../../../Video/&#1050;&#1086;&#1083;&#1073;&#1072;&#1089;&#1072;_&#1088;&#1077;&#1094;&#1077;&#1087;&#1090;&#1099;/&#1048;&#1089;&#1087;&#1072;&#1085;&#1089;&#1082;&#1072;&#1103;%20&#1082;&#1086;&#1083;&#1073;&#1072;&#1089;&#1072;%20&#1063;&#1086;&#1088;&#1080;&#1079;&#1086;%20&#1074;%20&#1076;&#1086;&#1084;&#1072;&#1096;&#1085;&#1080;&#1093;%20&#1091;&#1089;&#1083;&#1086;&#1074;&#1080;&#1103;&#1093;.mp4" TargetMode="External"/><Relationship Id="rId334" Type="http://schemas.openxmlformats.org/officeDocument/2006/relationships/hyperlink" Target="https://www.youtube.com/watch?v=F10ChDTJQn4" TargetMode="External"/><Relationship Id="rId355" Type="http://schemas.openxmlformats.org/officeDocument/2006/relationships/hyperlink" Target="https://www.youtube.com/watch?v=bmRMtjHz6f4" TargetMode="External"/><Relationship Id="rId376" Type="http://schemas.openxmlformats.org/officeDocument/2006/relationships/hyperlink" Target="https://www.youtube.com/watch?v=pO4cS1NcSig&amp;t=527s" TargetMode="External"/><Relationship Id="rId397" Type="http://schemas.openxmlformats.org/officeDocument/2006/relationships/hyperlink" Target="https://youtu.be/2509npgU6YM" TargetMode="External"/><Relationship Id="rId4" Type="http://schemas.openxmlformats.org/officeDocument/2006/relationships/hyperlink" Target="https://www.youtube.com/watch?v=mgB4QoUK4dk" TargetMode="External"/><Relationship Id="rId180" Type="http://schemas.openxmlformats.org/officeDocument/2006/relationships/hyperlink" Target="https://www.youtube.com/watch?v=fvRBCLYYmZM" TargetMode="External"/><Relationship Id="rId215" Type="http://schemas.openxmlformats.org/officeDocument/2006/relationships/hyperlink" Target="https://www.youtube.com/watch?v=UL8b1lAjZi8" TargetMode="External"/><Relationship Id="rId236" Type="http://schemas.openxmlformats.org/officeDocument/2006/relationships/hyperlink" Target="https://www.youtube.com/watch?v=l4YTFXybrO4" TargetMode="External"/><Relationship Id="rId257" Type="http://schemas.openxmlformats.org/officeDocument/2006/relationships/hyperlink" Target="https://www.youtube.com/watch?v=DzdRsfq_Sgo&amp;t=1s" TargetMode="External"/><Relationship Id="rId278" Type="http://schemas.openxmlformats.org/officeDocument/2006/relationships/hyperlink" Target="https://www.youtube.com/watch?v=QZoNgAaBgY0" TargetMode="External"/><Relationship Id="rId401" Type="http://schemas.openxmlformats.org/officeDocument/2006/relationships/hyperlink" Target="https://www.youtube.com/watch?v=PwFXCb96LRQ&amp;t=445s" TargetMode="External"/><Relationship Id="rId303" Type="http://schemas.openxmlformats.org/officeDocument/2006/relationships/hyperlink" Target="https://www.youtube.com/watch?v=S6Ug6ilt2fE" TargetMode="External"/><Relationship Id="rId42" Type="http://schemas.openxmlformats.org/officeDocument/2006/relationships/hyperlink" Target="../../../../Video/&#1050;&#1086;&#1083;&#1073;&#1072;&#1089;&#1072;_&#1088;&#1077;&#1094;&#1077;&#1087;&#1090;&#1099;/&#1051;&#1091;&#1082;&#1072;&#1085;&#1082;&#1072;%20&#1073;&#1086;&#1083;&#1075;&#1072;&#1088;&#1089;&#1082;&#1072;&#1103;.%20&#1040;&#1076;&#1072;&#1087;&#1090;&#1080;&#1088;&#1086;&#1074;&#1072;&#1085;&#1085;&#1099;&#1081;%20&#1088;&#1077;&#1094;&#1077;&#1087;&#1090;%20&#1076;&#1083;&#1103;%20&#1085;&#1072;&#1095;&#1080;&#1085;&#1072;&#1102;&#1097;&#1080;&#1093;.mp4" TargetMode="External"/><Relationship Id="rId84" Type="http://schemas.openxmlformats.org/officeDocument/2006/relationships/hyperlink" Target="../../../../Video/&#1050;&#1086;&#1083;&#1073;&#1072;&#1089;&#1072;_&#1088;&#1077;&#1094;&#1077;&#1087;&#1090;&#1099;/&#1052;&#1054;&#1057;&#1050;&#1054;&#1042;&#1057;&#1050;&#1040;&#1071;%20&#1050;&#1054;&#1055;&#1063;&#1045;&#1053;&#1040;&#1071;%20&#1076;&#1086;&#1084;&#1072;&#1096;&#1085;&#1103;&#1103;%20&#1082;&#1086;&#1083;&#1073;&#1072;&#1089;&#1072;%20&#1043;&#1054;&#1057;&#1058;%201938.mp4" TargetMode="External"/><Relationship Id="rId138" Type="http://schemas.openxmlformats.org/officeDocument/2006/relationships/hyperlink" Target="https://www.youtube.com/watch?v=F10ChDTJQn4" TargetMode="External"/><Relationship Id="rId345" Type="http://schemas.openxmlformats.org/officeDocument/2006/relationships/hyperlink" Target="https://www.youtube.com/watch?v=mvaLbMCDunw&amp;t=2s" TargetMode="External"/><Relationship Id="rId387" Type="http://schemas.openxmlformats.org/officeDocument/2006/relationships/hyperlink" Target="https://1000.menu/cooking/42853-pelmeni-domashnie-klassicheskie" TargetMode="External"/><Relationship Id="rId191" Type="http://schemas.openxmlformats.org/officeDocument/2006/relationships/hyperlink" Target="https://www.youtube.com/watch?v=sOpq7K5NJdk" TargetMode="External"/><Relationship Id="rId205" Type="http://schemas.openxmlformats.org/officeDocument/2006/relationships/hyperlink" Target="../../../../Video/&#1050;&#1086;&#1083;&#1073;&#1072;&#1089;&#1072;_&#1088;&#1077;&#1094;&#1077;&#1087;&#1090;&#1099;/&#127470;&#127481;&#128293;&#127869;&#65039;%20&#1050;&#1083;&#1072;&#1089;&#1089;&#1080;&#1095;&#1077;&#1089;&#1082;&#1072;&#1103;%20&#1048;&#1090;&#1072;&#1083;&#1100;&#1103;&#1085;&#1089;&#1082;&#1072;&#1103;%20&#1052;&#1054;&#1056;&#1058;&#1040;&#1044;&#1045;&#1051;&#1051;&#1040;%20&#1074;%20&#1044;&#1091;&#1093;&#1086;&#1074;&#1082;&#1077;!%20&#127838;&#128104;&#8205;&#127859;&#128105;&#8205;&#127859;&#127470;&#127481;&#127830;&#128076;.mp4" TargetMode="External"/><Relationship Id="rId247" Type="http://schemas.openxmlformats.org/officeDocument/2006/relationships/hyperlink" Target="../../../../Video/&#1050;&#1086;&#1083;&#1073;&#1072;&#1089;&#1072;_&#1088;&#1077;&#1094;&#1077;&#1087;&#1090;&#1099;/&#1050;&#1072;&#1073;&#1072;&#1085;&#1086;&#1089;&#1099;%20(Kabanosy)%20&#1074;%20&#1076;&#1086;&#1084;&#1072;&#1096;&#1085;&#1080;&#1093;%20&#1091;&#1089;&#1083;&#1086;&#1074;&#1080;&#1103;&#1093;.mp4" TargetMode="External"/><Relationship Id="rId412" Type="http://schemas.openxmlformats.org/officeDocument/2006/relationships/hyperlink" Target="https://www.youtube.com/watch?v=PwFXCb96LRQ&amp;t=445s" TargetMode="External"/><Relationship Id="rId107" Type="http://schemas.openxmlformats.org/officeDocument/2006/relationships/hyperlink" Target="../../../../Video/&#1050;&#1086;&#1083;&#1073;&#1072;&#1089;&#1072;_&#1088;&#1077;&#1094;&#1077;&#1087;&#1090;&#1099;/&#1057;&#1077;&#1083;&#1100;&#1076;&#1100;%20&#1087;&#1088;&#1103;&#1085;&#1086;&#1075;&#1086;%20&#1087;&#1086;&#1089;&#1086;&#1083;&#1072;.%20&#1056;&#1077;&#1094;&#1077;&#1087;&#1090;&#1091;&#1088;&#1072;%20&#1076;&#1083;&#1103;%20&#1088;&#1072;&#1089;&#1089;&#1086;&#1083;&#1072;.%20&#1054;&#1090;&#1076;&#1077;&#1083;&#1077;&#1085;&#1080;&#1077;%20&#1092;&#1080;&#1083;&#1077;%20&#1086;&#1090;%20&#1082;&#1086;&#1089;&#1090;&#1077;&#1081;.mp4" TargetMode="External"/><Relationship Id="rId289" Type="http://schemas.openxmlformats.org/officeDocument/2006/relationships/hyperlink" Target="https://www.youtube.com/watch?v=mgB4QoUK4dk" TargetMode="External"/><Relationship Id="rId11" Type="http://schemas.openxmlformats.org/officeDocument/2006/relationships/hyperlink" Target="https://www.youtube.com/watch?v=sOpq7K5NJdk" TargetMode="External"/><Relationship Id="rId53" Type="http://schemas.openxmlformats.org/officeDocument/2006/relationships/hyperlink" Target="../../../../Video/&#1050;&#1086;&#1083;&#1073;&#1072;&#1089;&#1072;_&#1088;&#1077;&#1094;&#1077;&#1087;&#1090;&#1099;/&#1061;&#1048;&#1058;!!!%20&#1050;&#1091;&#1088;&#1080;&#1094;&#1072;%20&#1082;&#1086;&#1087;&#1095;&#1077;&#1085;&#1086;-&#1074;&#1072;&#1088;&#1077;&#1085;&#1072;&#1103;.%20&#1050;&#1072;&#1082;%20&#1087;&#1088;&#1072;&#1074;&#1080;&#1083;&#1100;&#1085;&#1086;%20&#1096;&#1087;&#1088;&#1080;&#1094;&#1077;&#1074;&#1072;&#1090;&#1100;%20&#1080;%20&#1082;&#1086;&#1087;&#1090;&#1080;&#1090;&#1100;.%20&#1050;&#1072;&#1082;%20&#1089;&#1076;&#1077;&#1083;&#1072;&#1090;&#1100;%20&#1079;&#1086;&#1083;&#1086;&#1090;&#1080;&#1089;&#1090;&#1091;&#1102;%20&#1082;&#1086;&#1088;&#1086;&#1095;&#1082;&#1091;.mp4" TargetMode="External"/><Relationship Id="rId149" Type="http://schemas.openxmlformats.org/officeDocument/2006/relationships/hyperlink" Target="../../../../Video/&#1050;&#1086;&#1083;&#1073;&#1072;&#1089;&#1072;_&#1088;&#1077;&#1094;&#1077;&#1087;&#1090;&#1099;/&#1044;&#1077;&#1083;&#1072;&#1077;&#1084;%20&#1060;&#1059;&#1069;&#1058;%20&#8212;%20&#1080;&#1089;&#1087;&#1072;&#1085;&#1089;&#1082;&#1072;&#1103;%20&#1089;&#1099;&#1088;&#1086;&#1074;&#1103;&#1083;&#1077;&#1085;&#1072;&#1103;%20&#1082;&#1086;&#1083;&#1073;&#1072;&#1089;&#1072;%20&#1074;%20&#1087;&#1083;&#1077;&#1089;&#1077;&#1085;&#1080;.%20FUET.mp4" TargetMode="External"/><Relationship Id="rId314" Type="http://schemas.openxmlformats.org/officeDocument/2006/relationships/hyperlink" Target="https://www.youtube.com/watch?v=Z2RwYRh1lJ8" TargetMode="External"/><Relationship Id="rId356" Type="http://schemas.openxmlformats.org/officeDocument/2006/relationships/hyperlink" Target="https://www.youtube.com/watch?v=bmRMtjHz6f4" TargetMode="External"/><Relationship Id="rId398" Type="http://schemas.openxmlformats.org/officeDocument/2006/relationships/hyperlink" Target="https://www.youtube.com/watch?v=PwFXCb96LRQ&amp;t=445s" TargetMode="External"/><Relationship Id="rId95" Type="http://schemas.openxmlformats.org/officeDocument/2006/relationships/hyperlink" Target="../../../../Video/&#1050;&#1086;&#1083;&#1073;&#1072;&#1089;&#1072;_&#1088;&#1077;&#1094;&#1077;&#1087;&#1090;&#1099;/&#1057;&#1072;&#1083;&#1103;&#1084;&#1080;%20&#1052;&#1080;&#1083;&#1072;&#1085;&#1086;%20&#1089;&#1086;%20&#1089;&#1090;&#1072;&#1088;&#1090;&#1086;&#1074;&#1099;&#1084;&#1080;%20&#1082;&#1091;&#1083;&#1100;&#1090;&#1091;&#1088;&#1072;&#1084;&#1080;.mp4" TargetMode="External"/><Relationship Id="rId160" Type="http://schemas.openxmlformats.org/officeDocument/2006/relationships/hyperlink" Target="https://www.youtube.com/watch?v=Kn8ZRKjfc9s" TargetMode="External"/><Relationship Id="rId216" Type="http://schemas.openxmlformats.org/officeDocument/2006/relationships/hyperlink" Target="https://www.youtube.com/watch?v=UL8b1lAjZi8" TargetMode="External"/><Relationship Id="rId258" Type="http://schemas.openxmlformats.org/officeDocument/2006/relationships/hyperlink" Target="https://www.youtube.com/watch?v=DzdRsfq_Sgo&amp;t=1s" TargetMode="External"/><Relationship Id="rId22" Type="http://schemas.openxmlformats.org/officeDocument/2006/relationships/hyperlink" Target="../../../../Video/&#1050;&#1086;&#1083;&#1073;&#1072;&#1089;&#1072;_&#1088;&#1077;&#1094;&#1077;&#1087;&#1090;&#1099;/&#1075;&#1086;&#1088;&#1073;&#1091;&#1096;&#1072;%20&#1093;&#1086;&#1083;&#1086;&#1076;&#1085;&#1086;&#1075;&#1086;%20&#1082;&#1086;&#1087;&#1095;&#1077;&#1085;&#1080;&#1103;%20&#1074;%20&#1082;&#1086;&#1087;&#1090;&#1080;&#1083;&#1100;&#1085;&#1077;%20&#1084;&#1086;&#1089;&#1082;&#1080;&#1090;.mp4" TargetMode="External"/><Relationship Id="rId64" Type="http://schemas.openxmlformats.org/officeDocument/2006/relationships/hyperlink" Target="../../../../Video/&#1050;&#1086;&#1083;&#1073;&#1072;&#1089;&#1072;_&#1088;&#1077;&#1094;&#1077;&#1087;&#1090;&#1099;/&#1050;&#1040;&#1056;&#1040;&#1057;&#1068;%20&#1093;&#1086;&#1083;&#1086;&#1076;&#1085;&#1086;&#1075;&#1086;%20&#1082;&#1086;&#1087;&#1095;&#1077;&#1085;&#1080;&#1103;%20&#1087;&#1086;%20&#1082;&#1072;&#1079;&#1072;&#1093;&#1089;&#1082;&#1080;%20&#1086;&#1090;%20&#1048;&#1043;&#1054;&#1056;&#1071;%20&#1074;%20&#1082;&#1086;&#1087;&#1090;&#1080;&#1083;&#1100;&#1085;&#1077;%20&#1084;&#1086;&#1089;&#1082;&#1080;&#1090;.mp4" TargetMode="External"/><Relationship Id="rId118" Type="http://schemas.openxmlformats.org/officeDocument/2006/relationships/hyperlink" Target="https://www.youtube.com/watch?v=AUk8hq2wdRI" TargetMode="External"/><Relationship Id="rId325" Type="http://schemas.openxmlformats.org/officeDocument/2006/relationships/hyperlink" Target="../../../../Video/&#1050;&#1086;&#1083;&#1073;&#1072;&#1089;&#1072;_&#1088;&#1077;&#1094;&#1077;&#1087;&#1090;&#1099;/&#1042;&#1045;&#1058;&#1063;&#1048;&#1053;&#1040;%20&#1052;&#1056;&#1040;&#1052;&#1054;&#1056;&#1053;&#1040;&#1071;%20&#1053;&#1040;&#1057;&#1058;&#1054;&#1071;&#1065;&#1040;&#1071;%20&#1074;%20&#1076;&#1086;&#1084;&#1072;&#1096;&#1085;&#1080;&#1093;%20&#1091;&#1089;&#1083;&#1086;&#1074;&#1080;&#1103;&#1093;.mp4" TargetMode="External"/><Relationship Id="rId367" Type="http://schemas.openxmlformats.org/officeDocument/2006/relationships/hyperlink" Target="https://www.youtube.com/watch?v=JL9fOZ3WnMI" TargetMode="External"/><Relationship Id="rId171" Type="http://schemas.openxmlformats.org/officeDocument/2006/relationships/hyperlink" Target="../../../../Video/&#1050;&#1086;&#1083;&#1073;&#1072;&#1089;&#1072;_&#1088;&#1077;&#1094;&#1077;&#1087;&#1090;&#1099;/&#1048;&#1089;&#1087;&#1072;&#1085;&#1089;&#1082;&#1072;&#1103;%20&#1082;&#1086;&#1083;&#1073;&#1072;&#1089;&#1072;%20&#1063;&#1086;&#1088;&#1080;&#1079;&#1086;%20&#1074;%20&#1076;&#1086;&#1084;&#1072;&#1096;&#1085;&#1080;&#1093;%20&#1091;&#1089;&#1083;&#1086;&#1074;&#1080;&#1103;&#1093;.mp4" TargetMode="External"/><Relationship Id="rId227" Type="http://schemas.openxmlformats.org/officeDocument/2006/relationships/hyperlink" Target="https://www.youtube.com/watch?v=bHoFNz9opco" TargetMode="External"/><Relationship Id="rId269" Type="http://schemas.openxmlformats.org/officeDocument/2006/relationships/hyperlink" Target="../../../../Video/&#1050;&#1086;&#1083;&#1073;&#1072;&#1089;&#1072;_&#1088;&#1077;&#1094;&#1077;&#1087;&#1090;&#1099;/&#1056;&#1077;&#1094;&#1077;&#1087;&#1090;%20&#1082;&#1086;&#1083;&#1073;&#1072;&#1089;&#1086;&#1082;%20&#1080;&#1079;%20&#1052;&#1054;&#1045;&#1049;%20&#1061;&#1054;&#1058;&#1044;&#1054;&#1046;&#1053;&#1054;&#1049;%20&#1074;%20&#1055;&#1080;&#1090;&#1077;&#1088;&#1077;!.mp4" TargetMode="External"/><Relationship Id="rId33" Type="http://schemas.openxmlformats.org/officeDocument/2006/relationships/hyperlink" Target="../../../../Video/&#1050;&#1086;&#1083;&#1073;&#1072;&#1089;&#1072;_&#1088;&#1077;&#1094;&#1077;&#1087;&#1090;&#1099;/&#1055;&#1072;&#1085;&#1095;&#1077;&#1090;&#1090;&#1072;%20&#1072;&#1088;&#1088;&#1086;&#1090;&#1086;&#1083;&#1072;&#1090;&#1072;%20-%20&#1089;&#1099;&#1088;&#1086;&#1074;&#1103;&#1083;&#1077;&#1085;&#1085;&#1099;&#1081;%20&#1080;&#1090;&#1072;&#1083;&#1100;&#1103;&#1085;&#1089;&#1082;&#1080;&#1081;%20&#1073;&#1077;&#1082;&#1086;&#1085;%20&#1074;%20&#1044;&#1054;&#1052;&#1040;&#1064;&#1053;&#1048;&#1061;%20&#1091;&#1089;&#1083;&#1086;&#1074;&#1080;&#1103;&#1093;.mp4" TargetMode="External"/><Relationship Id="rId129" Type="http://schemas.openxmlformats.org/officeDocument/2006/relationships/hyperlink" Target="../../../../Video/&#1050;&#1086;&#1083;&#1073;&#1072;&#1089;&#1072;_&#1088;&#1077;&#1094;&#1077;&#1087;&#1090;&#1099;/&#1057;&#1040;&#1052;&#1040;&#1071;%20&#1042;&#1050;&#1059;&#1057;&#1053;&#1040;&#1071;%20&#1050;&#1056;&#1054;&#1042;&#1071;&#1053;&#1050;&#1040;%20-%20&#1071;&#1079;&#1099;&#1082;&#1086;&#1074;&#1072;&#1103;%20&#1082;&#1088;&#1086;&#1074;&#1103;&#1085;&#1072;&#1103;%20&#1082;&#1086;&#1083;&#1073;&#1072;&#1089;&#1072;!%20&#1056;&#1054;&#1047;&#1067;&#1043;&#1056;&#1067;&#1064;%20&#1055;&#1056;&#1048;&#1047;&#1054;&#1042;.mp4" TargetMode="External"/><Relationship Id="rId280" Type="http://schemas.openxmlformats.org/officeDocument/2006/relationships/hyperlink" Target="https://www.youtube.com/watch?v=QZoNgAaBgY0" TargetMode="External"/><Relationship Id="rId336" Type="http://schemas.openxmlformats.org/officeDocument/2006/relationships/hyperlink" Target="../../../../Video/&#1050;&#1086;&#1083;&#1073;&#1072;&#1089;&#1072;_&#1088;&#1077;&#1094;&#1077;&#1087;&#1090;&#1099;/&#1042;&#1045;&#1058;&#1063;&#1048;&#1053;&#1053;&#1054;-&#1056;&#1059;&#1041;&#1051;&#1045;&#1053;&#1040;&#1071;%20&#1074;&#1072;&#1088;&#1077;&#1085;&#1072;&#1103;%20&#1076;&#1086;&#1084;&#1072;&#1096;&#1085;&#1103;&#1103;.%20&#1043;&#1054;&#1057;&#1058;%20&#1057;&#1057;&#1057;&#1056;.mp4" TargetMode="External"/><Relationship Id="rId75" Type="http://schemas.openxmlformats.org/officeDocument/2006/relationships/hyperlink" Target="../../../../Video/&#1050;&#1086;&#1083;&#1073;&#1072;&#1089;&#1072;_&#1088;&#1077;&#1094;&#1077;&#1087;&#1090;&#1099;/&#1045;&#1074;&#1088;&#1077;&#1081;&#1089;&#1082;&#1072;&#1103;%20&#1082;&#1086;&#1087;&#1095;&#1105;&#1085;&#1072;&#1103;%20&#1082;&#1086;&#1083;&#1073;&#1072;&#1089;&#1072;%20&#1074;%20&#1076;&#1086;&#1084;&#1072;&#1096;&#1085;&#1080;&#1093;%20&#1091;&#1089;&#1083;&#1086;&#1074;&#1080;&#1103;&#1093;.%20&#1057;&#1090;&#1072;&#1085;&#1076;&#1072;&#1088;&#1090;%201938&#1075;.mp4" TargetMode="External"/><Relationship Id="rId140" Type="http://schemas.openxmlformats.org/officeDocument/2006/relationships/hyperlink" Target="https://www.youtube.com/watch?v=zgSpESIhaR0" TargetMode="External"/><Relationship Id="rId182" Type="http://schemas.openxmlformats.org/officeDocument/2006/relationships/hyperlink" Target="https://www.youtube.com/watch?v=fvRBCLYYmZM" TargetMode="External"/><Relationship Id="rId378" Type="http://schemas.openxmlformats.org/officeDocument/2006/relationships/hyperlink" Target="https://www.youtube.com/watch?v=pO4cS1NcSig&amp;t=527s" TargetMode="External"/><Relationship Id="rId403" Type="http://schemas.openxmlformats.org/officeDocument/2006/relationships/hyperlink" Target="https://www.youtube.com/watch?v=PwFXCb96LRQ&amp;t=445s" TargetMode="External"/><Relationship Id="rId6" Type="http://schemas.openxmlformats.org/officeDocument/2006/relationships/hyperlink" Target="https://www.youtube.com/watch?v=QZoNgAaBgY0" TargetMode="External"/><Relationship Id="rId238" Type="http://schemas.openxmlformats.org/officeDocument/2006/relationships/hyperlink" Target="https://www.youtube.com/watch?v=l4YTFXybrO4" TargetMode="External"/><Relationship Id="rId291" Type="http://schemas.openxmlformats.org/officeDocument/2006/relationships/hyperlink" Target="https://www.youtube.com/watch?v=mgB4QoUK4dk" TargetMode="External"/><Relationship Id="rId305" Type="http://schemas.openxmlformats.org/officeDocument/2006/relationships/hyperlink" Target="../../../../Video/&#1050;&#1086;&#1083;&#1073;&#1072;&#1089;&#1072;_&#1088;&#1077;&#1094;&#1077;&#1087;&#1090;&#1099;/&#1051;&#1091;&#1082;&#1072;&#1085;&#1082;&#1072;%20&#1073;&#1086;&#1083;&#1075;&#1072;&#1088;&#1089;&#1082;&#1072;&#1103;.%20&#1040;&#1076;&#1072;&#1087;&#1090;&#1080;&#1088;&#1086;&#1074;&#1072;&#1085;&#1085;&#1099;&#1081;%20&#1088;&#1077;&#1094;&#1077;&#1087;&#1090;%20&#1076;&#1083;&#1103;%20&#1085;&#1072;&#1095;&#1080;&#1085;&#1072;&#1102;&#1097;&#1080;&#1093;.mp4" TargetMode="External"/><Relationship Id="rId347" Type="http://schemas.openxmlformats.org/officeDocument/2006/relationships/hyperlink" Target="https://www.youtube.com/watch?v=mvaLbMCDunw&amp;t=2s" TargetMode="External"/><Relationship Id="rId44" Type="http://schemas.openxmlformats.org/officeDocument/2006/relationships/hyperlink" Target="../../../../Video/&#1050;&#1086;&#1083;&#1073;&#1072;&#1089;&#1072;_&#1088;&#1077;&#1094;&#1077;&#1087;&#1090;&#1099;/&#1044;&#1086;&#1084;&#1072;&#1096;&#1085;&#1080;&#1077;%20&#1082;&#1091;&#1088;&#1080;&#1085;&#1099;&#1077;%20&#1089;&#1086;&#1089;&#1080;&#1089;&#1082;&#1080;%20&#1089;%20&#1090;&#1074;&#1077;&#1088;&#1076;&#1099;&#1084;%20&#1089;&#1099;&#1088;&#1086;&#1084;.mp4" TargetMode="External"/><Relationship Id="rId86" Type="http://schemas.openxmlformats.org/officeDocument/2006/relationships/hyperlink" Target="../../../../Video/&#1050;&#1086;&#1083;&#1073;&#1072;&#1089;&#1072;_&#1088;&#1077;&#1094;&#1077;&#1087;&#1090;&#1099;/&#1057;&#1072;&#1083;&#1103;&#1084;&#1080;%20&#1052;&#1080;&#1083;&#1072;&#1085;&#1086;%20&#1089;&#1086;%20&#1089;&#1090;&#1072;&#1088;&#1090;&#1086;&#1074;&#1099;&#1084;&#1080;%20&#1082;&#1091;&#1083;&#1100;&#1090;&#1091;&#1088;&#1072;&#1084;&#1080;.mp4" TargetMode="External"/><Relationship Id="rId151" Type="http://schemas.openxmlformats.org/officeDocument/2006/relationships/hyperlink" Target="../../../../Video/&#1050;&#1086;&#1083;&#1073;&#1072;&#1089;&#1072;_&#1088;&#1077;&#1094;&#1077;&#1087;&#1090;&#1099;/&#1044;&#1077;&#1083;&#1072;&#1077;&#1084;%20&#1060;&#1059;&#1069;&#1058;%20&#8212;%20&#1080;&#1089;&#1087;&#1072;&#1085;&#1089;&#1082;&#1072;&#1103;%20&#1089;&#1099;&#1088;&#1086;&#1074;&#1103;&#1083;&#1077;&#1085;&#1072;&#1103;%20&#1082;&#1086;&#1083;&#1073;&#1072;&#1089;&#1072;%20&#1074;%20&#1087;&#1083;&#1077;&#1089;&#1077;&#1085;&#1080;.%20FUET.mp4" TargetMode="External"/><Relationship Id="rId389" Type="http://schemas.openxmlformats.org/officeDocument/2006/relationships/hyperlink" Target="https://1000.menu/cooking/42853-pelmeni-domashnie-klassicheskie" TargetMode="External"/><Relationship Id="rId193" Type="http://schemas.openxmlformats.org/officeDocument/2006/relationships/hyperlink" Target="https://www.youtube.com/watch?v=sOpq7K5NJdk" TargetMode="External"/><Relationship Id="rId207" Type="http://schemas.openxmlformats.org/officeDocument/2006/relationships/hyperlink" Target="../../../../Video/&#1050;&#1086;&#1083;&#1073;&#1072;&#1089;&#1072;_&#1088;&#1077;&#1094;&#1077;&#1087;&#1090;&#1099;/&#127470;&#127481;&#128293;&#127869;&#65039;%20&#1050;&#1083;&#1072;&#1089;&#1089;&#1080;&#1095;&#1077;&#1089;&#1082;&#1072;&#1103;%20&#1048;&#1090;&#1072;&#1083;&#1100;&#1103;&#1085;&#1089;&#1082;&#1072;&#1103;%20&#1052;&#1054;&#1056;&#1058;&#1040;&#1044;&#1045;&#1051;&#1051;&#1040;%20&#1074;%20&#1044;&#1091;&#1093;&#1086;&#1074;&#1082;&#1077;!%20&#127838;&#128104;&#8205;&#127859;&#128105;&#8205;&#127859;&#127470;&#127481;&#127830;&#128076;.mp4" TargetMode="External"/><Relationship Id="rId249" Type="http://schemas.openxmlformats.org/officeDocument/2006/relationships/hyperlink" Target="../../../../Video/&#1050;&#1086;&#1083;&#1073;&#1072;&#1089;&#1072;_&#1088;&#1077;&#1094;&#1077;&#1087;&#1090;&#1099;/&#1050;&#1072;&#1073;&#1072;&#1085;&#1086;&#1089;&#1099;%20(Kabanosy)%20&#1074;%20&#1076;&#1086;&#1084;&#1072;&#1096;&#1085;&#1080;&#1093;%20&#1091;&#1089;&#1083;&#1086;&#1074;&#1080;&#1103;&#1093;.mp4" TargetMode="External"/><Relationship Id="rId414" Type="http://schemas.openxmlformats.org/officeDocument/2006/relationships/hyperlink" Target="https://youtu.be/dqZj1rANEhA" TargetMode="External"/><Relationship Id="rId13" Type="http://schemas.openxmlformats.org/officeDocument/2006/relationships/hyperlink" Target="https://www.youtube.com/watch?v=kwSpyC_TdoY" TargetMode="External"/><Relationship Id="rId109" Type="http://schemas.openxmlformats.org/officeDocument/2006/relationships/hyperlink" Target="https://www.youtube.com/watch?v=AUk8hq2wdRI" TargetMode="External"/><Relationship Id="rId260" Type="http://schemas.openxmlformats.org/officeDocument/2006/relationships/hyperlink" Target="https://www.youtube.com/watch?v=DzdRsfq_Sgo&amp;t=1s" TargetMode="External"/><Relationship Id="rId316" Type="http://schemas.openxmlformats.org/officeDocument/2006/relationships/hyperlink" Target="../../../../Video/&#1050;&#1086;&#1083;&#1073;&#1072;&#1089;&#1072;_&#1088;&#1077;&#1094;&#1077;&#1087;&#1090;&#1099;/Pancetta%20Artesanal.mp4" TargetMode="External"/><Relationship Id="rId55" Type="http://schemas.openxmlformats.org/officeDocument/2006/relationships/hyperlink" Target="../../../../Video/&#1050;&#1086;&#1083;&#1073;&#1072;&#1089;&#1072;_&#1088;&#1077;&#1094;&#1077;&#1087;&#1090;&#1099;/&#1061;&#1048;&#1058;!!!%20&#1050;&#1091;&#1088;&#1080;&#1094;&#1072;%20&#1082;&#1086;&#1087;&#1095;&#1077;&#1085;&#1086;-&#1074;&#1072;&#1088;&#1077;&#1085;&#1072;&#1103;.%20&#1050;&#1072;&#1082;%20&#1087;&#1088;&#1072;&#1074;&#1080;&#1083;&#1100;&#1085;&#1086;%20&#1096;&#1087;&#1088;&#1080;&#1094;&#1077;&#1074;&#1072;&#1090;&#1100;%20&#1080;%20&#1082;&#1086;&#1087;&#1090;&#1080;&#1090;&#1100;.%20&#1050;&#1072;&#1082;%20&#1089;&#1076;&#1077;&#1083;&#1072;&#1090;&#1100;%20&#1079;&#1086;&#1083;&#1086;&#1090;&#1080;&#1089;&#1090;&#1091;&#1102;%20&#1082;&#1086;&#1088;&#1086;&#1095;&#1082;&#1091;.mp4" TargetMode="External"/><Relationship Id="rId97" Type="http://schemas.openxmlformats.org/officeDocument/2006/relationships/hyperlink" Target="../../../../Video/&#1050;&#1086;&#1083;&#1073;&#1072;&#1089;&#1072;_&#1088;&#1077;&#1094;&#1077;&#1087;&#1090;&#1099;/&#1057;&#1077;&#1083;&#1100;&#1076;&#1100;%20&#1087;&#1088;&#1103;&#1085;&#1086;&#1075;&#1086;%20&#1087;&#1086;&#1089;&#1086;&#1083;&#1072;.%20&#1056;&#1077;&#1094;&#1077;&#1087;&#1090;&#1091;&#1088;&#1072;%20&#1076;&#1083;&#1103;%20&#1088;&#1072;&#1089;&#1089;&#1086;&#1083;&#1072;.%20&#1054;&#1090;&#1076;&#1077;&#1083;&#1077;&#1085;&#1080;&#1077;%20&#1092;&#1080;&#1083;&#1077;%20&#1086;&#1090;%20&#1082;&#1086;&#1089;&#1090;&#1077;&#1081;.mp4" TargetMode="External"/><Relationship Id="rId120" Type="http://schemas.openxmlformats.org/officeDocument/2006/relationships/hyperlink" Target="../../../../Video/&#1050;&#1086;&#1083;&#1073;&#1072;&#1089;&#1072;_&#1088;&#1077;&#1094;&#1077;&#1087;&#1090;&#1099;/&#1057;&#1040;&#1052;&#1040;&#1071;%20&#1042;&#1050;&#1059;&#1057;&#1053;&#1040;&#1071;%20&#1050;&#1056;&#1054;&#1042;&#1071;&#1053;&#1050;&#1040;%20-%20&#1071;&#1079;&#1099;&#1082;&#1086;&#1074;&#1072;&#1103;%20&#1082;&#1088;&#1086;&#1074;&#1103;&#1085;&#1072;&#1103;%20&#1082;&#1086;&#1083;&#1073;&#1072;&#1089;&#1072;!%20&#1056;&#1054;&#1047;&#1067;&#1043;&#1056;&#1067;&#1064;%20&#1055;&#1056;&#1048;&#1047;&#1054;&#1042;.mp4" TargetMode="External"/><Relationship Id="rId358" Type="http://schemas.openxmlformats.org/officeDocument/2006/relationships/hyperlink" Target="https://www.youtube.com/watch?v=mp6IBTJIyGA" TargetMode="External"/><Relationship Id="rId162" Type="http://schemas.openxmlformats.org/officeDocument/2006/relationships/hyperlink" Target="https://www.youtube.com/watch?v=Kn8ZRKjfc9s" TargetMode="External"/><Relationship Id="rId218" Type="http://schemas.openxmlformats.org/officeDocument/2006/relationships/hyperlink" Target="../../../../Video/&#1050;&#1086;&#1083;&#1073;&#1072;&#1089;&#1072;_&#1088;&#1077;&#1094;&#1077;&#1087;&#1090;&#1099;/&#1057;&#1086;&#1089;&#1080;&#1089;&#1082;&#1080;%20&#1076;&#1077;&#1090;&#1089;&#1082;&#1080;&#1077;%20&#1084;&#1086;&#1083;&#1086;&#1095;&#1085;&#1099;&#1077;%20&#1041;&#1045;&#1047;%20&#1053;&#1048;&#1058;&#1056;&#1048;&#1058;&#1053;&#1054;&#1049;%20&#1057;&#1054;&#1051;&#1048;.mp4" TargetMode="External"/><Relationship Id="rId271" Type="http://schemas.openxmlformats.org/officeDocument/2006/relationships/hyperlink" Target="../../../../Video/&#1050;&#1086;&#1083;&#1073;&#1072;&#1089;&#1072;_&#1088;&#1077;&#1094;&#1077;&#1087;&#1090;&#1099;/&#1056;&#1077;&#1094;&#1077;&#1087;&#1090;%20&#1082;&#1086;&#1083;&#1073;&#1072;&#1089;&#1086;&#1082;%20&#1080;&#1079;%20&#1052;&#1054;&#1045;&#1049;%20&#1061;&#1054;&#1058;&#1044;&#1054;&#1046;&#1053;&#1054;&#1049;%20&#1074;%20&#1055;&#1080;&#1090;&#1077;&#1088;&#1077;!.mp4" TargetMode="External"/><Relationship Id="rId24" Type="http://schemas.openxmlformats.org/officeDocument/2006/relationships/hyperlink" Target="../../../../Video/&#1050;&#1086;&#1083;&#1073;&#1072;&#1089;&#1072;_&#1088;&#1077;&#1094;&#1077;&#1087;&#1090;&#1099;/&#1052;&#1054;&#1057;&#1050;&#1054;&#1042;&#1057;&#1050;&#1040;&#1071;%20&#1050;&#1054;&#1055;&#1063;&#1045;&#1053;&#1040;&#1071;%20&#1076;&#1086;&#1084;&#1072;&#1096;&#1085;&#1103;&#1103;%20&#1082;&#1086;&#1083;&#1073;&#1072;&#1089;&#1072;%20&#1043;&#1054;&#1057;&#1058;%201938.mp4" TargetMode="External"/><Relationship Id="rId66" Type="http://schemas.openxmlformats.org/officeDocument/2006/relationships/hyperlink" Target="../../../../Video/&#1050;&#1086;&#1083;&#1073;&#1072;&#1089;&#1072;_&#1088;&#1077;&#1094;&#1077;&#1087;&#1090;&#1099;/&#1050;&#1040;&#1056;&#1040;&#1057;&#1068;%20&#1093;&#1086;&#1083;&#1086;&#1076;&#1085;&#1086;&#1075;&#1086;%20&#1082;&#1086;&#1087;&#1095;&#1077;&#1085;&#1080;&#1103;%20&#1087;&#1086;%20&#1082;&#1072;&#1079;&#1072;&#1093;&#1089;&#1082;&#1080;%20&#1086;&#1090;%20&#1048;&#1043;&#1054;&#1056;&#1071;%20&#1074;%20&#1082;&#1086;&#1087;&#1090;&#1080;&#1083;&#1100;&#1085;&#1077;%20&#1084;&#1086;&#1089;&#1082;&#1080;&#1090;.mp4" TargetMode="External"/><Relationship Id="rId131" Type="http://schemas.openxmlformats.org/officeDocument/2006/relationships/hyperlink" Target="../../../../Video/&#1050;&#1086;&#1083;&#1073;&#1072;&#1089;&#1072;_&#1088;&#1077;&#1094;&#1077;&#1087;&#1090;&#1099;/&#1057;&#1040;&#1052;&#1040;&#1071;%20&#1042;&#1050;&#1059;&#1057;&#1053;&#1040;&#1071;%20&#1050;&#1056;&#1054;&#1042;&#1071;&#1053;&#1050;&#1040;%20-%20&#1071;&#1079;&#1099;&#1082;&#1086;&#1074;&#1072;&#1103;%20&#1082;&#1088;&#1086;&#1074;&#1103;&#1085;&#1072;&#1103;%20&#1082;&#1086;&#1083;&#1073;&#1072;&#1089;&#1072;!%20&#1056;&#1054;&#1047;&#1067;&#1043;&#1056;&#1067;&#1064;%20&#1055;&#1056;&#1048;&#1047;&#1054;&#1042;.mp4" TargetMode="External"/><Relationship Id="rId327" Type="http://schemas.openxmlformats.org/officeDocument/2006/relationships/hyperlink" Target="https://www.youtube.com/watch?v=YHdyryDTJaE&amp;t=51s" TargetMode="External"/><Relationship Id="rId369" Type="http://schemas.openxmlformats.org/officeDocument/2006/relationships/hyperlink" Target="https://www.youtube.com/watch?v=JL9fOZ3WnMI" TargetMode="External"/><Relationship Id="rId173" Type="http://schemas.openxmlformats.org/officeDocument/2006/relationships/hyperlink" Target="https://www.youtube.com/watch?v=7U9tw9JGhlk" TargetMode="External"/><Relationship Id="rId229" Type="http://schemas.openxmlformats.org/officeDocument/2006/relationships/hyperlink" Target="../../../../Video/&#1050;&#1086;&#1083;&#1073;&#1072;&#1089;&#1072;_&#1088;&#1077;&#1094;&#1077;&#1087;&#1090;&#1099;/&#1057;&#1082;&#1086;&#1083;&#1100;&#1082;&#1086;%20&#1089;&#1086;&#1083;&#1080;%20&#1085;&#1091;&#1078;&#1085;&#1086;%20&#1076;&#1083;&#1103;%20&#1088;&#1072;&#1089;&#1089;&#1086;&#1083;&#1072;,%20&#1082;&#1086;&#1090;&#1086;&#1088;&#1099;&#1084;%20&#1096;&#1087;&#1088;&#1080;&#1094;&#1091;&#1102;&#1090;%20&#1084;&#1103;&#1089;&#1086;.%20&#1050;&#1072;&#1088;&#1073;&#1086;&#1085;&#1072;&#1076;%20(&#1073;&#1072;&#1083;&#1099;&#1082;)%20&#1074;&#1072;&#1088;&#1077;&#1085;&#1086;-&#1082;&#1086;&#1087;&#1095;&#1077;&#1085;&#1099;&#1081;.mp4" TargetMode="External"/><Relationship Id="rId380" Type="http://schemas.openxmlformats.org/officeDocument/2006/relationships/hyperlink" Target="https://www.youtube.com/watch?v=pO4cS1NcSig&amp;t=527s" TargetMode="External"/><Relationship Id="rId240" Type="http://schemas.openxmlformats.org/officeDocument/2006/relationships/hyperlink" Target="https://www.youtube.com/watch?v=l4YTFXybrO4" TargetMode="External"/><Relationship Id="rId35" Type="http://schemas.openxmlformats.org/officeDocument/2006/relationships/hyperlink" Target="../../../../Video/&#1050;&#1086;&#1083;&#1073;&#1072;&#1089;&#1072;_&#1088;&#1077;&#1094;&#1077;&#1087;&#1090;&#1099;/&#127470;&#127481;&#128293;&#127869;&#65039;%20&#1050;&#1083;&#1072;&#1089;&#1089;&#1080;&#1095;&#1077;&#1089;&#1082;&#1072;&#1103;%20&#1048;&#1090;&#1072;&#1083;&#1100;&#1103;&#1085;&#1089;&#1082;&#1072;&#1103;%20&#1052;&#1054;&#1056;&#1058;&#1040;&#1044;&#1045;&#1051;&#1051;&#1040;%20&#1074;%20&#1044;&#1091;&#1093;&#1086;&#1074;&#1082;&#1077;!%20&#127838;&#128104;&#8205;&#127859;&#128105;&#8205;&#127859;&#127470;&#127481;&#127830;&#128076;.mp4" TargetMode="External"/><Relationship Id="rId77" Type="http://schemas.openxmlformats.org/officeDocument/2006/relationships/hyperlink" Target="../../../../Video/&#1050;&#1086;&#1083;&#1073;&#1072;&#1089;&#1072;_&#1088;&#1077;&#1094;&#1077;&#1087;&#1090;&#1099;/&#1045;&#1074;&#1088;&#1077;&#1081;&#1089;&#1082;&#1072;&#1103;%20&#1082;&#1086;&#1087;&#1095;&#1105;&#1085;&#1072;&#1103;%20&#1082;&#1086;&#1083;&#1073;&#1072;&#1089;&#1072;%20&#1074;%20&#1076;&#1086;&#1084;&#1072;&#1096;&#1085;&#1080;&#1093;%20&#1091;&#1089;&#1083;&#1086;&#1074;&#1080;&#1103;&#1093;.%20&#1057;&#1090;&#1072;&#1085;&#1076;&#1072;&#1088;&#1090;%201938&#1075;.mp4" TargetMode="External"/><Relationship Id="rId100" Type="http://schemas.openxmlformats.org/officeDocument/2006/relationships/hyperlink" Target="../../../../Video/&#1050;&#1086;&#1083;&#1073;&#1072;&#1089;&#1072;_&#1088;&#1077;&#1094;&#1077;&#1087;&#1090;&#1099;/&#1057;&#1077;&#1083;&#1100;&#1076;&#1100;%20&#1087;&#1088;&#1103;&#1085;&#1086;&#1075;&#1086;%20&#1087;&#1086;&#1089;&#1086;&#1083;&#1072;.%20&#1056;&#1077;&#1094;&#1077;&#1087;&#1090;&#1091;&#1088;&#1072;%20&#1076;&#1083;&#1103;%20&#1088;&#1072;&#1089;&#1089;&#1086;&#1083;&#1072;.%20&#1054;&#1090;&#1076;&#1077;&#1083;&#1077;&#1085;&#1080;&#1077;%20&#1092;&#1080;&#1083;&#1077;%20&#1086;&#1090;%20&#1082;&#1086;&#1089;&#1090;&#1077;&#1081;.mp4" TargetMode="External"/><Relationship Id="rId282" Type="http://schemas.openxmlformats.org/officeDocument/2006/relationships/hyperlink" Target="../../../../Video/&#1050;&#1086;&#1083;&#1073;&#1072;&#1089;&#1072;_&#1088;&#1077;&#1094;&#1077;&#1087;&#1090;&#1099;/&#1057;&#1086;&#1089;&#1080;&#1089;&#1082;&#1080;%20&#1050;&#1088;&#1077;&#1087;&#1099;&#1096;,%20&#1073;&#1077;&#1079;%20&#1085;&#1080;&#1090;&#1088;&#1080;&#1090;&#1085;&#1086;&#1081;%20&#1089;&#1086;&#1083;&#1080;.%20&#1057;&#1088;&#1072;&#1074;&#1085;&#1077;&#1085;&#1080;&#1077;%20&#1088;&#1077;&#1094;&#1077;&#1087;&#1090;&#1091;&#1088;%20&#1089;%20&#1092;&#1086;&#1089;&#1092;&#1072;&#1090;&#1086;&#1084;%20&#1080;%20&#1094;&#1080;&#1090;&#1088;&#1072;&#1090;&#1086;&#1084;%20-%20&#1082;&#1086;&#1085;&#1089;&#1080;&#1089;&#1090;&#1077;&#1085;&#1094;&#1080;&#1103;%20&#1080;%20&#1074;&#1082;&#1091;&#1089;.mp4" TargetMode="External"/><Relationship Id="rId338" Type="http://schemas.openxmlformats.org/officeDocument/2006/relationships/hyperlink" Target="https://www.youtube.com/watch?v=mvaLbMCDunw&amp;t=2s" TargetMode="External"/><Relationship Id="rId8" Type="http://schemas.openxmlformats.org/officeDocument/2006/relationships/hyperlink" Target="https://www.youtube.com/watch?v=l4YTFXybrO4" TargetMode="External"/><Relationship Id="rId142" Type="http://schemas.openxmlformats.org/officeDocument/2006/relationships/hyperlink" Target="https://www.youtube.com/watch?v=zgSpESIhaR0" TargetMode="External"/><Relationship Id="rId184" Type="http://schemas.openxmlformats.org/officeDocument/2006/relationships/hyperlink" Target="https://www.youtube.com/watch?v=fvRBCLYYmZM" TargetMode="External"/><Relationship Id="rId391" Type="http://schemas.openxmlformats.org/officeDocument/2006/relationships/hyperlink" Target="https://1000.menu/cooking/42853-pelmeni-domashnie-klassicheskie" TargetMode="External"/><Relationship Id="rId405" Type="http://schemas.openxmlformats.org/officeDocument/2006/relationships/hyperlink" Target="https://www.youtube.com/watch?v=PwFXCb96LRQ&amp;t=445s" TargetMode="External"/><Relationship Id="rId251" Type="http://schemas.openxmlformats.org/officeDocument/2006/relationships/hyperlink" Target="../../../../Video/&#1050;&#1086;&#1083;&#1073;&#1072;&#1089;&#1072;_&#1088;&#1077;&#1094;&#1077;&#1087;&#1090;&#1099;/&#1050;&#1072;&#1073;&#1072;&#1085;&#1086;&#1089;&#1099;%20(Kabanosy)%20&#1074;%20&#1076;&#1086;&#1084;&#1072;&#1096;&#1085;&#1080;&#1093;%20&#1091;&#1089;&#1083;&#1086;&#1074;&#1080;&#1103;&#1093;.mp4" TargetMode="External"/><Relationship Id="rId46" Type="http://schemas.openxmlformats.org/officeDocument/2006/relationships/hyperlink" Target="../../../../Video/&#1050;&#1086;&#1083;&#1073;&#1072;&#1089;&#1072;_&#1088;&#1077;&#1094;&#1077;&#1087;&#1090;&#1099;/&#1044;&#1086;&#1084;&#1072;&#1096;&#1085;&#1080;&#1077;%20&#1082;&#1091;&#1088;&#1080;&#1085;&#1099;&#1077;%20&#1089;&#1086;&#1089;&#1080;&#1089;&#1082;&#1080;%20&#1089;%20&#1090;&#1074;&#1077;&#1088;&#1076;&#1099;&#1084;%20&#1089;&#1099;&#1088;&#1086;&#1084;.mp4" TargetMode="External"/><Relationship Id="rId293" Type="http://schemas.openxmlformats.org/officeDocument/2006/relationships/hyperlink" Target="../../../../Video/&#1050;&#1086;&#1083;&#1073;&#1072;&#1089;&#1072;_&#1088;&#1077;&#1094;&#1077;&#1087;&#1090;&#1099;/&#1056;&#1054;&#1047;&#1067;&#1043;&#1056;&#1067;&#1064;%20&#1080;%20&#1040;&#1050;&#1062;&#1048;&#1071;.%20&#1052;&#1086;&#1088;&#1090;&#1072;&#1076;&#1077;&#1083;&#1083;&#1072;%20&#1074;%20&#1076;&#1091;&#1093;&#1086;&#1074;&#1082;&#1077;%20+%20&#1088;&#1077;&#1094;&#1077;&#1087;&#1090;&#1091;&#1088;&#1072;%20&#1089;&#1099;&#1088;&#1086;&#1074;&#1103;&#1083;&#1077;&#1085;&#1086;&#1081;%20&#1051;&#1091;&#1082;&#1072;&#1085;&#1082;&#1080;,%20&#1074;&#1103;&#1083;&#1080;&#1084;%20&#1074;%20&#1093;&#1086;&#1083;&#1086;&#1076;&#1080;&#1083;&#1100;&#1085;&#1080;&#1082;&#1077;.mp4" TargetMode="External"/><Relationship Id="rId307" Type="http://schemas.openxmlformats.org/officeDocument/2006/relationships/hyperlink" Target="../../../../Video/&#1050;&#1086;&#1083;&#1073;&#1072;&#1089;&#1072;_&#1088;&#1077;&#1094;&#1077;&#1087;&#1090;&#1099;/&#1051;&#1091;&#1082;&#1072;&#1085;&#1082;&#1072;%20&#1073;&#1086;&#1083;&#1075;&#1072;&#1088;&#1089;&#1082;&#1072;&#1103;.%20&#1040;&#1076;&#1072;&#1087;&#1090;&#1080;&#1088;&#1086;&#1074;&#1072;&#1085;&#1085;&#1099;&#1081;%20&#1088;&#1077;&#1094;&#1077;&#1087;&#1090;%20&#1076;&#1083;&#1103;%20&#1085;&#1072;&#1095;&#1080;&#1085;&#1072;&#1102;&#1097;&#1080;&#1093;.mp4" TargetMode="External"/><Relationship Id="rId349" Type="http://schemas.openxmlformats.org/officeDocument/2006/relationships/hyperlink" Target="https://www.youtube.com/watch?v=ny4OrQ93ATQ" TargetMode="External"/><Relationship Id="rId88" Type="http://schemas.openxmlformats.org/officeDocument/2006/relationships/hyperlink" Target="../../../../Video/&#1050;&#1086;&#1083;&#1073;&#1072;&#1089;&#1072;_&#1088;&#1077;&#1094;&#1077;&#1087;&#1090;&#1099;/&#1057;&#1072;&#1083;&#1103;&#1084;&#1080;%20&#1052;&#1080;&#1083;&#1072;&#1085;&#1086;%20&#1089;&#1086;%20&#1089;&#1090;&#1072;&#1088;&#1090;&#1086;&#1074;&#1099;&#1084;&#1080;%20&#1082;&#1091;&#1083;&#1100;&#1090;&#1091;&#1088;&#1072;&#1084;&#1080;.mp4" TargetMode="External"/><Relationship Id="rId111" Type="http://schemas.openxmlformats.org/officeDocument/2006/relationships/hyperlink" Target="https://www.youtube.com/watch?v=AUk8hq2wdRI" TargetMode="External"/><Relationship Id="rId153" Type="http://schemas.openxmlformats.org/officeDocument/2006/relationships/hyperlink" Target="../../../../Video/&#1050;&#1086;&#1083;&#1073;&#1072;&#1089;&#1072;_&#1088;&#1077;&#1094;&#1077;&#1087;&#1090;&#1099;/&#1044;&#1077;&#1083;&#1072;&#1077;&#1084;%20&#1060;&#1059;&#1069;&#1058;%20&#8212;%20&#1080;&#1089;&#1087;&#1072;&#1085;&#1089;&#1082;&#1072;&#1103;%20&#1089;&#1099;&#1088;&#1086;&#1074;&#1103;&#1083;&#1077;&#1085;&#1072;&#1103;%20&#1082;&#1086;&#1083;&#1073;&#1072;&#1089;&#1072;%20&#1074;%20&#1087;&#1083;&#1077;&#1089;&#1077;&#1085;&#1080;.%20FUET.mp4" TargetMode="External"/><Relationship Id="rId195" Type="http://schemas.openxmlformats.org/officeDocument/2006/relationships/hyperlink" Target="https://www.youtube.com/watch?v=sOpq7K5NJdk" TargetMode="External"/><Relationship Id="rId209" Type="http://schemas.openxmlformats.org/officeDocument/2006/relationships/hyperlink" Target="https://www.youtube.com/watch?v=UL8b1lAjZi8" TargetMode="External"/><Relationship Id="rId360" Type="http://schemas.openxmlformats.org/officeDocument/2006/relationships/hyperlink" Target="https://www.youtube.com/watch?v=mp6IBTJIyGA" TargetMode="External"/><Relationship Id="rId416" Type="http://schemas.openxmlformats.org/officeDocument/2006/relationships/printerSettings" Target="../printerSettings/printerSettings2.bin"/><Relationship Id="rId220" Type="http://schemas.openxmlformats.org/officeDocument/2006/relationships/hyperlink" Target="../../../../Video/&#1050;&#1086;&#1083;&#1073;&#1072;&#1089;&#1072;_&#1088;&#1077;&#1094;&#1077;&#1087;&#1090;&#1099;/&#1057;&#1086;&#1089;&#1080;&#1089;&#1082;&#1080;%20&#1076;&#1077;&#1090;&#1089;&#1082;&#1080;&#1077;%20&#1084;&#1086;&#1083;&#1086;&#1095;&#1085;&#1099;&#1077;%20&#1041;&#1045;&#1047;%20&#1053;&#1048;&#1058;&#1056;&#1048;&#1058;&#1053;&#1054;&#1049;%20&#1057;&#1054;&#1051;&#1048;.mp4" TargetMode="External"/><Relationship Id="rId15" Type="http://schemas.openxmlformats.org/officeDocument/2006/relationships/hyperlink" Target="https://www.youtube.com/watch?v=fvRBCLYYmZM" TargetMode="External"/><Relationship Id="rId57" Type="http://schemas.openxmlformats.org/officeDocument/2006/relationships/hyperlink" Target="../../../../Video/&#1050;&#1086;&#1083;&#1073;&#1072;&#1089;&#1072;_&#1088;&#1077;&#1094;&#1077;&#1087;&#1090;&#1099;/&#1043;&#1056;&#1059;&#1044;&#1048;&#1053;&#1050;&#1040;%20&#1065;&#1045;&#1050;&#1054;&#1042;&#1048;&#1053;&#1040;%20&#1043;&#1054;&#1056;&#1071;&#1063;&#1045;&#1043;&#1054;%20&#1050;&#1054;&#1055;&#1063;&#1045;&#1053;&#1048;&#1071;%20&#1042;%20&#1084;&#1086;&#1089;&#1082;&#1080;&#1090;&#1077;.mp4" TargetMode="External"/><Relationship Id="rId262" Type="http://schemas.openxmlformats.org/officeDocument/2006/relationships/hyperlink" Target="https://www.youtube.com/watch?v=DzdRsfq_Sgo&amp;t=1s" TargetMode="External"/><Relationship Id="rId318" Type="http://schemas.openxmlformats.org/officeDocument/2006/relationships/hyperlink" Target="../../../../Video/&#1050;&#1086;&#1083;&#1073;&#1072;&#1089;&#1072;_&#1088;&#1077;&#1094;&#1077;&#1087;&#1090;&#1099;/Pancetta%20Artesanal.mp4" TargetMode="External"/><Relationship Id="rId99" Type="http://schemas.openxmlformats.org/officeDocument/2006/relationships/hyperlink" Target="../../../../Video/&#1050;&#1086;&#1083;&#1073;&#1072;&#1089;&#1072;_&#1088;&#1077;&#1094;&#1077;&#1087;&#1090;&#1099;/&#1057;&#1077;&#1083;&#1100;&#1076;&#1100;%20&#1087;&#1088;&#1103;&#1085;&#1086;&#1075;&#1086;%20&#1087;&#1086;&#1089;&#1086;&#1083;&#1072;.%20&#1056;&#1077;&#1094;&#1077;&#1087;&#1090;&#1091;&#1088;&#1072;%20&#1076;&#1083;&#1103;%20&#1088;&#1072;&#1089;&#1089;&#1086;&#1083;&#1072;.%20&#1054;&#1090;&#1076;&#1077;&#1083;&#1077;&#1085;&#1080;&#1077;%20&#1092;&#1080;&#1083;&#1077;%20&#1086;&#1090;%20&#1082;&#1086;&#1089;&#1090;&#1077;&#1081;.mp4" TargetMode="External"/><Relationship Id="rId122" Type="http://schemas.openxmlformats.org/officeDocument/2006/relationships/hyperlink" Target="../../../../Video/&#1050;&#1086;&#1083;&#1073;&#1072;&#1089;&#1072;_&#1088;&#1077;&#1094;&#1077;&#1087;&#1090;&#1099;/&#1057;&#1040;&#1052;&#1040;&#1071;%20&#1042;&#1050;&#1059;&#1057;&#1053;&#1040;&#1071;%20&#1050;&#1056;&#1054;&#1042;&#1071;&#1053;&#1050;&#1040;%20-%20&#1071;&#1079;&#1099;&#1082;&#1086;&#1074;&#1072;&#1103;%20&#1082;&#1088;&#1086;&#1074;&#1103;&#1085;&#1072;&#1103;%20&#1082;&#1086;&#1083;&#1073;&#1072;&#1089;&#1072;!%20&#1056;&#1054;&#1047;&#1067;&#1043;&#1056;&#1067;&#1064;%20&#1055;&#1056;&#1048;&#1047;&#1054;&#1042;.mp4" TargetMode="External"/><Relationship Id="rId164" Type="http://schemas.openxmlformats.org/officeDocument/2006/relationships/hyperlink" Target="../../../../Video/&#1050;&#1086;&#1083;&#1073;&#1072;&#1089;&#1072;_&#1088;&#1077;&#1094;&#1077;&#1087;&#1090;&#1099;/&#1048;&#1089;&#1087;&#1072;&#1085;&#1089;&#1082;&#1072;&#1103;%20&#1082;&#1086;&#1083;&#1073;&#1072;&#1089;&#1072;%20&#1063;&#1086;&#1088;&#1080;&#1079;&#1086;%20&#1074;%20&#1076;&#1086;&#1084;&#1072;&#1096;&#1085;&#1080;&#1093;%20&#1091;&#1089;&#1083;&#1086;&#1074;&#1080;&#1103;&#1093;.mp4" TargetMode="External"/><Relationship Id="rId371" Type="http://schemas.openxmlformats.org/officeDocument/2006/relationships/hyperlink" Target="https://www.youtube.com/watch?v=JL9fOZ3WnMI" TargetMode="External"/><Relationship Id="rId26" Type="http://schemas.openxmlformats.org/officeDocument/2006/relationships/hyperlink" Target="../../../../Video/&#1050;&#1086;&#1083;&#1073;&#1072;&#1089;&#1072;_&#1088;&#1077;&#1094;&#1077;&#1087;&#1090;&#1099;/&#1057;&#1077;&#1083;&#1100;&#1076;&#1100;%20&#1087;&#1088;&#1103;&#1085;&#1086;&#1075;&#1086;%20&#1087;&#1086;&#1089;&#1086;&#1083;&#1072;.%20&#1056;&#1077;&#1094;&#1077;&#1087;&#1090;&#1091;&#1088;&#1072;%20&#1076;&#1083;&#1103;%20&#1088;&#1072;&#1089;&#1089;&#1086;&#1083;&#1072;.%20&#1054;&#1090;&#1076;&#1077;&#1083;&#1077;&#1085;&#1080;&#1077;%20&#1092;&#1080;&#1083;&#1077;%20&#1086;&#1090;%20&#1082;&#1086;&#1089;&#1090;&#1077;&#1081;.mp4" TargetMode="External"/><Relationship Id="rId231" Type="http://schemas.openxmlformats.org/officeDocument/2006/relationships/hyperlink" Target="../../../../Video/&#1050;&#1086;&#1083;&#1073;&#1072;&#1089;&#1072;_&#1088;&#1077;&#1094;&#1077;&#1087;&#1090;&#1099;/&#1057;&#1082;&#1086;&#1083;&#1100;&#1082;&#1086;%20&#1089;&#1086;&#1083;&#1080;%20&#1085;&#1091;&#1078;&#1085;&#1086;%20&#1076;&#1083;&#1103;%20&#1088;&#1072;&#1089;&#1089;&#1086;&#1083;&#1072;,%20&#1082;&#1086;&#1090;&#1086;&#1088;&#1099;&#1084;%20&#1096;&#1087;&#1088;&#1080;&#1094;&#1091;&#1102;&#1090;%20&#1084;&#1103;&#1089;&#1086;.%20&#1050;&#1072;&#1088;&#1073;&#1086;&#1085;&#1072;&#1076;%20(&#1073;&#1072;&#1083;&#1099;&#1082;)%20&#1074;&#1072;&#1088;&#1077;&#1085;&#1086;-&#1082;&#1086;&#1087;&#1095;&#1077;&#1085;&#1099;&#1081;.mp4" TargetMode="External"/><Relationship Id="rId273" Type="http://schemas.openxmlformats.org/officeDocument/2006/relationships/hyperlink" Target="../../../../Video/&#1050;&#1086;&#1083;&#1073;&#1072;&#1089;&#1072;_&#1088;&#1077;&#1094;&#1077;&#1087;&#1090;&#1099;/&#1056;&#1077;&#1094;&#1077;&#1087;&#1090;%20&#1082;&#1086;&#1083;&#1073;&#1072;&#1089;&#1086;&#1082;%20&#1080;&#1079;%20&#1052;&#1054;&#1045;&#1049;%20&#1061;&#1054;&#1058;&#1044;&#1054;&#1046;&#1053;&#1054;&#1049;%20&#1074;%20&#1055;&#1080;&#1090;&#1077;&#1088;&#1077;!.mp4" TargetMode="External"/><Relationship Id="rId329" Type="http://schemas.openxmlformats.org/officeDocument/2006/relationships/hyperlink" Target="../../../../Video/&#1050;&#1086;&#1083;&#1073;&#1072;&#1089;&#1072;_&#1088;&#1077;&#1094;&#1077;&#1087;&#1090;&#1099;/&#1048;&#1090;&#1072;&#1083;&#1100;&#1103;&#1085;&#1089;&#1082;&#1072;&#1103;%20&#1089;&#1099;&#1088;&#1086;&#1074;&#1103;&#1083;&#1077;&#1085;&#1072;&#1103;%20&#1082;&#1086;&#1083;&#1073;&#1072;&#1089;&#1072;%20&#1060;&#1080;&#1085;&#1086;&#1082;&#1082;&#1100;&#1086;&#1085;&#1072;%20&#1074;%20&#1076;&#1086;&#1084;&#1072;&#1096;&#1085;&#1080;&#1093;%20&#1091;&#1089;&#1083;&#1086;&#1074;&#1080;&#1103;&#1093;.mp4" TargetMode="External"/><Relationship Id="rId68" Type="http://schemas.openxmlformats.org/officeDocument/2006/relationships/hyperlink" Target="../../../../Video/&#1050;&#1086;&#1083;&#1073;&#1072;&#1089;&#1072;_&#1088;&#1077;&#1094;&#1077;&#1087;&#1090;&#1099;/&#1050;&#1040;&#1056;&#1040;&#1057;&#1068;%20&#1093;&#1086;&#1083;&#1086;&#1076;&#1085;&#1086;&#1075;&#1086;%20&#1082;&#1086;&#1087;&#1095;&#1077;&#1085;&#1080;&#1103;%20&#1087;&#1086;%20&#1082;&#1072;&#1079;&#1072;&#1093;&#1089;&#1082;&#1080;%20&#1086;&#1090;%20&#1048;&#1043;&#1054;&#1056;&#1071;%20&#1074;%20&#1082;&#1086;&#1087;&#1090;&#1080;&#1083;&#1100;&#1085;&#1077;%20&#1084;&#1086;&#1089;&#1082;&#1080;&#1090;.mp4" TargetMode="External"/><Relationship Id="rId133" Type="http://schemas.openxmlformats.org/officeDocument/2006/relationships/hyperlink" Target="https://www.youtube.com/watch?v=F10ChDTJQn4" TargetMode="External"/><Relationship Id="rId175" Type="http://schemas.openxmlformats.org/officeDocument/2006/relationships/hyperlink" Target="https://www.youtube.com/watch?v=7U9tw9JGhlk" TargetMode="External"/><Relationship Id="rId340" Type="http://schemas.openxmlformats.org/officeDocument/2006/relationships/hyperlink" Target="https://www.youtube.com/watch?v=mvaLbMCDunw&amp;t=2s" TargetMode="External"/><Relationship Id="rId200" Type="http://schemas.openxmlformats.org/officeDocument/2006/relationships/hyperlink" Target="../../../../Video/&#1050;&#1086;&#1083;&#1073;&#1072;&#1089;&#1072;_&#1088;&#1077;&#1094;&#1077;&#1087;&#1090;&#1099;/&#127470;&#127481;&#128293;&#127869;&#65039;%20&#1050;&#1083;&#1072;&#1089;&#1089;&#1080;&#1095;&#1077;&#1089;&#1082;&#1072;&#1103;%20&#1048;&#1090;&#1072;&#1083;&#1100;&#1103;&#1085;&#1089;&#1082;&#1072;&#1103;%20&#1052;&#1054;&#1056;&#1058;&#1040;&#1044;&#1045;&#1051;&#1051;&#1040;%20&#1074;%20&#1044;&#1091;&#1093;&#1086;&#1074;&#1082;&#1077;!%20&#127838;&#128104;&#8205;&#127859;&#128105;&#8205;&#127859;&#127470;&#127481;&#127830;&#128076;.mp4" TargetMode="External"/><Relationship Id="rId382" Type="http://schemas.openxmlformats.org/officeDocument/2006/relationships/hyperlink" Target="https://www.youtube.com/watch?v=pO4cS1NcSig&amp;t=527s" TargetMode="External"/><Relationship Id="rId242" Type="http://schemas.openxmlformats.org/officeDocument/2006/relationships/hyperlink" Target="https://www.youtube.com/watch?v=l4YTFXybrO4" TargetMode="External"/><Relationship Id="rId284" Type="http://schemas.openxmlformats.org/officeDocument/2006/relationships/hyperlink" Target="../../../../Video/&#1050;&#1086;&#1083;&#1073;&#1072;&#1089;&#1072;_&#1088;&#1077;&#1094;&#1077;&#1087;&#1090;&#1099;/&#1057;&#1086;&#1089;&#1080;&#1089;&#1082;&#1080;%20&#1050;&#1088;&#1077;&#1087;&#1099;&#1096;,%20&#1073;&#1077;&#1079;%20&#1085;&#1080;&#1090;&#1088;&#1080;&#1090;&#1085;&#1086;&#1081;%20&#1089;&#1086;&#1083;&#1080;.%20&#1057;&#1088;&#1072;&#1074;&#1085;&#1077;&#1085;&#1080;&#1077;%20&#1088;&#1077;&#1094;&#1077;&#1087;&#1090;&#1091;&#1088;%20&#1089;%20&#1092;&#1086;&#1089;&#1092;&#1072;&#1090;&#1086;&#1084;%20&#1080;%20&#1094;&#1080;&#1090;&#1088;&#1072;&#1090;&#1086;&#1084;%20-%20&#1082;&#1086;&#1085;&#1089;&#1080;&#1089;&#1090;&#1077;&#1085;&#1094;&#1080;&#1103;%20&#1080;%20&#1074;&#1082;&#1091;&#1089;.mp4" TargetMode="External"/><Relationship Id="rId37" Type="http://schemas.openxmlformats.org/officeDocument/2006/relationships/hyperlink" Target="../../../../Video/&#1050;&#1086;&#1083;&#1073;&#1072;&#1089;&#1072;_&#1088;&#1077;&#1094;&#1077;&#1087;&#1090;&#1099;/&#1057;&#1082;&#1086;&#1083;&#1100;&#1082;&#1086;%20&#1089;&#1086;&#1083;&#1080;%20&#1085;&#1091;&#1078;&#1085;&#1086;%20&#1076;&#1083;&#1103;%20&#1088;&#1072;&#1089;&#1089;&#1086;&#1083;&#1072;,%20&#1082;&#1086;&#1090;&#1086;&#1088;&#1099;&#1084;%20&#1096;&#1087;&#1088;&#1080;&#1094;&#1091;&#1102;&#1090;%20&#1084;&#1103;&#1089;&#1086;.%20&#1050;&#1072;&#1088;&#1073;&#1086;&#1085;&#1072;&#1076;%20(&#1073;&#1072;&#1083;&#1099;&#1082;)%20&#1074;&#1072;&#1088;&#1077;&#1085;&#1086;-&#1082;&#1086;&#1087;&#1095;&#1077;&#1085;&#1099;&#1081;.mp4" TargetMode="External"/><Relationship Id="rId79" Type="http://schemas.openxmlformats.org/officeDocument/2006/relationships/hyperlink" Target="../../../../Video/&#1050;&#1086;&#1083;&#1073;&#1072;&#1089;&#1072;_&#1088;&#1077;&#1094;&#1077;&#1087;&#1090;&#1099;/&#1052;&#1054;&#1057;&#1050;&#1054;&#1042;&#1057;&#1050;&#1040;&#1071;%20&#1050;&#1054;&#1055;&#1063;&#1045;&#1053;&#1040;&#1071;%20&#1076;&#1086;&#1084;&#1072;&#1096;&#1085;&#1103;&#1103;%20&#1082;&#1086;&#1083;&#1073;&#1072;&#1089;&#1072;%20&#1043;&#1054;&#1057;&#1058;%201938.mp4" TargetMode="External"/><Relationship Id="rId102" Type="http://schemas.openxmlformats.org/officeDocument/2006/relationships/hyperlink" Target="../../../../Video/&#1050;&#1086;&#1083;&#1073;&#1072;&#1089;&#1072;_&#1088;&#1077;&#1094;&#1077;&#1087;&#1090;&#1099;/&#1057;&#1077;&#1083;&#1100;&#1076;&#1100;%20&#1087;&#1088;&#1103;&#1085;&#1086;&#1075;&#1086;%20&#1087;&#1086;&#1089;&#1086;&#1083;&#1072;.%20&#1056;&#1077;&#1094;&#1077;&#1087;&#1090;&#1091;&#1088;&#1072;%20&#1076;&#1083;&#1103;%20&#1088;&#1072;&#1089;&#1089;&#1086;&#1083;&#1072;.%20&#1054;&#1090;&#1076;&#1077;&#1083;&#1077;&#1085;&#1080;&#1077;%20&#1092;&#1080;&#1083;&#1077;%20&#1086;&#1090;%20&#1082;&#1086;&#1089;&#1090;&#1077;&#1081;.mp4" TargetMode="External"/><Relationship Id="rId144" Type="http://schemas.openxmlformats.org/officeDocument/2006/relationships/hyperlink" Target="https://www.youtube.com/watch?v=zgSpESIhaR0" TargetMode="External"/><Relationship Id="rId90" Type="http://schemas.openxmlformats.org/officeDocument/2006/relationships/hyperlink" Target="../../../../Video/&#1050;&#1086;&#1083;&#1073;&#1072;&#1089;&#1072;_&#1088;&#1077;&#1094;&#1077;&#1087;&#1090;&#1099;/&#1057;&#1072;&#1083;&#1103;&#1084;&#1080;%20&#1052;&#1080;&#1083;&#1072;&#1085;&#1086;%20&#1089;&#1086;%20&#1089;&#1090;&#1072;&#1088;&#1090;&#1086;&#1074;&#1099;&#1084;&#1080;%20&#1082;&#1091;&#1083;&#1100;&#1090;&#1091;&#1088;&#1072;&#1084;&#1080;.mp4" TargetMode="External"/><Relationship Id="rId186" Type="http://schemas.openxmlformats.org/officeDocument/2006/relationships/hyperlink" Target="https://www.youtube.com/watch?v=fvRBCLYYmZM" TargetMode="External"/><Relationship Id="rId351" Type="http://schemas.openxmlformats.org/officeDocument/2006/relationships/hyperlink" Target="https://www.youtube.com/watch?v=l6XNRcGn3jI" TargetMode="External"/><Relationship Id="rId393" Type="http://schemas.openxmlformats.org/officeDocument/2006/relationships/hyperlink" Target="https://1000.menu/cooking/42853-pelmeni-domashnie-klassicheskie" TargetMode="External"/><Relationship Id="rId407" Type="http://schemas.openxmlformats.org/officeDocument/2006/relationships/hyperlink" Target="https://www.youtube.com/watch?v=PwFXCb96LRQ&amp;t=445s" TargetMode="External"/><Relationship Id="rId211" Type="http://schemas.openxmlformats.org/officeDocument/2006/relationships/hyperlink" Target="https://www.youtube.com/watch?v=UL8b1lAjZi8" TargetMode="External"/><Relationship Id="rId253" Type="http://schemas.openxmlformats.org/officeDocument/2006/relationships/hyperlink" Target="../../../../Video/&#1050;&#1086;&#1083;&#1073;&#1072;&#1089;&#1072;_&#1088;&#1077;&#1094;&#1077;&#1087;&#1090;&#1099;/&#1050;&#1072;&#1073;&#1072;&#1085;&#1086;&#1089;&#1099;%20(Kabanosy)%20&#1074;%20&#1076;&#1086;&#1084;&#1072;&#1096;&#1085;&#1080;&#1093;%20&#1091;&#1089;&#1083;&#1086;&#1074;&#1080;&#1103;&#1093;.mp4" TargetMode="External"/><Relationship Id="rId295" Type="http://schemas.openxmlformats.org/officeDocument/2006/relationships/hyperlink" Target="../../../../Video/&#1050;&#1086;&#1083;&#1073;&#1072;&#1089;&#1072;_&#1088;&#1077;&#1094;&#1077;&#1087;&#1090;&#1099;/&#1056;&#1054;&#1047;&#1067;&#1043;&#1056;&#1067;&#1064;%20&#1080;%20&#1040;&#1050;&#1062;&#1048;&#1071;.%20&#1052;&#1086;&#1088;&#1090;&#1072;&#1076;&#1077;&#1083;&#1083;&#1072;%20&#1074;%20&#1076;&#1091;&#1093;&#1086;&#1074;&#1082;&#1077;%20+%20&#1088;&#1077;&#1094;&#1077;&#1087;&#1090;&#1091;&#1088;&#1072;%20&#1089;&#1099;&#1088;&#1086;&#1074;&#1103;&#1083;&#1077;&#1085;&#1086;&#1081;%20&#1051;&#1091;&#1082;&#1072;&#1085;&#1082;&#1080;,%20&#1074;&#1103;&#1083;&#1080;&#1084;%20&#1074;%20&#1093;&#1086;&#1083;&#1086;&#1076;&#1080;&#1083;&#1100;&#1085;&#1080;&#1082;&#1077;.mp4" TargetMode="External"/><Relationship Id="rId309" Type="http://schemas.openxmlformats.org/officeDocument/2006/relationships/hyperlink" Target="../../../../Video/&#1050;&#1086;&#1083;&#1073;&#1072;&#1089;&#1072;_&#1088;&#1077;&#1094;&#1077;&#1087;&#1090;&#1099;/&#1051;&#1091;&#1082;&#1072;&#1085;&#1082;&#1072;%20&#1073;&#1086;&#1083;&#1075;&#1072;&#1088;&#1089;&#1082;&#1072;&#1103;.%20&#1040;&#1076;&#1072;&#1087;&#1090;&#1080;&#1088;&#1086;&#1074;&#1072;&#1085;&#1085;&#1099;&#1081;%20&#1088;&#1077;&#1094;&#1077;&#1087;&#1090;%20&#1076;&#1083;&#1103;%20&#1085;&#1072;&#1095;&#1080;&#1085;&#1072;&#1102;&#1097;&#1080;&#1093;.mp4" TargetMode="External"/><Relationship Id="rId48" Type="http://schemas.openxmlformats.org/officeDocument/2006/relationships/hyperlink" Target="../../../../Video/&#1050;&#1086;&#1083;&#1073;&#1072;&#1089;&#1072;_&#1088;&#1077;&#1094;&#1077;&#1087;&#1090;&#1099;/&#1044;&#1086;&#1084;&#1072;&#1096;&#1085;&#1080;&#1077;%20&#1082;&#1091;&#1088;&#1080;&#1085;&#1099;&#1077;%20&#1089;&#1086;&#1089;&#1080;&#1089;&#1082;&#1080;%20&#1089;%20&#1090;&#1074;&#1077;&#1088;&#1076;&#1099;&#1084;%20&#1089;&#1099;&#1088;&#1086;&#1084;.mp4" TargetMode="External"/><Relationship Id="rId113" Type="http://schemas.openxmlformats.org/officeDocument/2006/relationships/hyperlink" Target="https://www.youtube.com/watch?v=AUk8hq2wdRI" TargetMode="External"/><Relationship Id="rId320" Type="http://schemas.openxmlformats.org/officeDocument/2006/relationships/hyperlink" Target="https://www.youtube.com/watch?v=9kQSi1-fvXM" TargetMode="External"/><Relationship Id="rId155" Type="http://schemas.openxmlformats.org/officeDocument/2006/relationships/hyperlink" Target="../../../../Video/&#1050;&#1086;&#1083;&#1073;&#1072;&#1089;&#1072;_&#1088;&#1077;&#1094;&#1077;&#1087;&#1090;&#1099;/&#1044;&#1077;&#1083;&#1072;&#1077;&#1084;%20&#1060;&#1059;&#1069;&#1058;%20&#8212;%20&#1080;&#1089;&#1087;&#1072;&#1085;&#1089;&#1082;&#1072;&#1103;%20&#1089;&#1099;&#1088;&#1086;&#1074;&#1103;&#1083;&#1077;&#1085;&#1072;&#1103;%20&#1082;&#1086;&#1083;&#1073;&#1072;&#1089;&#1072;%20&#1074;%20&#1087;&#1083;&#1077;&#1089;&#1077;&#1085;&#1080;.%20FUET.mp4" TargetMode="External"/><Relationship Id="rId197" Type="http://schemas.openxmlformats.org/officeDocument/2006/relationships/hyperlink" Target="https://www.youtube.com/watch?v=sOpq7K5NJdk" TargetMode="External"/><Relationship Id="rId362" Type="http://schemas.openxmlformats.org/officeDocument/2006/relationships/hyperlink" Target="https://www.youtube.com/watch?v=mp6IBTJIyGA" TargetMode="External"/><Relationship Id="rId418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Relationship Id="rId4" Type="http://schemas.microsoft.com/office/2007/relationships/slicer" Target="../slicers/slicer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Relationship Id="rId4" Type="http://schemas.microsoft.com/office/2007/relationships/slicer" Target="../slicers/slicer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F25E1-E24D-45C2-B515-B3898E9E008A}">
  <sheetPr codeName="Лист1"/>
  <dimension ref="A1:M25"/>
  <sheetViews>
    <sheetView workbookViewId="0">
      <selection activeCell="G6" sqref="G6"/>
    </sheetView>
  </sheetViews>
  <sheetFormatPr defaultRowHeight="15" x14ac:dyDescent="0.25"/>
  <cols>
    <col min="3" max="3" width="13.7109375" customWidth="1"/>
    <col min="5" max="5" width="23.7109375" bestFit="1" customWidth="1"/>
    <col min="6" max="7" width="9.5703125" style="5" bestFit="1" customWidth="1"/>
    <col min="10" max="10" width="40.140625" bestFit="1" customWidth="1"/>
    <col min="11" max="11" width="37.7109375" bestFit="1" customWidth="1"/>
  </cols>
  <sheetData>
    <row r="1" spans="1:13" x14ac:dyDescent="0.25">
      <c r="A1" s="3" t="s">
        <v>0</v>
      </c>
      <c r="C1" t="s">
        <v>1</v>
      </c>
      <c r="E1" t="s">
        <v>2</v>
      </c>
      <c r="F1" s="5" t="s">
        <v>3</v>
      </c>
      <c r="G1" s="5" t="s">
        <v>4</v>
      </c>
      <c r="J1" t="s">
        <v>5</v>
      </c>
      <c r="K1" t="s">
        <v>6</v>
      </c>
    </row>
    <row r="2" spans="1:13" x14ac:dyDescent="0.25">
      <c r="A2" s="2" t="s">
        <v>7</v>
      </c>
      <c r="C2" t="s">
        <v>8</v>
      </c>
      <c r="E2" t="s">
        <v>9</v>
      </c>
      <c r="F2" s="5">
        <v>0.15</v>
      </c>
      <c r="G2" s="5">
        <v>0.7</v>
      </c>
      <c r="J2" t="s">
        <v>10</v>
      </c>
      <c r="K2" t="s">
        <v>11</v>
      </c>
      <c r="M2" s="27"/>
    </row>
    <row r="3" spans="1:13" x14ac:dyDescent="0.25">
      <c r="A3" t="s">
        <v>12</v>
      </c>
      <c r="C3" t="s">
        <v>13</v>
      </c>
      <c r="E3" t="s">
        <v>5</v>
      </c>
      <c r="F3" s="5">
        <v>0.15</v>
      </c>
      <c r="G3" s="5">
        <v>0.9</v>
      </c>
      <c r="J3" t="s">
        <v>14</v>
      </c>
      <c r="K3" t="s">
        <v>15</v>
      </c>
    </row>
    <row r="4" spans="1:13" x14ac:dyDescent="0.25">
      <c r="A4" s="1" t="s">
        <v>16</v>
      </c>
      <c r="C4" t="s">
        <v>17</v>
      </c>
      <c r="E4" t="s">
        <v>18</v>
      </c>
      <c r="F4" s="5">
        <v>0.05</v>
      </c>
      <c r="G4" s="5">
        <v>0.5</v>
      </c>
      <c r="J4" t="s">
        <v>19</v>
      </c>
      <c r="K4" t="s">
        <v>10</v>
      </c>
    </row>
    <row r="5" spans="1:13" x14ac:dyDescent="0.25">
      <c r="A5" t="s">
        <v>20</v>
      </c>
      <c r="C5" t="s">
        <v>21</v>
      </c>
      <c r="E5" t="s">
        <v>22</v>
      </c>
      <c r="F5" s="5">
        <v>0.35</v>
      </c>
      <c r="G5" s="5">
        <v>2</v>
      </c>
      <c r="J5" t="s">
        <v>23</v>
      </c>
      <c r="K5" t="s">
        <v>24</v>
      </c>
    </row>
    <row r="6" spans="1:13" x14ac:dyDescent="0.25">
      <c r="A6" s="1" t="s">
        <v>25</v>
      </c>
      <c r="C6" t="s">
        <v>26</v>
      </c>
      <c r="E6" t="s">
        <v>27</v>
      </c>
      <c r="F6" s="5">
        <v>0.35</v>
      </c>
      <c r="G6" s="5">
        <v>2</v>
      </c>
      <c r="J6" t="s">
        <v>28</v>
      </c>
      <c r="K6" t="s">
        <v>29</v>
      </c>
    </row>
    <row r="7" spans="1:13" x14ac:dyDescent="0.25">
      <c r="A7" t="s">
        <v>13</v>
      </c>
      <c r="C7" t="s">
        <v>30</v>
      </c>
      <c r="E7" t="s">
        <v>6</v>
      </c>
      <c r="F7" s="5">
        <v>0.15</v>
      </c>
      <c r="G7" s="5">
        <v>1</v>
      </c>
      <c r="J7" t="s">
        <v>31</v>
      </c>
    </row>
    <row r="8" spans="1:13" x14ac:dyDescent="0.25">
      <c r="A8" s="1" t="s">
        <v>32</v>
      </c>
      <c r="E8" t="s">
        <v>33</v>
      </c>
      <c r="F8" s="5">
        <v>0.1</v>
      </c>
      <c r="G8" s="5">
        <v>0.9</v>
      </c>
    </row>
    <row r="9" spans="1:13" x14ac:dyDescent="0.25">
      <c r="A9" t="s">
        <v>34</v>
      </c>
      <c r="E9" t="s">
        <v>26</v>
      </c>
      <c r="F9" s="5">
        <v>0.92</v>
      </c>
      <c r="G9" s="5">
        <v>3</v>
      </c>
    </row>
    <row r="10" spans="1:13" x14ac:dyDescent="0.25">
      <c r="E10" t="s">
        <v>30</v>
      </c>
      <c r="F10" s="5">
        <v>0.05</v>
      </c>
      <c r="G10" s="5">
        <v>0.5</v>
      </c>
    </row>
    <row r="25" spans="11:11" x14ac:dyDescent="0.25">
      <c r="K25" t="s">
        <v>35</v>
      </c>
    </row>
  </sheetData>
  <hyperlinks>
    <hyperlink ref="K25" r:id="rId1" xr:uid="{29A641AC-E525-464B-B97E-8CC0834EDC8A}"/>
  </hyperlinks>
  <pageMargins left="0.7" right="0.7" top="0.75" bottom="0.75" header="0.3" footer="0.3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>
    <tabColor rgb="FF92D050"/>
  </sheetPr>
  <dimension ref="A1:L114"/>
  <sheetViews>
    <sheetView showGridLines="0" workbookViewId="0">
      <pane ySplit="1" topLeftCell="A2" activePane="bottomLeft" state="frozen"/>
      <selection activeCell="C1" sqref="C1"/>
      <selection pane="bottomLeft" activeCell="H37" sqref="H37"/>
    </sheetView>
  </sheetViews>
  <sheetFormatPr defaultColWidth="9.140625" defaultRowHeight="15" x14ac:dyDescent="0.25"/>
  <cols>
    <col min="1" max="1" width="25.7109375" customWidth="1"/>
    <col min="2" max="2" width="7.5703125" customWidth="1"/>
    <col min="3" max="3" width="6.85546875" style="4" bestFit="1" customWidth="1"/>
    <col min="4" max="4" width="10.140625" style="4" bestFit="1" customWidth="1"/>
    <col min="5" max="5" width="7.7109375" customWidth="1"/>
    <col min="6" max="6" width="11.140625" style="36" customWidth="1"/>
    <col min="7" max="7" width="9.140625" style="11" customWidth="1"/>
    <col min="8" max="8" width="13.7109375" style="4" customWidth="1"/>
    <col min="9" max="9" width="4.28515625" customWidth="1"/>
    <col min="10" max="10" width="8.140625" style="10" bestFit="1" customWidth="1"/>
    <col min="11" max="11" width="9.140625" bestFit="1" customWidth="1"/>
  </cols>
  <sheetData>
    <row r="1" spans="1:10" x14ac:dyDescent="0.25">
      <c r="A1" t="s">
        <v>36</v>
      </c>
      <c r="B1" t="s">
        <v>0</v>
      </c>
      <c r="C1" s="4" t="s">
        <v>37</v>
      </c>
      <c r="D1" s="4" t="s">
        <v>38</v>
      </c>
      <c r="E1" t="s">
        <v>39</v>
      </c>
      <c r="F1" s="36" t="s">
        <v>40</v>
      </c>
      <c r="G1" s="11" t="s">
        <v>41</v>
      </c>
      <c r="H1" s="4" t="s">
        <v>42</v>
      </c>
      <c r="I1" t="s">
        <v>43</v>
      </c>
      <c r="J1" s="10" t="s">
        <v>44</v>
      </c>
    </row>
    <row r="2" spans="1:10" x14ac:dyDescent="0.25">
      <c r="A2" t="s">
        <v>45</v>
      </c>
      <c r="B2" t="s">
        <v>32</v>
      </c>
      <c r="C2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0.39999000000000001</v>
      </c>
      <c r="D2" s="4" t="s">
        <v>46</v>
      </c>
      <c r="E2" t="s">
        <v>47</v>
      </c>
      <c r="G2" s="11">
        <v>1000</v>
      </c>
      <c r="H2" s="4">
        <v>399.99</v>
      </c>
      <c r="I2" t="s">
        <v>48</v>
      </c>
    </row>
    <row r="3" spans="1:10" x14ac:dyDescent="0.25">
      <c r="A3" t="s">
        <v>49</v>
      </c>
      <c r="B3" t="s">
        <v>32</v>
      </c>
      <c r="C3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0.36899999999999999</v>
      </c>
      <c r="D3" s="4" t="s">
        <v>46</v>
      </c>
      <c r="E3" t="s">
        <v>50</v>
      </c>
      <c r="G3" s="11">
        <v>1000</v>
      </c>
      <c r="H3" s="4">
        <v>369</v>
      </c>
      <c r="I3" t="s">
        <v>51</v>
      </c>
    </row>
    <row r="4" spans="1:10" x14ac:dyDescent="0.25">
      <c r="A4" t="s">
        <v>52</v>
      </c>
      <c r="B4" t="s">
        <v>32</v>
      </c>
      <c r="C4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0.36899999999999999</v>
      </c>
      <c r="D4" s="4" t="s">
        <v>46</v>
      </c>
      <c r="E4" t="s">
        <v>47</v>
      </c>
      <c r="G4" s="11">
        <v>1000</v>
      </c>
      <c r="H4" s="4">
        <v>369</v>
      </c>
      <c r="I4" t="s">
        <v>48</v>
      </c>
    </row>
    <row r="5" spans="1:10" x14ac:dyDescent="0.25">
      <c r="A5" t="s">
        <v>53</v>
      </c>
      <c r="B5" t="s">
        <v>32</v>
      </c>
      <c r="C5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0.57999999999999996</v>
      </c>
      <c r="D5" s="4" t="s">
        <v>46</v>
      </c>
      <c r="E5" t="s">
        <v>47</v>
      </c>
      <c r="G5" s="11">
        <v>1000</v>
      </c>
      <c r="H5" s="4">
        <v>580</v>
      </c>
      <c r="I5" t="s">
        <v>48</v>
      </c>
    </row>
    <row r="6" spans="1:10" x14ac:dyDescent="0.25">
      <c r="A6" t="s">
        <v>54</v>
      </c>
      <c r="B6" t="s">
        <v>32</v>
      </c>
      <c r="C6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0.42998999999999998</v>
      </c>
      <c r="D6" s="4" t="s">
        <v>46</v>
      </c>
      <c r="E6" t="s">
        <v>47</v>
      </c>
      <c r="G6" s="11">
        <v>1000</v>
      </c>
      <c r="H6" s="4">
        <v>429.99</v>
      </c>
      <c r="I6" t="s">
        <v>48</v>
      </c>
    </row>
    <row r="7" spans="1:10" x14ac:dyDescent="0.25">
      <c r="A7" t="s">
        <v>55</v>
      </c>
      <c r="B7" t="s">
        <v>32</v>
      </c>
      <c r="C7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0.28999000000000003</v>
      </c>
      <c r="D7" s="4" t="s">
        <v>46</v>
      </c>
      <c r="E7" t="s">
        <v>47</v>
      </c>
      <c r="F7" s="28" t="s">
        <v>630</v>
      </c>
      <c r="G7" s="11">
        <v>1000</v>
      </c>
      <c r="H7" s="4">
        <v>289.99</v>
      </c>
      <c r="I7" t="s">
        <v>48</v>
      </c>
    </row>
    <row r="8" spans="1:10" x14ac:dyDescent="0.25">
      <c r="A8" t="s">
        <v>56</v>
      </c>
      <c r="B8" t="s">
        <v>32</v>
      </c>
      <c r="C8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0.27999000000000002</v>
      </c>
      <c r="D8" s="4" t="s">
        <v>46</v>
      </c>
      <c r="E8" t="s">
        <v>47</v>
      </c>
      <c r="F8" s="29" t="s">
        <v>57</v>
      </c>
      <c r="G8" s="11">
        <v>1000</v>
      </c>
      <c r="H8" s="4">
        <v>279.99</v>
      </c>
      <c r="I8" t="s">
        <v>48</v>
      </c>
    </row>
    <row r="9" spans="1:10" x14ac:dyDescent="0.25">
      <c r="A9" t="s">
        <v>58</v>
      </c>
      <c r="B9" t="s">
        <v>32</v>
      </c>
      <c r="C9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0.3</v>
      </c>
      <c r="D9" s="4" t="s">
        <v>46</v>
      </c>
      <c r="E9" t="s">
        <v>59</v>
      </c>
      <c r="G9" s="11">
        <v>1000</v>
      </c>
      <c r="H9" s="4">
        <v>300</v>
      </c>
      <c r="I9" t="s">
        <v>51</v>
      </c>
    </row>
    <row r="10" spans="1:10" x14ac:dyDescent="0.25">
      <c r="A10" t="s">
        <v>60</v>
      </c>
      <c r="B10" t="s">
        <v>32</v>
      </c>
      <c r="C10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0.3</v>
      </c>
      <c r="D10" s="4" t="s">
        <v>46</v>
      </c>
      <c r="E10" t="s">
        <v>59</v>
      </c>
      <c r="G10" s="11">
        <v>1000</v>
      </c>
      <c r="H10" s="4">
        <v>300</v>
      </c>
      <c r="I10" t="s">
        <v>48</v>
      </c>
    </row>
    <row r="11" spans="1:10" x14ac:dyDescent="0.25">
      <c r="A11" t="s">
        <v>61</v>
      </c>
      <c r="B11" t="s">
        <v>32</v>
      </c>
      <c r="C11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0.3</v>
      </c>
      <c r="D11" s="4" t="s">
        <v>46</v>
      </c>
      <c r="E11" t="s">
        <v>62</v>
      </c>
      <c r="G11" s="11">
        <v>1000</v>
      </c>
      <c r="H11" s="4">
        <v>300</v>
      </c>
      <c r="I11" t="s">
        <v>48</v>
      </c>
    </row>
    <row r="12" spans="1:10" x14ac:dyDescent="0.25">
      <c r="A12" t="s">
        <v>63</v>
      </c>
      <c r="B12" t="s">
        <v>32</v>
      </c>
      <c r="C12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0.1</v>
      </c>
      <c r="D12" s="4" t="s">
        <v>46</v>
      </c>
      <c r="E12" t="s">
        <v>62</v>
      </c>
      <c r="G12" s="11">
        <v>1000</v>
      </c>
      <c r="H12" s="4">
        <v>100</v>
      </c>
      <c r="I12" t="s">
        <v>51</v>
      </c>
    </row>
    <row r="13" spans="1:10" x14ac:dyDescent="0.25">
      <c r="A13" t="s">
        <v>12</v>
      </c>
      <c r="B13" t="s">
        <v>12</v>
      </c>
      <c r="C13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0.70999000000000001</v>
      </c>
      <c r="D13" s="4" t="s">
        <v>46</v>
      </c>
      <c r="E13" t="s">
        <v>47</v>
      </c>
      <c r="G13" s="11">
        <v>1000</v>
      </c>
      <c r="H13" s="4">
        <v>709.99</v>
      </c>
      <c r="I13" t="s">
        <v>51</v>
      </c>
    </row>
    <row r="14" spans="1:10" x14ac:dyDescent="0.25">
      <c r="A14" t="s">
        <v>64</v>
      </c>
      <c r="B14" t="s">
        <v>12</v>
      </c>
      <c r="C14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1.09999</v>
      </c>
      <c r="D14" s="4" t="s">
        <v>46</v>
      </c>
      <c r="E14" t="s">
        <v>47</v>
      </c>
      <c r="G14" s="11">
        <v>1000</v>
      </c>
      <c r="H14" s="4">
        <v>1099.99</v>
      </c>
      <c r="I14" t="s">
        <v>48</v>
      </c>
    </row>
    <row r="15" spans="1:10" x14ac:dyDescent="0.25">
      <c r="A15" t="s">
        <v>65</v>
      </c>
      <c r="B15" t="s">
        <v>12</v>
      </c>
      <c r="C15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0.25</v>
      </c>
      <c r="D15" s="4" t="s">
        <v>46</v>
      </c>
      <c r="E15" t="s">
        <v>66</v>
      </c>
      <c r="G15" s="11">
        <v>1000</v>
      </c>
      <c r="H15" s="4">
        <v>250</v>
      </c>
      <c r="I15" t="s">
        <v>48</v>
      </c>
    </row>
    <row r="16" spans="1:10" x14ac:dyDescent="0.25">
      <c r="A16" t="s">
        <v>7</v>
      </c>
      <c r="B16" t="s">
        <v>7</v>
      </c>
      <c r="C16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0.70588235294117641</v>
      </c>
      <c r="D16" s="4" t="s">
        <v>46</v>
      </c>
      <c r="E16" t="s">
        <v>59</v>
      </c>
      <c r="G16" s="11">
        <v>1000</v>
      </c>
      <c r="H16" s="4">
        <v>480</v>
      </c>
      <c r="I16" t="s">
        <v>48</v>
      </c>
      <c r="J16" s="10">
        <v>0.68</v>
      </c>
    </row>
    <row r="17" spans="1:12" x14ac:dyDescent="0.25">
      <c r="A17" t="s">
        <v>645</v>
      </c>
      <c r="B17" t="s">
        <v>25</v>
      </c>
      <c r="C17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0.9</v>
      </c>
      <c r="D17" s="4" t="s">
        <v>46</v>
      </c>
      <c r="G17" s="11">
        <v>1000</v>
      </c>
      <c r="H17" s="4">
        <v>900</v>
      </c>
    </row>
    <row r="18" spans="1:12" x14ac:dyDescent="0.25">
      <c r="A18" t="s">
        <v>67</v>
      </c>
      <c r="B18" t="s">
        <v>25</v>
      </c>
      <c r="C18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0.2</v>
      </c>
      <c r="D18" s="4" t="s">
        <v>46</v>
      </c>
      <c r="E18" t="s">
        <v>47</v>
      </c>
      <c r="F18" s="29" t="s">
        <v>68</v>
      </c>
      <c r="G18" s="11">
        <v>1000</v>
      </c>
      <c r="H18" s="4">
        <v>200</v>
      </c>
      <c r="I18" t="s">
        <v>51</v>
      </c>
    </row>
    <row r="19" spans="1:12" x14ac:dyDescent="0.25">
      <c r="A19" t="s">
        <v>69</v>
      </c>
      <c r="B19" t="s">
        <v>25</v>
      </c>
      <c r="C19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0.27999000000000002</v>
      </c>
      <c r="D19" s="4" t="s">
        <v>46</v>
      </c>
      <c r="E19" t="s">
        <v>47</v>
      </c>
      <c r="G19" s="11">
        <v>1000</v>
      </c>
      <c r="H19" s="4">
        <v>279.99</v>
      </c>
      <c r="I19" t="s">
        <v>48</v>
      </c>
    </row>
    <row r="20" spans="1:12" x14ac:dyDescent="0.25">
      <c r="A20" t="s">
        <v>70</v>
      </c>
      <c r="B20" t="s">
        <v>25</v>
      </c>
      <c r="C20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0.26117647058823529</v>
      </c>
      <c r="D20" s="4" t="s">
        <v>46</v>
      </c>
      <c r="E20" t="s">
        <v>47</v>
      </c>
      <c r="G20" s="11">
        <v>1000</v>
      </c>
      <c r="H20" s="4">
        <v>222</v>
      </c>
      <c r="I20" t="s">
        <v>48</v>
      </c>
      <c r="J20" s="10">
        <v>0.85</v>
      </c>
    </row>
    <row r="21" spans="1:12" x14ac:dyDescent="0.25">
      <c r="A21" t="s">
        <v>71</v>
      </c>
      <c r="B21" t="s">
        <v>25</v>
      </c>
      <c r="C21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0.56999</v>
      </c>
      <c r="D21" s="4" t="s">
        <v>46</v>
      </c>
      <c r="E21" t="s">
        <v>47</v>
      </c>
      <c r="G21" s="11">
        <v>1000</v>
      </c>
      <c r="H21" s="4">
        <v>569.99</v>
      </c>
      <c r="I21" t="s">
        <v>48</v>
      </c>
    </row>
    <row r="22" spans="1:12" x14ac:dyDescent="0.25">
      <c r="A22" t="s">
        <v>72</v>
      </c>
      <c r="B22" t="s">
        <v>13</v>
      </c>
      <c r="C22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0.42499999999999999</v>
      </c>
      <c r="D22" s="4" t="s">
        <v>46</v>
      </c>
      <c r="E22" t="s">
        <v>47</v>
      </c>
      <c r="G22" s="11">
        <v>1000</v>
      </c>
      <c r="H22" s="4">
        <v>340</v>
      </c>
      <c r="I22" t="s">
        <v>48</v>
      </c>
      <c r="J22" s="10">
        <v>0.8</v>
      </c>
    </row>
    <row r="23" spans="1:12" x14ac:dyDescent="0.25">
      <c r="A23" t="s">
        <v>73</v>
      </c>
      <c r="B23" t="s">
        <v>13</v>
      </c>
      <c r="C23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0.37855714285714287</v>
      </c>
      <c r="D23" s="4" t="s">
        <v>46</v>
      </c>
      <c r="E23" t="s">
        <v>47</v>
      </c>
      <c r="G23" s="11">
        <v>1000</v>
      </c>
      <c r="H23" s="4">
        <v>264.99</v>
      </c>
      <c r="I23" t="s">
        <v>48</v>
      </c>
      <c r="J23" s="10">
        <v>0.7</v>
      </c>
    </row>
    <row r="24" spans="1:12" x14ac:dyDescent="0.25">
      <c r="A24" t="s">
        <v>74</v>
      </c>
      <c r="B24" t="s">
        <v>13</v>
      </c>
      <c r="C24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0.34285714285714286</v>
      </c>
      <c r="D24" s="4" t="s">
        <v>46</v>
      </c>
      <c r="E24" t="s">
        <v>47</v>
      </c>
      <c r="G24" s="11">
        <v>1000</v>
      </c>
      <c r="H24" s="4">
        <v>240</v>
      </c>
      <c r="I24" t="s">
        <v>48</v>
      </c>
      <c r="J24" s="10">
        <v>0.7</v>
      </c>
    </row>
    <row r="25" spans="1:12" x14ac:dyDescent="0.25">
      <c r="A25" t="s">
        <v>75</v>
      </c>
      <c r="B25" t="s">
        <v>13</v>
      </c>
      <c r="C25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0.49998333333333339</v>
      </c>
      <c r="D25" s="4" t="s">
        <v>46</v>
      </c>
      <c r="E25" t="s">
        <v>47</v>
      </c>
      <c r="G25" s="11">
        <v>1000</v>
      </c>
      <c r="H25" s="4">
        <v>299.99</v>
      </c>
      <c r="I25" t="s">
        <v>51</v>
      </c>
      <c r="J25" s="10">
        <v>0.6</v>
      </c>
    </row>
    <row r="26" spans="1:12" x14ac:dyDescent="0.25">
      <c r="A26" t="s">
        <v>76</v>
      </c>
      <c r="B26" t="s">
        <v>13</v>
      </c>
      <c r="C26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0.66666666666666674</v>
      </c>
      <c r="D26" s="4" t="s">
        <v>46</v>
      </c>
      <c r="G26" s="11">
        <v>1000</v>
      </c>
      <c r="H26" s="4">
        <v>400</v>
      </c>
      <c r="I26" t="s">
        <v>51</v>
      </c>
      <c r="J26" s="10">
        <v>0.6</v>
      </c>
    </row>
    <row r="27" spans="1:12" x14ac:dyDescent="0.25">
      <c r="A27" t="s">
        <v>77</v>
      </c>
      <c r="B27" t="s">
        <v>13</v>
      </c>
      <c r="C27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0.25</v>
      </c>
      <c r="D27" s="4" t="s">
        <v>46</v>
      </c>
      <c r="E27" t="s">
        <v>59</v>
      </c>
      <c r="G27" s="11">
        <v>1000</v>
      </c>
      <c r="H27" s="4">
        <v>150</v>
      </c>
      <c r="I27" t="s">
        <v>51</v>
      </c>
      <c r="J27" s="10">
        <v>0.6</v>
      </c>
    </row>
    <row r="28" spans="1:12" x14ac:dyDescent="0.25">
      <c r="A28" t="s">
        <v>78</v>
      </c>
      <c r="B28" t="s">
        <v>13</v>
      </c>
      <c r="C28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0.30769230769230771</v>
      </c>
      <c r="D28" s="4" t="s">
        <v>46</v>
      </c>
      <c r="E28" t="s">
        <v>59</v>
      </c>
      <c r="F28" s="29"/>
      <c r="G28" s="11">
        <v>1000</v>
      </c>
      <c r="H28" s="4">
        <v>200</v>
      </c>
      <c r="I28" t="s">
        <v>51</v>
      </c>
      <c r="J28" s="10">
        <v>0.65</v>
      </c>
    </row>
    <row r="29" spans="1:12" x14ac:dyDescent="0.25">
      <c r="A29" t="s">
        <v>79</v>
      </c>
      <c r="B29" t="s">
        <v>13</v>
      </c>
      <c r="C29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1.3737499999999998</v>
      </c>
      <c r="D29" s="4" t="s">
        <v>46</v>
      </c>
      <c r="E29" t="s">
        <v>47</v>
      </c>
      <c r="F29" s="29" t="s">
        <v>80</v>
      </c>
      <c r="G29" s="11">
        <v>1000</v>
      </c>
      <c r="H29" s="4">
        <v>1099</v>
      </c>
      <c r="I29" t="s">
        <v>48</v>
      </c>
      <c r="J29" s="10">
        <v>0.8</v>
      </c>
    </row>
    <row r="30" spans="1:12" x14ac:dyDescent="0.25">
      <c r="A30" t="s">
        <v>644</v>
      </c>
      <c r="B30" t="s">
        <v>16</v>
      </c>
      <c r="C30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0.24444444444444444</v>
      </c>
      <c r="D30" s="4" t="s">
        <v>46</v>
      </c>
      <c r="G30" s="11">
        <v>900</v>
      </c>
      <c r="H30" s="4">
        <v>220</v>
      </c>
    </row>
    <row r="31" spans="1:12" x14ac:dyDescent="0.25">
      <c r="A31" t="s">
        <v>81</v>
      </c>
      <c r="B31" t="s">
        <v>16</v>
      </c>
      <c r="C31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4.1250000000000002E-2</v>
      </c>
      <c r="D31" s="4" t="s">
        <v>46</v>
      </c>
      <c r="E31" t="s">
        <v>47</v>
      </c>
      <c r="F31" s="29" t="s">
        <v>82</v>
      </c>
      <c r="G31" s="11">
        <v>800</v>
      </c>
      <c r="H31" s="4">
        <v>33</v>
      </c>
      <c r="I31" t="s">
        <v>51</v>
      </c>
    </row>
    <row r="32" spans="1:12" x14ac:dyDescent="0.25">
      <c r="A32" t="s">
        <v>83</v>
      </c>
      <c r="B32" t="s">
        <v>16</v>
      </c>
      <c r="C32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3.9990000000000005E-2</v>
      </c>
      <c r="D32" s="4" t="s">
        <v>46</v>
      </c>
      <c r="E32" t="s">
        <v>47</v>
      </c>
      <c r="F32" s="29" t="s">
        <v>84</v>
      </c>
      <c r="G32" s="11">
        <v>1000</v>
      </c>
      <c r="H32" s="4">
        <v>39.99</v>
      </c>
      <c r="I32" t="s">
        <v>51</v>
      </c>
      <c r="L32" s="28"/>
    </row>
    <row r="33" spans="1:10" x14ac:dyDescent="0.25">
      <c r="A33" t="s">
        <v>85</v>
      </c>
      <c r="B33" t="s">
        <v>16</v>
      </c>
      <c r="C33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6.6659999999999997E-2</v>
      </c>
      <c r="D33" s="4" t="s">
        <v>46</v>
      </c>
      <c r="E33" t="s">
        <v>86</v>
      </c>
      <c r="G33" s="11">
        <v>1000</v>
      </c>
      <c r="H33" s="4">
        <v>66.66</v>
      </c>
      <c r="I33" t="s">
        <v>51</v>
      </c>
    </row>
    <row r="34" spans="1:10" x14ac:dyDescent="0.25">
      <c r="A34" t="s">
        <v>87</v>
      </c>
      <c r="B34" t="s">
        <v>34</v>
      </c>
      <c r="C34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2.9989999999999999E-2</v>
      </c>
      <c r="D34" s="4" t="s">
        <v>88</v>
      </c>
      <c r="E34" t="s">
        <v>47</v>
      </c>
      <c r="F34" s="29" t="s">
        <v>89</v>
      </c>
      <c r="G34" s="11">
        <v>1000</v>
      </c>
      <c r="H34" s="4">
        <v>29.99</v>
      </c>
      <c r="I34" t="s">
        <v>51</v>
      </c>
    </row>
    <row r="35" spans="1:10" x14ac:dyDescent="0.25">
      <c r="A35" t="s">
        <v>90</v>
      </c>
      <c r="B35" t="s">
        <v>16</v>
      </c>
      <c r="C35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0.91666666666666663</v>
      </c>
      <c r="D35" s="4" t="s">
        <v>88</v>
      </c>
      <c r="E35" t="s">
        <v>47</v>
      </c>
      <c r="F35" s="29" t="s">
        <v>91</v>
      </c>
      <c r="G35" s="11">
        <v>180</v>
      </c>
      <c r="H35" s="4">
        <v>165</v>
      </c>
      <c r="I35" t="s">
        <v>51</v>
      </c>
    </row>
    <row r="36" spans="1:10" x14ac:dyDescent="0.25">
      <c r="A36" t="s">
        <v>92</v>
      </c>
      <c r="B36" t="s">
        <v>16</v>
      </c>
      <c r="C36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0.1111111111111111</v>
      </c>
      <c r="D36" s="4" t="s">
        <v>88</v>
      </c>
      <c r="E36" t="s">
        <v>47</v>
      </c>
      <c r="G36" s="11">
        <v>1800</v>
      </c>
      <c r="H36" s="4">
        <v>200</v>
      </c>
      <c r="I36" t="s">
        <v>51</v>
      </c>
    </row>
    <row r="37" spans="1:10" x14ac:dyDescent="0.25">
      <c r="A37" t="s">
        <v>93</v>
      </c>
      <c r="B37" t="s">
        <v>16</v>
      </c>
      <c r="C37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1E-3</v>
      </c>
      <c r="D37" s="4" t="s">
        <v>88</v>
      </c>
      <c r="E37" t="s">
        <v>62</v>
      </c>
      <c r="G37" s="11">
        <v>1000</v>
      </c>
      <c r="H37" s="4">
        <v>1</v>
      </c>
      <c r="I37" t="s">
        <v>51</v>
      </c>
    </row>
    <row r="38" spans="1:10" x14ac:dyDescent="0.25">
      <c r="A38" t="s">
        <v>94</v>
      </c>
      <c r="B38" t="s">
        <v>16</v>
      </c>
      <c r="C38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4.8399999999999999E-2</v>
      </c>
      <c r="D38" s="4" t="s">
        <v>88</v>
      </c>
      <c r="E38" t="s">
        <v>47</v>
      </c>
      <c r="F38" s="36" t="s">
        <v>95</v>
      </c>
      <c r="G38" s="11">
        <v>1000</v>
      </c>
      <c r="H38" s="4">
        <v>48.4</v>
      </c>
      <c r="I38" t="s">
        <v>51</v>
      </c>
    </row>
    <row r="39" spans="1:10" x14ac:dyDescent="0.25">
      <c r="A39" t="s">
        <v>96</v>
      </c>
      <c r="B39" t="s">
        <v>16</v>
      </c>
      <c r="C39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0.17299999999999999</v>
      </c>
      <c r="D39" s="4" t="s">
        <v>88</v>
      </c>
      <c r="E39" t="s">
        <v>97</v>
      </c>
      <c r="F39" s="36" t="s">
        <v>98</v>
      </c>
      <c r="G39" s="11">
        <v>1000</v>
      </c>
      <c r="H39" s="4">
        <v>173</v>
      </c>
      <c r="I39" t="s">
        <v>51</v>
      </c>
    </row>
    <row r="40" spans="1:10" x14ac:dyDescent="0.25">
      <c r="A40" t="s">
        <v>99</v>
      </c>
      <c r="B40" t="s">
        <v>16</v>
      </c>
      <c r="C40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0.17766666666666667</v>
      </c>
      <c r="D40" s="4" t="s">
        <v>88</v>
      </c>
      <c r="E40" t="s">
        <v>97</v>
      </c>
      <c r="F40" s="36" t="s">
        <v>100</v>
      </c>
      <c r="G40" s="11">
        <v>3000</v>
      </c>
      <c r="H40" s="4">
        <v>533</v>
      </c>
      <c r="I40" t="s">
        <v>51</v>
      </c>
    </row>
    <row r="41" spans="1:10" x14ac:dyDescent="0.25">
      <c r="A41" t="s">
        <v>101</v>
      </c>
      <c r="B41" t="s">
        <v>16</v>
      </c>
      <c r="C41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0.16500000000000001</v>
      </c>
      <c r="D41" s="4" t="s">
        <v>88</v>
      </c>
      <c r="E41" t="s">
        <v>47</v>
      </c>
      <c r="G41" s="11">
        <v>1000</v>
      </c>
      <c r="H41" s="4">
        <v>165</v>
      </c>
      <c r="I41" t="s">
        <v>51</v>
      </c>
    </row>
    <row r="42" spans="1:10" x14ac:dyDescent="0.25">
      <c r="A42" t="s">
        <v>102</v>
      </c>
      <c r="B42" t="s">
        <v>16</v>
      </c>
      <c r="C42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0.51700000000000002</v>
      </c>
      <c r="D42" s="4" t="s">
        <v>88</v>
      </c>
      <c r="E42" t="s">
        <v>47</v>
      </c>
      <c r="F42" s="36" t="s">
        <v>103</v>
      </c>
      <c r="G42" s="11">
        <v>1000</v>
      </c>
      <c r="H42" s="4">
        <v>517</v>
      </c>
      <c r="I42" t="s">
        <v>51</v>
      </c>
    </row>
    <row r="43" spans="1:10" x14ac:dyDescent="0.25">
      <c r="A43" t="s">
        <v>104</v>
      </c>
      <c r="B43" t="s">
        <v>16</v>
      </c>
      <c r="C43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0.53900000000000003</v>
      </c>
      <c r="D43" s="4" t="s">
        <v>88</v>
      </c>
      <c r="E43" t="s">
        <v>47</v>
      </c>
      <c r="F43" s="36" t="s">
        <v>105</v>
      </c>
      <c r="G43" s="11">
        <v>1000</v>
      </c>
      <c r="H43" s="4">
        <v>539</v>
      </c>
      <c r="I43" t="s">
        <v>48</v>
      </c>
    </row>
    <row r="44" spans="1:10" x14ac:dyDescent="0.25">
      <c r="A44" t="s">
        <v>106</v>
      </c>
      <c r="B44" t="s">
        <v>16</v>
      </c>
      <c r="C44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</v>
      </c>
      <c r="D44" s="4" t="s">
        <v>88</v>
      </c>
      <c r="G44" s="11">
        <v>500</v>
      </c>
      <c r="H44" s="4">
        <v>500</v>
      </c>
      <c r="I44" t="s">
        <v>48</v>
      </c>
    </row>
    <row r="45" spans="1:10" x14ac:dyDescent="0.25">
      <c r="A45" t="s">
        <v>107</v>
      </c>
      <c r="B45" t="s">
        <v>16</v>
      </c>
      <c r="C45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0.215</v>
      </c>
      <c r="D45" s="4" t="s">
        <v>88</v>
      </c>
      <c r="E45" t="s">
        <v>97</v>
      </c>
      <c r="F45" s="36" t="s">
        <v>108</v>
      </c>
      <c r="G45" s="11">
        <v>1000</v>
      </c>
      <c r="H45" s="4">
        <v>215</v>
      </c>
      <c r="I45" t="s">
        <v>48</v>
      </c>
    </row>
    <row r="46" spans="1:10" x14ac:dyDescent="0.25">
      <c r="A46" t="s">
        <v>109</v>
      </c>
      <c r="B46" t="s">
        <v>16</v>
      </c>
      <c r="C46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0.54900000000000004</v>
      </c>
      <c r="D46" s="4" t="s">
        <v>88</v>
      </c>
      <c r="E46" t="s">
        <v>47</v>
      </c>
      <c r="F46" s="36" t="s">
        <v>110</v>
      </c>
      <c r="G46" s="11">
        <v>1000</v>
      </c>
      <c r="H46" s="4">
        <v>549</v>
      </c>
      <c r="I46" t="s">
        <v>51</v>
      </c>
    </row>
    <row r="47" spans="1:10" x14ac:dyDescent="0.25">
      <c r="A47" t="s">
        <v>111</v>
      </c>
      <c r="B47" t="s">
        <v>16</v>
      </c>
      <c r="C47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2.1999999999999997</v>
      </c>
      <c r="D47" s="4" t="s">
        <v>88</v>
      </c>
      <c r="E47" t="s">
        <v>47</v>
      </c>
      <c r="F47" s="36" t="s">
        <v>112</v>
      </c>
      <c r="G47" s="11">
        <v>500</v>
      </c>
      <c r="H47" s="4">
        <v>880</v>
      </c>
      <c r="I47" t="s">
        <v>48</v>
      </c>
      <c r="J47" s="10">
        <v>0.8</v>
      </c>
    </row>
    <row r="48" spans="1:10" x14ac:dyDescent="0.25">
      <c r="A48" t="s">
        <v>113</v>
      </c>
      <c r="B48" t="s">
        <v>16</v>
      </c>
      <c r="C48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0.79998999999999998</v>
      </c>
      <c r="D48" s="4" t="s">
        <v>88</v>
      </c>
      <c r="E48" t="s">
        <v>47</v>
      </c>
      <c r="F48" s="36" t="s">
        <v>114</v>
      </c>
      <c r="G48" s="11">
        <v>1000</v>
      </c>
      <c r="H48" s="4">
        <v>799.99</v>
      </c>
      <c r="I48" t="s">
        <v>48</v>
      </c>
    </row>
    <row r="49" spans="1:9" x14ac:dyDescent="0.25">
      <c r="A49" t="s">
        <v>115</v>
      </c>
      <c r="B49" t="s">
        <v>16</v>
      </c>
      <c r="C49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9.0769230769230766</v>
      </c>
      <c r="D49" s="4" t="s">
        <v>88</v>
      </c>
      <c r="E49" t="s">
        <v>97</v>
      </c>
      <c r="F49" s="36" t="s">
        <v>116</v>
      </c>
      <c r="G49" s="11">
        <v>13</v>
      </c>
      <c r="H49" s="4">
        <v>118</v>
      </c>
      <c r="I49" t="s">
        <v>48</v>
      </c>
    </row>
    <row r="50" spans="1:9" x14ac:dyDescent="0.25">
      <c r="A50" t="s">
        <v>117</v>
      </c>
      <c r="B50" t="s">
        <v>16</v>
      </c>
      <c r="C50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1.006</v>
      </c>
      <c r="D50" s="4" t="s">
        <v>88</v>
      </c>
      <c r="E50" t="s">
        <v>97</v>
      </c>
      <c r="F50" s="36" t="s">
        <v>118</v>
      </c>
      <c r="G50" s="11">
        <v>500</v>
      </c>
      <c r="H50" s="4">
        <v>503</v>
      </c>
      <c r="I50" t="s">
        <v>48</v>
      </c>
    </row>
    <row r="51" spans="1:9" x14ac:dyDescent="0.25">
      <c r="A51" t="s">
        <v>119</v>
      </c>
      <c r="B51" t="s">
        <v>16</v>
      </c>
      <c r="C51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1.8120000000000001</v>
      </c>
      <c r="D51" s="4" t="s">
        <v>88</v>
      </c>
      <c r="E51" t="s">
        <v>97</v>
      </c>
      <c r="F51" s="36" t="s">
        <v>120</v>
      </c>
      <c r="G51" s="11">
        <v>500</v>
      </c>
      <c r="H51" s="4">
        <v>906</v>
      </c>
      <c r="I51" t="s">
        <v>48</v>
      </c>
    </row>
    <row r="52" spans="1:9" x14ac:dyDescent="0.25">
      <c r="A52" t="s">
        <v>121</v>
      </c>
      <c r="B52" t="s">
        <v>16</v>
      </c>
      <c r="C52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0.50600000000000001</v>
      </c>
      <c r="D52" s="4" t="s">
        <v>88</v>
      </c>
      <c r="E52" t="s">
        <v>47</v>
      </c>
      <c r="F52" s="36" t="s">
        <v>122</v>
      </c>
      <c r="G52" s="11">
        <v>500</v>
      </c>
      <c r="H52" s="4">
        <v>253</v>
      </c>
      <c r="I52" t="s">
        <v>51</v>
      </c>
    </row>
    <row r="53" spans="1:9" x14ac:dyDescent="0.25">
      <c r="A53" t="s">
        <v>123</v>
      </c>
      <c r="B53" t="s">
        <v>16</v>
      </c>
      <c r="C53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0.5842696629213483</v>
      </c>
      <c r="D53" s="4" t="s">
        <v>88</v>
      </c>
      <c r="E53" t="s">
        <v>97</v>
      </c>
      <c r="F53" s="29" t="s">
        <v>124</v>
      </c>
      <c r="G53" s="11">
        <v>890</v>
      </c>
      <c r="H53" s="4">
        <v>520</v>
      </c>
      <c r="I53" t="s">
        <v>48</v>
      </c>
    </row>
    <row r="54" spans="1:9" x14ac:dyDescent="0.25">
      <c r="A54" t="s">
        <v>125</v>
      </c>
      <c r="B54" t="s">
        <v>34</v>
      </c>
      <c r="C54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0.128</v>
      </c>
      <c r="D54" s="4" t="s">
        <v>88</v>
      </c>
      <c r="E54" t="s">
        <v>126</v>
      </c>
      <c r="F54" s="36" t="s">
        <v>127</v>
      </c>
      <c r="G54" s="11">
        <v>25000</v>
      </c>
      <c r="H54" s="4">
        <v>3200</v>
      </c>
      <c r="I54" t="s">
        <v>51</v>
      </c>
    </row>
    <row r="55" spans="1:9" x14ac:dyDescent="0.25">
      <c r="A55" t="s">
        <v>128</v>
      </c>
      <c r="B55" t="s">
        <v>34</v>
      </c>
      <c r="C55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3.85E-2</v>
      </c>
      <c r="D55" s="4" t="s">
        <v>88</v>
      </c>
      <c r="E55" t="s">
        <v>47</v>
      </c>
      <c r="F55" s="36" t="s">
        <v>129</v>
      </c>
      <c r="G55" s="11">
        <v>1000</v>
      </c>
      <c r="H55" s="4">
        <v>38.5</v>
      </c>
      <c r="I55" t="s">
        <v>51</v>
      </c>
    </row>
    <row r="56" spans="1:9" x14ac:dyDescent="0.25">
      <c r="A56" t="s">
        <v>130</v>
      </c>
      <c r="B56" t="s">
        <v>34</v>
      </c>
      <c r="C56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3.85E-2</v>
      </c>
      <c r="D56" s="4" t="s">
        <v>88</v>
      </c>
      <c r="E56" t="s">
        <v>47</v>
      </c>
      <c r="F56" s="36" t="s">
        <v>129</v>
      </c>
      <c r="G56" s="11">
        <v>1000</v>
      </c>
      <c r="H56" s="4">
        <v>38.5</v>
      </c>
      <c r="I56" t="s">
        <v>51</v>
      </c>
    </row>
    <row r="57" spans="1:9" x14ac:dyDescent="0.25">
      <c r="A57" t="s">
        <v>131</v>
      </c>
      <c r="B57" t="s">
        <v>34</v>
      </c>
      <c r="C57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8.0882352941176475E-2</v>
      </c>
      <c r="D57" s="4" t="s">
        <v>88</v>
      </c>
      <c r="E57" t="s">
        <v>47</v>
      </c>
      <c r="F57" s="36" t="s">
        <v>132</v>
      </c>
      <c r="G57" s="11">
        <v>1700</v>
      </c>
      <c r="H57" s="4">
        <v>137.5</v>
      </c>
      <c r="I57" t="s">
        <v>51</v>
      </c>
    </row>
    <row r="58" spans="1:9" x14ac:dyDescent="0.25">
      <c r="A58" t="s">
        <v>133</v>
      </c>
      <c r="B58" t="s">
        <v>34</v>
      </c>
      <c r="C58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1.0945454545454545</v>
      </c>
      <c r="D58" s="4" t="s">
        <v>88</v>
      </c>
      <c r="E58" t="s">
        <v>97</v>
      </c>
      <c r="F58" s="36" t="s">
        <v>134</v>
      </c>
      <c r="G58" s="11">
        <v>550</v>
      </c>
      <c r="H58" s="4">
        <v>602</v>
      </c>
      <c r="I58" t="s">
        <v>51</v>
      </c>
    </row>
    <row r="59" spans="1:9" x14ac:dyDescent="0.25">
      <c r="A59" t="s">
        <v>135</v>
      </c>
      <c r="B59" t="s">
        <v>34</v>
      </c>
      <c r="C59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1.58</v>
      </c>
      <c r="D59" s="4" t="s">
        <v>88</v>
      </c>
      <c r="E59" t="s">
        <v>97</v>
      </c>
      <c r="F59" s="36" t="s">
        <v>136</v>
      </c>
      <c r="G59" s="11">
        <v>250</v>
      </c>
      <c r="H59" s="4">
        <v>395</v>
      </c>
      <c r="I59" t="s">
        <v>51</v>
      </c>
    </row>
    <row r="60" spans="1:9" x14ac:dyDescent="0.25">
      <c r="A60" t="s">
        <v>137</v>
      </c>
      <c r="B60" t="s">
        <v>34</v>
      </c>
      <c r="C60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1.996</v>
      </c>
      <c r="D60" s="4" t="s">
        <v>88</v>
      </c>
      <c r="E60" t="s">
        <v>97</v>
      </c>
      <c r="F60" s="36" t="s">
        <v>138</v>
      </c>
      <c r="G60" s="11">
        <v>250</v>
      </c>
      <c r="H60" s="4">
        <v>499</v>
      </c>
      <c r="I60" t="s">
        <v>51</v>
      </c>
    </row>
    <row r="61" spans="1:9" x14ac:dyDescent="0.25">
      <c r="A61" t="s">
        <v>139</v>
      </c>
      <c r="B61" t="s">
        <v>34</v>
      </c>
      <c r="C61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0.77636363636363637</v>
      </c>
      <c r="D61" s="4" t="s">
        <v>88</v>
      </c>
      <c r="E61" t="s">
        <v>97</v>
      </c>
      <c r="F61" s="36" t="s">
        <v>140</v>
      </c>
      <c r="G61" s="11">
        <v>550</v>
      </c>
      <c r="H61" s="4">
        <v>427</v>
      </c>
      <c r="I61" t="s">
        <v>48</v>
      </c>
    </row>
    <row r="62" spans="1:9" x14ac:dyDescent="0.25">
      <c r="A62" t="s">
        <v>141</v>
      </c>
      <c r="B62" t="s">
        <v>34</v>
      </c>
      <c r="C62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1.1399999999999999</v>
      </c>
      <c r="D62" s="4" t="s">
        <v>88</v>
      </c>
      <c r="E62" t="s">
        <v>97</v>
      </c>
      <c r="F62" s="36" t="s">
        <v>142</v>
      </c>
      <c r="G62" s="11">
        <v>500</v>
      </c>
      <c r="H62" s="4">
        <v>570</v>
      </c>
      <c r="I62" t="s">
        <v>51</v>
      </c>
    </row>
    <row r="63" spans="1:9" x14ac:dyDescent="0.25">
      <c r="A63" t="s">
        <v>143</v>
      </c>
      <c r="B63" t="s">
        <v>34</v>
      </c>
      <c r="C63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1.1319999999999999</v>
      </c>
      <c r="D63" s="4" t="s">
        <v>88</v>
      </c>
      <c r="E63" t="s">
        <v>97</v>
      </c>
      <c r="F63" s="36" t="s">
        <v>144</v>
      </c>
      <c r="G63" s="11">
        <v>250</v>
      </c>
      <c r="H63" s="4">
        <v>283</v>
      </c>
      <c r="I63" t="s">
        <v>51</v>
      </c>
    </row>
    <row r="64" spans="1:9" x14ac:dyDescent="0.25">
      <c r="A64" t="s">
        <v>145</v>
      </c>
      <c r="B64" t="s">
        <v>34</v>
      </c>
      <c r="C64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0.78181818181818186</v>
      </c>
      <c r="D64" s="4" t="s">
        <v>88</v>
      </c>
      <c r="E64" t="s">
        <v>97</v>
      </c>
      <c r="F64" s="36" t="s">
        <v>146</v>
      </c>
      <c r="G64" s="11">
        <v>550</v>
      </c>
      <c r="H64" s="4">
        <v>430</v>
      </c>
      <c r="I64" t="s">
        <v>48</v>
      </c>
    </row>
    <row r="65" spans="1:9" x14ac:dyDescent="0.25">
      <c r="A65" t="s">
        <v>147</v>
      </c>
      <c r="B65" t="s">
        <v>34</v>
      </c>
      <c r="C65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0.89600000000000002</v>
      </c>
      <c r="D65" s="4" t="s">
        <v>88</v>
      </c>
      <c r="E65" t="s">
        <v>97</v>
      </c>
      <c r="F65" s="36" t="s">
        <v>148</v>
      </c>
      <c r="G65" s="11">
        <v>500</v>
      </c>
      <c r="H65" s="4">
        <v>448</v>
      </c>
      <c r="I65" t="s">
        <v>51</v>
      </c>
    </row>
    <row r="66" spans="1:9" x14ac:dyDescent="0.25">
      <c r="A66" t="s">
        <v>149</v>
      </c>
      <c r="B66" t="s">
        <v>34</v>
      </c>
      <c r="C66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2.0772727272727272</v>
      </c>
      <c r="D66" s="4" t="s">
        <v>88</v>
      </c>
      <c r="E66" t="s">
        <v>97</v>
      </c>
      <c r="F66" s="36" t="s">
        <v>150</v>
      </c>
      <c r="G66" s="11">
        <v>220</v>
      </c>
      <c r="H66" s="4">
        <v>457</v>
      </c>
      <c r="I66" t="s">
        <v>51</v>
      </c>
    </row>
    <row r="67" spans="1:9" x14ac:dyDescent="0.25">
      <c r="A67" t="s">
        <v>646</v>
      </c>
      <c r="B67" t="s">
        <v>34</v>
      </c>
      <c r="C67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0.49998999999999999</v>
      </c>
      <c r="D67" s="4" t="s">
        <v>88</v>
      </c>
      <c r="E67" t="s">
        <v>47</v>
      </c>
      <c r="F67" s="28" t="s">
        <v>655</v>
      </c>
      <c r="G67" s="11">
        <v>1000</v>
      </c>
      <c r="H67" s="4">
        <v>499.99</v>
      </c>
    </row>
    <row r="68" spans="1:9" x14ac:dyDescent="0.25">
      <c r="A68" t="s">
        <v>151</v>
      </c>
      <c r="B68" t="s">
        <v>34</v>
      </c>
      <c r="C68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0.8783333333333333</v>
      </c>
      <c r="D68" s="4" t="s">
        <v>88</v>
      </c>
      <c r="E68" t="s">
        <v>97</v>
      </c>
      <c r="F68" s="36" t="s">
        <v>152</v>
      </c>
      <c r="G68" s="11">
        <v>600</v>
      </c>
      <c r="H68" s="4">
        <v>527</v>
      </c>
      <c r="I68" t="s">
        <v>51</v>
      </c>
    </row>
    <row r="69" spans="1:9" x14ac:dyDescent="0.25">
      <c r="A69" t="s">
        <v>632</v>
      </c>
      <c r="B69" t="s">
        <v>34</v>
      </c>
      <c r="C69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0.88800000000000001</v>
      </c>
      <c r="D69" s="4" t="s">
        <v>88</v>
      </c>
      <c r="E69" t="s">
        <v>97</v>
      </c>
      <c r="F69" s="28" t="s">
        <v>633</v>
      </c>
      <c r="G69" s="11">
        <v>1000</v>
      </c>
      <c r="H69" s="4">
        <v>888</v>
      </c>
      <c r="I69" t="s">
        <v>48</v>
      </c>
    </row>
    <row r="70" spans="1:9" x14ac:dyDescent="0.25">
      <c r="A70" t="s">
        <v>153</v>
      </c>
      <c r="B70" t="s">
        <v>34</v>
      </c>
      <c r="C70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1.5133333333333334</v>
      </c>
      <c r="D70" s="4" t="s">
        <v>88</v>
      </c>
      <c r="E70" t="s">
        <v>97</v>
      </c>
      <c r="F70" s="36" t="s">
        <v>154</v>
      </c>
      <c r="G70" s="11">
        <v>300</v>
      </c>
      <c r="H70" s="4">
        <v>454</v>
      </c>
      <c r="I70" t="s">
        <v>51</v>
      </c>
    </row>
    <row r="71" spans="1:9" x14ac:dyDescent="0.25">
      <c r="A71" t="s">
        <v>155</v>
      </c>
      <c r="B71" t="s">
        <v>34</v>
      </c>
      <c r="C71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0.50222222222222224</v>
      </c>
      <c r="D71" s="4" t="s">
        <v>88</v>
      </c>
      <c r="E71" t="s">
        <v>97</v>
      </c>
      <c r="F71" s="36" t="s">
        <v>156</v>
      </c>
      <c r="G71" s="11">
        <v>450</v>
      </c>
      <c r="H71" s="4">
        <v>226</v>
      </c>
      <c r="I71" t="s">
        <v>51</v>
      </c>
    </row>
    <row r="72" spans="1:9" x14ac:dyDescent="0.25">
      <c r="A72" t="s">
        <v>157</v>
      </c>
      <c r="B72" t="s">
        <v>34</v>
      </c>
      <c r="C72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0.748</v>
      </c>
      <c r="D72" s="4" t="s">
        <v>88</v>
      </c>
      <c r="E72" t="s">
        <v>97</v>
      </c>
      <c r="F72" s="36" t="s">
        <v>158</v>
      </c>
      <c r="G72" s="11">
        <v>1000</v>
      </c>
      <c r="H72" s="4">
        <v>748</v>
      </c>
      <c r="I72" t="s">
        <v>51</v>
      </c>
    </row>
    <row r="73" spans="1:9" x14ac:dyDescent="0.25">
      <c r="A73" t="s">
        <v>159</v>
      </c>
      <c r="B73" t="s">
        <v>34</v>
      </c>
      <c r="C73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1.702</v>
      </c>
      <c r="D73" s="4" t="s">
        <v>88</v>
      </c>
      <c r="E73" t="s">
        <v>126</v>
      </c>
      <c r="F73" s="36" t="s">
        <v>160</v>
      </c>
      <c r="G73" s="11">
        <v>1000</v>
      </c>
      <c r="H73" s="4">
        <v>1702</v>
      </c>
      <c r="I73" t="s">
        <v>51</v>
      </c>
    </row>
    <row r="74" spans="1:9" x14ac:dyDescent="0.25">
      <c r="A74" t="s">
        <v>161</v>
      </c>
      <c r="B74" t="s">
        <v>34</v>
      </c>
      <c r="C74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0.55500000000000005</v>
      </c>
      <c r="D74" s="4" t="s">
        <v>88</v>
      </c>
      <c r="E74" t="s">
        <v>97</v>
      </c>
      <c r="F74" s="36" t="s">
        <v>162</v>
      </c>
      <c r="G74" s="11">
        <v>800</v>
      </c>
      <c r="H74" s="4">
        <v>444</v>
      </c>
      <c r="I74" t="s">
        <v>51</v>
      </c>
    </row>
    <row r="75" spans="1:9" x14ac:dyDescent="0.25">
      <c r="A75" t="s">
        <v>163</v>
      </c>
      <c r="B75" t="s">
        <v>34</v>
      </c>
      <c r="C75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0.26700000000000002</v>
      </c>
      <c r="D75" s="4" t="s">
        <v>88</v>
      </c>
      <c r="E75" t="s">
        <v>97</v>
      </c>
      <c r="F75" s="36" t="s">
        <v>164</v>
      </c>
      <c r="G75" s="11">
        <v>2000</v>
      </c>
      <c r="H75" s="4">
        <v>534</v>
      </c>
      <c r="I75" t="s">
        <v>48</v>
      </c>
    </row>
    <row r="76" spans="1:9" x14ac:dyDescent="0.25">
      <c r="A76" t="s">
        <v>165</v>
      </c>
      <c r="B76" t="s">
        <v>34</v>
      </c>
      <c r="C76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1.645</v>
      </c>
      <c r="D76" s="4" t="s">
        <v>88</v>
      </c>
      <c r="E76" t="s">
        <v>97</v>
      </c>
      <c r="F76" s="36" t="s">
        <v>166</v>
      </c>
      <c r="G76" s="11">
        <v>200</v>
      </c>
      <c r="H76" s="4">
        <v>329</v>
      </c>
      <c r="I76" t="s">
        <v>48</v>
      </c>
    </row>
    <row r="77" spans="1:9" x14ac:dyDescent="0.25">
      <c r="A77" t="s">
        <v>167</v>
      </c>
      <c r="B77" t="s">
        <v>34</v>
      </c>
      <c r="C77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2.7933333333333334</v>
      </c>
      <c r="D77" s="4" t="s">
        <v>88</v>
      </c>
      <c r="E77" t="s">
        <v>97</v>
      </c>
      <c r="F77" s="36" t="s">
        <v>168</v>
      </c>
      <c r="G77" s="11">
        <v>300</v>
      </c>
      <c r="H77" s="4">
        <v>838</v>
      </c>
      <c r="I77" t="s">
        <v>51</v>
      </c>
    </row>
    <row r="78" spans="1:9" x14ac:dyDescent="0.25">
      <c r="A78" t="s">
        <v>169</v>
      </c>
      <c r="B78" t="s">
        <v>34</v>
      </c>
      <c r="C78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3.94</v>
      </c>
      <c r="D78" s="4" t="s">
        <v>88</v>
      </c>
      <c r="E78" t="s">
        <v>97</v>
      </c>
      <c r="F78" s="36" t="s">
        <v>170</v>
      </c>
      <c r="G78" s="11">
        <v>100</v>
      </c>
      <c r="H78" s="4">
        <v>394</v>
      </c>
      <c r="I78" t="s">
        <v>48</v>
      </c>
    </row>
    <row r="79" spans="1:9" x14ac:dyDescent="0.25">
      <c r="A79" t="s">
        <v>171</v>
      </c>
      <c r="B79" t="s">
        <v>34</v>
      </c>
      <c r="C79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1.4105263157894736</v>
      </c>
      <c r="D79" s="4" t="s">
        <v>88</v>
      </c>
      <c r="E79" t="s">
        <v>97</v>
      </c>
      <c r="F79" s="36" t="s">
        <v>172</v>
      </c>
      <c r="G79" s="11">
        <v>190</v>
      </c>
      <c r="H79" s="4">
        <v>268</v>
      </c>
      <c r="I79" t="s">
        <v>51</v>
      </c>
    </row>
    <row r="80" spans="1:9" x14ac:dyDescent="0.25">
      <c r="A80" t="s">
        <v>173</v>
      </c>
      <c r="B80" t="s">
        <v>34</v>
      </c>
      <c r="C80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4.96</v>
      </c>
      <c r="D80" s="4" t="s">
        <v>88</v>
      </c>
      <c r="E80" t="s">
        <v>126</v>
      </c>
      <c r="F80" s="36" t="s">
        <v>174</v>
      </c>
      <c r="G80" s="11">
        <v>50</v>
      </c>
      <c r="H80" s="4">
        <v>248</v>
      </c>
      <c r="I80" t="s">
        <v>51</v>
      </c>
    </row>
    <row r="81" spans="1:9" x14ac:dyDescent="0.25">
      <c r="A81" t="s">
        <v>175</v>
      </c>
      <c r="B81" t="s">
        <v>34</v>
      </c>
      <c r="C81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1.91</v>
      </c>
      <c r="D81" s="4" t="s">
        <v>88</v>
      </c>
      <c r="E81" t="s">
        <v>126</v>
      </c>
      <c r="F81" s="36" t="s">
        <v>176</v>
      </c>
      <c r="G81" s="11">
        <v>100</v>
      </c>
      <c r="H81" s="4">
        <v>191</v>
      </c>
      <c r="I81" t="s">
        <v>51</v>
      </c>
    </row>
    <row r="82" spans="1:9" x14ac:dyDescent="0.25">
      <c r="A82" t="s">
        <v>177</v>
      </c>
      <c r="B82" t="s">
        <v>34</v>
      </c>
      <c r="C82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1.2913043478260871</v>
      </c>
      <c r="D82" s="4" t="s">
        <v>88</v>
      </c>
      <c r="E82" t="s">
        <v>97</v>
      </c>
      <c r="F82" s="36" t="s">
        <v>178</v>
      </c>
      <c r="G82" s="11">
        <v>230</v>
      </c>
      <c r="H82" s="4">
        <v>297</v>
      </c>
      <c r="I82" t="s">
        <v>51</v>
      </c>
    </row>
    <row r="83" spans="1:9" x14ac:dyDescent="0.25">
      <c r="A83" t="s">
        <v>179</v>
      </c>
      <c r="B83" t="s">
        <v>34</v>
      </c>
      <c r="C83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0.69999</v>
      </c>
      <c r="D83" s="4" t="s">
        <v>88</v>
      </c>
      <c r="E83" t="s">
        <v>47</v>
      </c>
      <c r="F83" s="29" t="s">
        <v>180</v>
      </c>
      <c r="G83" s="11">
        <v>1000</v>
      </c>
      <c r="H83" s="4">
        <v>699.99</v>
      </c>
      <c r="I83" t="s">
        <v>48</v>
      </c>
    </row>
    <row r="84" spans="1:9" x14ac:dyDescent="0.25">
      <c r="A84" t="s">
        <v>181</v>
      </c>
      <c r="B84" t="s">
        <v>34</v>
      </c>
      <c r="C84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1.0885714285714285</v>
      </c>
      <c r="D84" s="4" t="s">
        <v>88</v>
      </c>
      <c r="E84" t="s">
        <v>97</v>
      </c>
      <c r="F84" s="29" t="s">
        <v>182</v>
      </c>
      <c r="G84" s="11">
        <v>350</v>
      </c>
      <c r="H84" s="4">
        <v>381</v>
      </c>
      <c r="I84" t="s">
        <v>51</v>
      </c>
    </row>
    <row r="85" spans="1:9" x14ac:dyDescent="0.25">
      <c r="A85" t="s">
        <v>183</v>
      </c>
      <c r="B85" t="s">
        <v>34</v>
      </c>
      <c r="C85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1.538</v>
      </c>
      <c r="D85" s="4" t="s">
        <v>88</v>
      </c>
      <c r="E85" t="s">
        <v>97</v>
      </c>
      <c r="F85" s="29" t="s">
        <v>184</v>
      </c>
      <c r="G85" s="11">
        <v>500</v>
      </c>
      <c r="H85" s="4">
        <v>769</v>
      </c>
      <c r="I85" t="s">
        <v>51</v>
      </c>
    </row>
    <row r="86" spans="1:9" x14ac:dyDescent="0.25">
      <c r="A86" t="s">
        <v>185</v>
      </c>
      <c r="B86" t="s">
        <v>34</v>
      </c>
      <c r="C86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2.5777777777777779</v>
      </c>
      <c r="D86" s="4" t="s">
        <v>88</v>
      </c>
      <c r="E86" t="s">
        <v>97</v>
      </c>
      <c r="F86" s="36" t="s">
        <v>186</v>
      </c>
      <c r="G86" s="11">
        <v>90</v>
      </c>
      <c r="H86" s="4">
        <v>232</v>
      </c>
      <c r="I86" t="s">
        <v>48</v>
      </c>
    </row>
    <row r="87" spans="1:9" x14ac:dyDescent="0.25">
      <c r="A87" t="s">
        <v>187</v>
      </c>
      <c r="B87" t="s">
        <v>34</v>
      </c>
      <c r="C87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0.54800000000000004</v>
      </c>
      <c r="D87" s="4" t="s">
        <v>88</v>
      </c>
      <c r="E87" t="s">
        <v>97</v>
      </c>
      <c r="F87" s="36" t="s">
        <v>188</v>
      </c>
      <c r="G87" s="11">
        <v>1000</v>
      </c>
      <c r="H87" s="4">
        <v>548</v>
      </c>
      <c r="I87" t="s">
        <v>48</v>
      </c>
    </row>
    <row r="88" spans="1:9" x14ac:dyDescent="0.25">
      <c r="A88" t="s">
        <v>189</v>
      </c>
      <c r="B88" t="s">
        <v>34</v>
      </c>
      <c r="C88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4.68</v>
      </c>
      <c r="D88" s="4" t="s">
        <v>88</v>
      </c>
      <c r="E88" t="s">
        <v>97</v>
      </c>
      <c r="F88" s="36" t="s">
        <v>190</v>
      </c>
      <c r="G88" s="11">
        <v>50</v>
      </c>
      <c r="H88" s="4">
        <v>234</v>
      </c>
      <c r="I88" t="s">
        <v>51</v>
      </c>
    </row>
    <row r="89" spans="1:9" x14ac:dyDescent="0.25">
      <c r="A89" t="s">
        <v>647</v>
      </c>
      <c r="B89" t="s">
        <v>34</v>
      </c>
      <c r="C89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2.21</v>
      </c>
      <c r="D89" s="4" t="s">
        <v>88</v>
      </c>
      <c r="E89" t="s">
        <v>97</v>
      </c>
      <c r="F89" s="28" t="s">
        <v>654</v>
      </c>
      <c r="G89" s="11">
        <v>200</v>
      </c>
      <c r="H89" s="4">
        <v>442</v>
      </c>
      <c r="I89" t="s">
        <v>48</v>
      </c>
    </row>
    <row r="90" spans="1:9" x14ac:dyDescent="0.25">
      <c r="A90" t="s">
        <v>648</v>
      </c>
      <c r="B90" t="s">
        <v>34</v>
      </c>
      <c r="C90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0.35799999999999998</v>
      </c>
      <c r="D90" s="4" t="s">
        <v>88</v>
      </c>
      <c r="E90" t="s">
        <v>97</v>
      </c>
      <c r="F90" s="28" t="s">
        <v>653</v>
      </c>
      <c r="G90" s="11">
        <v>1000</v>
      </c>
      <c r="H90" s="4">
        <v>358</v>
      </c>
    </row>
    <row r="91" spans="1:9" x14ac:dyDescent="0.25">
      <c r="A91" t="s">
        <v>649</v>
      </c>
      <c r="B91" t="s">
        <v>34</v>
      </c>
      <c r="C91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0.504</v>
      </c>
      <c r="D91" s="4" t="s">
        <v>88</v>
      </c>
      <c r="E91" t="s">
        <v>97</v>
      </c>
      <c r="F91" s="28" t="s">
        <v>652</v>
      </c>
      <c r="G91" s="11">
        <v>1000</v>
      </c>
      <c r="H91" s="4">
        <v>504</v>
      </c>
      <c r="I91" t="s">
        <v>48</v>
      </c>
    </row>
    <row r="92" spans="1:9" x14ac:dyDescent="0.25">
      <c r="A92" t="s">
        <v>650</v>
      </c>
      <c r="B92" t="s">
        <v>16</v>
      </c>
      <c r="C92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0.22</v>
      </c>
      <c r="D92" s="4" t="s">
        <v>46</v>
      </c>
      <c r="E92" t="s">
        <v>47</v>
      </c>
      <c r="F92" s="28" t="s">
        <v>651</v>
      </c>
      <c r="G92" s="11">
        <v>450</v>
      </c>
      <c r="H92" s="4">
        <v>99</v>
      </c>
    </row>
    <row r="93" spans="1:9" x14ac:dyDescent="0.25">
      <c r="A93" t="s">
        <v>191</v>
      </c>
      <c r="B93" t="s">
        <v>34</v>
      </c>
      <c r="C93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4.999E-2</v>
      </c>
      <c r="D93" s="4" t="s">
        <v>88</v>
      </c>
      <c r="E93" t="s">
        <v>47</v>
      </c>
      <c r="F93" s="36" t="s">
        <v>192</v>
      </c>
      <c r="G93" s="11">
        <v>1000</v>
      </c>
      <c r="H93" s="4">
        <v>49.99</v>
      </c>
      <c r="I93" t="s">
        <v>51</v>
      </c>
    </row>
    <row r="94" spans="1:9" x14ac:dyDescent="0.25">
      <c r="A94" t="s">
        <v>193</v>
      </c>
      <c r="B94" t="s">
        <v>34</v>
      </c>
      <c r="C94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0.78666666666666663</v>
      </c>
      <c r="D94" s="4" t="s">
        <v>88</v>
      </c>
      <c r="E94" t="s">
        <v>97</v>
      </c>
      <c r="F94" s="36" t="s">
        <v>194</v>
      </c>
      <c r="G94" s="11">
        <v>450</v>
      </c>
      <c r="H94" s="4">
        <v>354</v>
      </c>
      <c r="I94" t="s">
        <v>51</v>
      </c>
    </row>
    <row r="95" spans="1:9" x14ac:dyDescent="0.25">
      <c r="A95" t="s">
        <v>195</v>
      </c>
      <c r="B95" t="s">
        <v>34</v>
      </c>
      <c r="C95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0.69299999999999995</v>
      </c>
      <c r="D95" s="4" t="s">
        <v>88</v>
      </c>
      <c r="E95" t="s">
        <v>97</v>
      </c>
      <c r="F95" s="36" t="s">
        <v>196</v>
      </c>
      <c r="G95" s="11">
        <v>1000</v>
      </c>
      <c r="H95" s="4">
        <v>693</v>
      </c>
      <c r="I95" t="s">
        <v>51</v>
      </c>
    </row>
    <row r="96" spans="1:9" x14ac:dyDescent="0.25">
      <c r="A96" t="s">
        <v>197</v>
      </c>
      <c r="B96" t="s">
        <v>34</v>
      </c>
      <c r="C96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0.46899999999999997</v>
      </c>
      <c r="D96" s="4" t="s">
        <v>88</v>
      </c>
      <c r="E96" t="s">
        <v>97</v>
      </c>
      <c r="F96" s="36" t="s">
        <v>198</v>
      </c>
      <c r="G96" s="11">
        <v>1000</v>
      </c>
      <c r="H96" s="4">
        <v>469</v>
      </c>
      <c r="I96" t="s">
        <v>48</v>
      </c>
    </row>
    <row r="97" spans="1:11" x14ac:dyDescent="0.25">
      <c r="A97" t="s">
        <v>199</v>
      </c>
      <c r="B97" t="s">
        <v>34</v>
      </c>
      <c r="C97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1.2929999999999999</v>
      </c>
      <c r="D97" s="4" t="s">
        <v>88</v>
      </c>
      <c r="E97" t="s">
        <v>97</v>
      </c>
      <c r="F97" s="36" t="s">
        <v>200</v>
      </c>
      <c r="G97" s="11">
        <v>1000</v>
      </c>
      <c r="H97" s="4">
        <v>1293</v>
      </c>
      <c r="I97" t="s">
        <v>48</v>
      </c>
    </row>
    <row r="98" spans="1:11" x14ac:dyDescent="0.25">
      <c r="A98" t="s">
        <v>201</v>
      </c>
      <c r="B98" t="s">
        <v>34</v>
      </c>
      <c r="C98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0.58199999999999996</v>
      </c>
      <c r="D98" s="4" t="s">
        <v>88</v>
      </c>
      <c r="E98" t="s">
        <v>97</v>
      </c>
      <c r="F98" s="28" t="s">
        <v>636</v>
      </c>
      <c r="G98" s="11">
        <v>1000</v>
      </c>
      <c r="H98" s="4">
        <v>582</v>
      </c>
      <c r="I98" t="s">
        <v>48</v>
      </c>
    </row>
    <row r="99" spans="1:11" x14ac:dyDescent="0.25">
      <c r="A99" t="s">
        <v>202</v>
      </c>
      <c r="B99" t="s">
        <v>34</v>
      </c>
      <c r="C99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1.4330000000000001</v>
      </c>
      <c r="D99" s="4" t="s">
        <v>88</v>
      </c>
      <c r="E99" t="s">
        <v>126</v>
      </c>
      <c r="F99" s="36" t="s">
        <v>203</v>
      </c>
      <c r="G99" s="11">
        <v>1000</v>
      </c>
      <c r="H99" s="4">
        <v>1433</v>
      </c>
      <c r="I99" t="s">
        <v>48</v>
      </c>
    </row>
    <row r="100" spans="1:11" x14ac:dyDescent="0.25">
      <c r="A100" t="s">
        <v>204</v>
      </c>
      <c r="B100" t="s">
        <v>34</v>
      </c>
      <c r="C100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1.643</v>
      </c>
      <c r="D100" s="4" t="s">
        <v>88</v>
      </c>
      <c r="E100" t="s">
        <v>126</v>
      </c>
      <c r="F100" s="36" t="s">
        <v>205</v>
      </c>
      <c r="G100" s="11">
        <v>1000</v>
      </c>
      <c r="H100" s="4">
        <v>1643</v>
      </c>
      <c r="I100" t="s">
        <v>48</v>
      </c>
    </row>
    <row r="101" spans="1:11" x14ac:dyDescent="0.25">
      <c r="A101" t="s">
        <v>206</v>
      </c>
      <c r="B101" t="s">
        <v>34</v>
      </c>
      <c r="C101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1.1000000000000001</v>
      </c>
      <c r="D101" s="4" t="s">
        <v>88</v>
      </c>
      <c r="E101" t="s">
        <v>126</v>
      </c>
      <c r="F101" s="36" t="s">
        <v>207</v>
      </c>
      <c r="G101" s="11">
        <v>1000</v>
      </c>
      <c r="H101" s="4">
        <v>1100</v>
      </c>
      <c r="I101" t="s">
        <v>48</v>
      </c>
    </row>
    <row r="102" spans="1:11" x14ac:dyDescent="0.25">
      <c r="A102" t="s">
        <v>208</v>
      </c>
      <c r="B102" t="s">
        <v>20</v>
      </c>
      <c r="C102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39.405940594059402</v>
      </c>
      <c r="D102" s="4" t="s">
        <v>88</v>
      </c>
      <c r="E102" t="s">
        <v>126</v>
      </c>
      <c r="F102" s="36" t="s">
        <v>209</v>
      </c>
      <c r="G102" s="11">
        <v>25</v>
      </c>
      <c r="H102" s="4">
        <v>995</v>
      </c>
      <c r="I102" t="s">
        <v>51</v>
      </c>
      <c r="J102" s="10">
        <v>1.01</v>
      </c>
    </row>
    <row r="103" spans="1:11" x14ac:dyDescent="0.25">
      <c r="A103" t="s">
        <v>210</v>
      </c>
      <c r="B103" t="s">
        <v>20</v>
      </c>
      <c r="C103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15.563909774436087</v>
      </c>
      <c r="D103" s="4" t="s">
        <v>88</v>
      </c>
      <c r="E103" t="s">
        <v>126</v>
      </c>
      <c r="F103" s="36" t="s">
        <v>211</v>
      </c>
      <c r="G103" s="11">
        <v>50</v>
      </c>
      <c r="H103" s="4">
        <v>1656</v>
      </c>
      <c r="I103" t="s">
        <v>51</v>
      </c>
      <c r="J103" s="10">
        <v>2.1280000000000001</v>
      </c>
    </row>
    <row r="104" spans="1:11" x14ac:dyDescent="0.25">
      <c r="A104" t="s">
        <v>212</v>
      </c>
      <c r="B104" t="s">
        <v>20</v>
      </c>
      <c r="C104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41.333333333333336</v>
      </c>
      <c r="D104" s="4" t="s">
        <v>88</v>
      </c>
      <c r="E104" t="s">
        <v>126</v>
      </c>
      <c r="F104" s="36" t="s">
        <v>213</v>
      </c>
      <c r="G104" s="11">
        <v>50</v>
      </c>
      <c r="H104" s="4">
        <v>3100</v>
      </c>
      <c r="I104" t="s">
        <v>51</v>
      </c>
      <c r="J104" s="10">
        <v>1.5</v>
      </c>
    </row>
    <row r="105" spans="1:11" x14ac:dyDescent="0.25">
      <c r="A105" t="s">
        <v>214</v>
      </c>
      <c r="B105" t="s">
        <v>20</v>
      </c>
      <c r="C105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9.7374533266692147</v>
      </c>
      <c r="D105" s="4" t="s">
        <v>88</v>
      </c>
      <c r="E105" t="s">
        <v>126</v>
      </c>
      <c r="F105" s="36" t="s">
        <v>215</v>
      </c>
      <c r="G105" s="11">
        <v>50</v>
      </c>
      <c r="H105" s="4">
        <v>1656</v>
      </c>
      <c r="I105" t="s">
        <v>51</v>
      </c>
      <c r="J105" s="10">
        <v>3.4013</v>
      </c>
    </row>
    <row r="106" spans="1:11" x14ac:dyDescent="0.25">
      <c r="A106" t="s">
        <v>216</v>
      </c>
      <c r="B106" t="s">
        <v>20</v>
      </c>
      <c r="C106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35.564871777750035</v>
      </c>
      <c r="D106" s="4" t="s">
        <v>88</v>
      </c>
      <c r="E106" t="s">
        <v>126</v>
      </c>
      <c r="F106" s="36" t="s">
        <v>217</v>
      </c>
      <c r="G106" s="11">
        <v>31</v>
      </c>
      <c r="H106" s="4">
        <v>1225</v>
      </c>
      <c r="I106" t="s">
        <v>48</v>
      </c>
      <c r="J106" s="10">
        <v>1.1111</v>
      </c>
    </row>
    <row r="107" spans="1:11" x14ac:dyDescent="0.25">
      <c r="A107" t="s">
        <v>218</v>
      </c>
      <c r="B107" t="s">
        <v>20</v>
      </c>
      <c r="C107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26.014326334208224</v>
      </c>
      <c r="D107" s="4" t="s">
        <v>88</v>
      </c>
      <c r="E107" t="s">
        <v>126</v>
      </c>
      <c r="F107" s="36" t="s">
        <v>219</v>
      </c>
      <c r="G107" s="11">
        <v>91.44</v>
      </c>
      <c r="H107" s="4">
        <v>1903</v>
      </c>
      <c r="I107" t="s">
        <v>51</v>
      </c>
      <c r="J107" s="10">
        <v>0.8</v>
      </c>
    </row>
    <row r="108" spans="1:11" x14ac:dyDescent="0.25">
      <c r="A108" t="s">
        <v>220</v>
      </c>
      <c r="B108" t="s">
        <v>20</v>
      </c>
      <c r="C108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39.348206474190725</v>
      </c>
      <c r="D108" s="4" t="s">
        <v>88</v>
      </c>
      <c r="E108" t="s">
        <v>126</v>
      </c>
      <c r="F108" s="36" t="s">
        <v>221</v>
      </c>
      <c r="G108" s="11">
        <v>91.44</v>
      </c>
      <c r="H108" s="4">
        <v>1799</v>
      </c>
      <c r="I108" t="s">
        <v>48</v>
      </c>
      <c r="J108" s="10">
        <v>0.5</v>
      </c>
    </row>
    <row r="109" spans="1:11" x14ac:dyDescent="0.25">
      <c r="A109" t="s">
        <v>637</v>
      </c>
      <c r="B109" t="s">
        <v>20</v>
      </c>
      <c r="C109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45.688733352775351</v>
      </c>
      <c r="D109" s="4" t="s">
        <v>88</v>
      </c>
      <c r="E109" t="s">
        <v>126</v>
      </c>
      <c r="F109" s="28" t="s">
        <v>634</v>
      </c>
      <c r="G109" s="11">
        <v>91.44</v>
      </c>
      <c r="H109" s="4">
        <v>1880</v>
      </c>
      <c r="I109" t="s">
        <v>51</v>
      </c>
      <c r="J109" s="10">
        <v>0.45</v>
      </c>
    </row>
    <row r="110" spans="1:11" x14ac:dyDescent="0.25">
      <c r="A110" t="s">
        <v>222</v>
      </c>
      <c r="B110" t="s">
        <v>20</v>
      </c>
      <c r="C110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15.407180149631303</v>
      </c>
      <c r="D110" s="4" t="s">
        <v>88</v>
      </c>
      <c r="E110" t="s">
        <v>126</v>
      </c>
      <c r="F110" s="36" t="s">
        <v>223</v>
      </c>
      <c r="G110" s="11">
        <v>33</v>
      </c>
      <c r="H110" s="4">
        <v>229</v>
      </c>
      <c r="I110" t="s">
        <v>51</v>
      </c>
      <c r="J110" s="10">
        <v>0.45040000000000002</v>
      </c>
      <c r="K110" t="s">
        <v>224</v>
      </c>
    </row>
    <row r="111" spans="1:11" x14ac:dyDescent="0.25">
      <c r="A111" t="s">
        <v>225</v>
      </c>
      <c r="B111" t="s">
        <v>20</v>
      </c>
      <c r="C111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32.760032760032757</v>
      </c>
      <c r="D111" s="4" t="s">
        <v>88</v>
      </c>
      <c r="E111" t="s">
        <v>126</v>
      </c>
      <c r="F111" s="36" t="s">
        <v>226</v>
      </c>
      <c r="G111" s="11">
        <v>50</v>
      </c>
      <c r="H111" s="4">
        <v>1800</v>
      </c>
      <c r="I111" t="s">
        <v>51</v>
      </c>
      <c r="J111" s="10">
        <v>1.0989</v>
      </c>
    </row>
    <row r="112" spans="1:11" x14ac:dyDescent="0.25">
      <c r="A112" t="s">
        <v>227</v>
      </c>
      <c r="B112" t="s">
        <v>20</v>
      </c>
      <c r="C112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29.333333333333332</v>
      </c>
      <c r="D112" s="4" t="s">
        <v>88</v>
      </c>
      <c r="E112" t="s">
        <v>126</v>
      </c>
      <c r="F112" s="36" t="s">
        <v>228</v>
      </c>
      <c r="G112" s="11">
        <v>50</v>
      </c>
      <c r="H112" s="4">
        <v>2200</v>
      </c>
      <c r="I112" t="s">
        <v>51</v>
      </c>
      <c r="J112" s="10">
        <v>1.5</v>
      </c>
    </row>
    <row r="113" spans="1:9" x14ac:dyDescent="0.25">
      <c r="A113" t="s">
        <v>229</v>
      </c>
      <c r="B113" t="s">
        <v>20</v>
      </c>
      <c r="C113" s="4">
        <f>IFERROR(IF(Ингредиенты[[#This Row],[Выход]]&lt;&gt;"",(Ингредиенты[[#This Row],[Цена/Обьем]]/Ингредиенты[[#This Row],[Обьем]]*100%/Ингредиенты[[#This Row],[Выход]]),Ингредиенты[[#This Row],[Цена/Обьем]]/Ингредиенты[[#This Row],[Обьем]]),"")</f>
        <v>20.8</v>
      </c>
      <c r="D113" s="4" t="s">
        <v>88</v>
      </c>
      <c r="E113" t="s">
        <v>126</v>
      </c>
      <c r="F113" s="29" t="s">
        <v>230</v>
      </c>
      <c r="G113" s="11">
        <v>50</v>
      </c>
      <c r="H113" s="4">
        <v>1040</v>
      </c>
      <c r="I113" t="s">
        <v>51</v>
      </c>
    </row>
    <row r="114" spans="1:9" x14ac:dyDescent="0.25">
      <c r="A114" t="s">
        <v>231</v>
      </c>
      <c r="C114"/>
      <c r="D114"/>
      <c r="G114"/>
      <c r="H114" s="4">
        <f>SUBTOTAL(109,Ингредиенты[Цена/Обьем])</f>
        <v>66879.399999999994</v>
      </c>
    </row>
  </sheetData>
  <dataValidations count="3">
    <dataValidation type="list" allowBlank="1" showInputMessage="1" showErrorMessage="1" sqref="B115:B1048576 B2:B113" xr:uid="{40BB77E6-08DC-4A8F-B491-45A6F7232B49}">
      <formula1>Сырье</formula1>
    </dataValidation>
    <dataValidation type="list" allowBlank="1" showInputMessage="1" showErrorMessage="1" sqref="I115:I1048576 I2:I113" xr:uid="{2DB8E375-397A-41EC-BAA1-8B9BE00715F8}">
      <formula1>"Да,Нет,Заказ"</formula1>
    </dataValidation>
    <dataValidation type="list" allowBlank="1" showInputMessage="1" showErrorMessage="1" sqref="D115:D1048576 D2:D113" xr:uid="{1EF955A0-9DFA-4B32-A24B-66A25AA9CB61}">
      <formula1>"Основа,Добавка"</formula1>
    </dataValidation>
  </dataValidations>
  <hyperlinks>
    <hyperlink ref="F50" r:id="rId1" display="https://www.ozon.ru/product/albumin-suhaya-krov-500-g-1322993999/?advert=WgH1jWyJ2xR4m3qsH69r18INvBzlRjw-YyAfI0X_KZvjKExBTIfUcPTS9QHk8z5DFa5t7E1maeRETo4mzjfETvVWuR01-IzMjkZxddNsi4MaTswRKhxUJHBereKHissou6K-J_QS27jxBxSiF_1ZGZ8onIRfCgw9WZKadb6ZZ51n9b0ICnKOHDKGyhdPq5rS8Xw-iUtbBJbyLy-kyqZ4PKghhCcuFRGNkxGr1ynten7J4Zh6Y7OUK9YYLIh1QaSdM3UW7OEHmUU2HZAwfsmmeMmWFqeX-6dU319hEpGGUiCrJYE-wECw2igo8x1AhdKmex1IwFe_qEIvkAtkxxz7tPuKzMgTdg&amp;avtc=1&amp;avte=2&amp;avts=1707737098&amp;keywords=%D0%B0%D0%BB%D1%8C%D0%B1%D1%83%D0%BC%D0%B8%D0%BD+%D0%BA%D1%80%D0%BE%D0%B2%D1%8C" xr:uid="{8E1353CB-340B-42E5-9CDA-6BD2D6FA34DA}"/>
    <hyperlink ref="F51" r:id="rId2" display="https://www.ozon.ru/product/zhelatin-gala-aspik-s-aromatom-govyadiny-100-gr-5-paketov-1328180818/?asb=jK3IjhYApm4BUADftYPW95zEz4T8BFbi8YFKm2Vv9cw%253D&amp;asb2=xS837CmAFlS9DLw31mqUiIT96wi_m0Gfz4eddPABA-I3ClqvtIhnu0XMeZOq0h44&amp;avtc=1&amp;avte=2&amp;avts=1707737176&amp;from_sku=846913059&amp;from_url=https%253A%252F%252Fwww.ozon.ru%252Fsearch%252F%253Ftext%253D%2525D0%252590%2525D1%252581%2525D0%2525BF%2525D0%2525B8%2525D0%2525BA%25252C%252B220%252B%2525D0%2525B1%2525D0%2525BB%2525D1%25258E%2525D0%2525BC%2526from_global%253Dtrue&amp;keywords=%D0%90%D1%81%D0%BF%D0%B8%D0%BA%2C+220+%D0%B1%D0%BB%D1%8E%D0%BC&amp;oos_search=false" xr:uid="{FF080AA1-BB2A-483F-9BA1-98F1580CBEBD}"/>
    <hyperlink ref="F52" r:id="rId3" display="https://europa-market.ru/product/slivki-svitlogore-500g-20-ultrapasterizovannye-335652" xr:uid="{9F15DE0C-4824-498A-89B3-22D301FAD894}"/>
    <hyperlink ref="F55" r:id="rId4" display="https://europa-market.ru/product/sol-1kg-pischevaya-v-pachke-312405" xr:uid="{B4F2A4B2-124E-456E-8DF8-CF5177F30785}"/>
    <hyperlink ref="F57" r:id="rId5" display="https://europa-market.ru/product/sahar-pesok-evropa-17kg-35175" xr:uid="{FE265CF5-E06B-4FB9-87AE-28A40EC9DA8F}"/>
    <hyperlink ref="F59" r:id="rId6" display="https://www.ozon.ru/product/perets-belyy-goroshek-perets-goroshkom-noyer-250-gr-202659590/?advert=8BHobJ2dMPS1dFRDwQGkLycUQ2fVnrPKn4RSiHK4exa858Rl7kqxljM0Qd1uJrhuLrRJoePWxtlQbOOaWbK2_3hQj0UW6AA-0jtala5o1TZYtdq7PfC6pCNhrcanUb_ekgDHYCaN4n1lklgecabQeOklJFPx0SIg21dK20Zm5ajUQ0awHn2j37i8gBAPY1FSReJOSNRZ_D1R2lunlwVD8wvUOdqhjPKIcWfcd79L5gnpYTJ39Ad34eg_VtPWIv9_x_1rrMqIrSSYtNGXkeu_E31DtziBfCW0m2ho9d88idRKDt06W2B50Nq1DPsufY3i0rXXSNV6hJbRx3Yj8w5sb3H2YA&amp;avtc=1&amp;avte=2&amp;avts=1707737980&amp;keywords=%D0%BF%D0%B5%D1%80%D0%B5%D1%86+%D0%B1%D0%B5%D0%BB%D1%8B%D0%B9" xr:uid="{A568E6B0-CA7C-4C92-B5B0-B4359BA4F627}"/>
    <hyperlink ref="F60" r:id="rId7" display="https://www.ozon.ru/product/perets-dushistyy-indana-goroshek-180-gr-500-ml-246968553/?asb=JxAFr7l02thPpPsRizYkzDXgnlsDVP8fSfG4h%252FDYFSE%253D&amp;asb2=MIKSXjUVv4NhTLuJTx3iW1zm9K4GXseixcJeqGnQcVusSZ5YKJq3El7t58KdaLg7zNPVgpUE10j9k-t0cfdR7g&amp;avtc=1&amp;avte=4&amp;avts=1707738061&amp;keywords=%D0%BF%D0%B5%D1%80%D0%B5%D1%86+%D0%B4%D1%83%D1%88%D0%B8%D1%81%D1%82%D1%8B%D0%B9" xr:uid="{FD17F709-DB58-45C0-B650-83B6E1966CF3}"/>
    <hyperlink ref="F61" r:id="rId8" display="https://www.ozon.ru/product/perets-krasnyy-chili-silnozhguchiy-molotyy-indana-550-g-1000-ml-s-dozatorom-246969889/?asb=p9iLbtsc5bAv3Lp8WYkQKuDZqai41lLZ5EtyEiuMmYA%253D&amp;asb2=2gPvJRT99l54vHdOm5FcLdlVi2sXPCg-LTd5Q-pcJobKf2LOs9nw8FdDWh8NdO7dDY6DOXW1BTPQX_fhPkwJXw&amp;avtc=1&amp;avte=2&amp;avts=1707738145&amp;from_sku=233677591&amp;from_url=https%253A%252F%252Fwww.ozon.ru%252Fcategory%252Fprodukty-pitaniya-9200%252F%253Fcategory_was_predicted%253Dtrue%2526deny_category_prediction%253Dtrue%2526from_global%253Dtrue%2526text%253D%2525D0%2525BF%2525D0%2525B5%2525D1%252580%2525D0%2525B5%2525D1%252586%252B%2525D1%252587%2525D0%2525B8%2525D0%2525BB%2525D0%2525B8&amp;keywords=%D0%BF%D0%B5%D1%80%D0%B5%D1%86+%D1%87%D0%B8%D0%BB%D0%B8&amp;oos_search=false" xr:uid="{67C99FF4-8E02-4598-9E3E-38EC93ED6635}"/>
    <hyperlink ref="F62" r:id="rId9" display="https://www.ozon.ru/product/perets-chernyy-goroshek-goroshkom-tm-indana-1-000-ml-500-gr-756635104/?asb=h9UTCx6uWapZtVevi4rZb5937A%252FKap2BN5pSrQBDG54%253D&amp;asb2=gXFeKw9o4pEwa30p4HUgQY6JXE5Ji234PVobcdiYqwhmk6CIigaDNgQoDtJusog64PGGJNRWTOfO1v8tAp_QDg&amp;avtc=1&amp;avte=2&amp;avts=1707738213&amp;from_sku=760689187&amp;from_url=https%253A%252F%252Fwww.ozon.ru%252Fcategory%252Fspetsii-pripravy-i-pryanosti-9411%252F%253Fcategory_was_predicted%253Dtrue%2526deny_category_prediction%253Dtrue%2526from_global%253Dtrue%2526text%253D%2525D0%25259F%2525D0%2525B5%2525D1%252580%2525D0%2525B5%2525D1%252586%252B%2525D1%252587%2525D0%2525B5%2525D1%252580%2525D0%2525BD%2525D1%25258B%2525D0%2525B9%252B%2525D0%2525B3%2525D0%2525BE%2525D1%252580%2525D0%2525BE%2525D1%252588%2525D0%2525B5%2525D0%2525BA&amp;keywords=%D0%9F%D0%B5%D1%80%D0%B5%D1%86+%D1%87%D0%B5%D1%80%D0%BD%D1%8B%D0%B9+%D0%B3%D0%BE%D1%80%D0%BE%D1%88%D0%B5%D0%BA&amp;oos_search=false" xr:uid="{06E9D062-B367-44C8-AC1C-2E9AA8A83607}"/>
    <hyperlink ref="F63" r:id="rId10" display="https://www.ozon.ru/product/tmin-molotyy-indana-250-g-500-ml-s-dozatorom-246968539/?asb=JZKPwwwmcYbiTKFw6Nx1TvEzhisBxpluURYM0ojxm6c%253D&amp;asb2=FoZVfZvvg_YNPk3G5AdXD1XTvbJfZSIeJs71aTn1pqr1njL4nI0buJA6SuojA2IwgTn4T1r2rZBpJRJsFlnkqw&amp;avtc=1&amp;avte=2&amp;avts=1707738294&amp;keywords=%D1%82%D0%BC%D0%B8%D0%BD+%D0%B8%D0%BD%D0%B4%D0%B0%D0%BD%D0%B0" xr:uid="{41055598-03D0-46D3-A53D-E174AB4E7AD7}"/>
    <hyperlink ref="F64" r:id="rId11" display="https://www.ozon.ru/product/paprika-krasnaya-molotaya-perets-sladkiy-krasnyy-indana-550-gr-1000-ml-s-dozatorom-246970010/?asb=6TKPDHQv4XsWJICei0qgrQNw8B83wHHpGmyPwxrQQhg%253D&amp;asb2=bkWY_q3D3vTIHNuSTGYs2dmgdLJDB84H_LGWNNmIJbdK0Q60mWLOpEdh0zkmFSNWxuUS3qa0vTT70OrgVvmSLA&amp;avtc=1&amp;avte=4&amp;avts=1707738349&amp;keywords=%D0%9F%D0%B0%D0%BF%D1%80%D0%B8%D0%BA%D0%B0+%D0%BA%D1%80%D0%B0%D1%81%D0%BD%D0%B0%D1%8F+%D0%BC%D0%BE%D0%BB%D0%BE%D1%82%D0%B0%D1%8F" xr:uid="{3BD9A623-CD87-48ED-9354-20B092C0A7C3}"/>
    <hyperlink ref="F66" r:id="rId12" display="https://www.ozon.ru/product/muskatnyy-oreh-molotyy-indana-220-g-500-ml-s-dozatorom-233676928/?asb=oYufqDyCVsNAz1Znwh6jRdNahpyp%252FBtpLoNUT2tMAyE%253D&amp;asb2=61ZUKjW4hmbvJRDDGXuGUYZqVW1zZV_4Qcz5s3YbBl99ov0Yeyin3igJfJv7-WSx&amp;avtc=1&amp;avte=2&amp;avts=1707741998&amp;keywords=%D0%9C%D1%83%D1%81%D0%BA%D0%B0%D1%82%D0%BD%D1%8B%D0%B9+%D0%BE%D1%80%D0%B5%D1%85+%D0%B8%D0%BD%D0%B4%D0%B0%D0%BD%D0%B0" xr:uid="{1782C06F-6D69-4BC6-B18B-F4F032D8E06E}"/>
    <hyperlink ref="F68" r:id="rId13" display="https://www.ozon.ru/product/chesnok-sushenyy-granulirovannyy-indana-600-g-1000-ml-s-dozatorom-214345648/?asb=eQAJAslsEl3hfvK%252Ba2e8gk490X1G3bIW62VSYDBqiC8%253D&amp;asb2=7oHyX2i4TKVDbVaejY0EFrGR4tmzWmnOxjkPeaulcsgWxdlobfNruWaEz9mXj3mKcgjiV4WCyScL_XxWg2bMSA&amp;avtc=1&amp;avte=2&amp;avts=1707742061&amp;keywords=%D0%A7%D0%B5%D1%81%D0%BD%D0%BE%D0%BA+%D1%81%D1%83%D1%88%D0%B5%D0%BD%D1%8B%D0%B9+%D0%B3%D1%80%D0%B0%D0%BD%D1%83%D0%BB%D0%B8%D1%80%D0%BE%D0%B2%D0%B0%D0%BD%D0%BD%D1%8B%D0%B9+%D0%B8%D0%BD%D0%B4%D0%B0%D0%BD%D0%B0" xr:uid="{84F41E76-5E86-4366-8A66-B7F968FCE826}"/>
    <hyperlink ref="F70" r:id="rId14" display="https://www.ozon.ru/product/kardamon-molotyy-vysshiy-sort-300-g-kuragovo-1072075710/?advert=sXKaJlMKNiGBbNRtqqzPoH4TiMQz7C5hbZmlE4Q3NYDKZRMMx31gtVX87vK5q5ivIu9umP-J04FngkyX_oq-vROGZKQtryjQaHEX5cAdZsNsxJPI9eRC0uAjkPNyF9loQMFNi5BpL7oAAtviBlDpSzuJeFatkEsAw7ohxdL3Ipdb23kmqB_3qCmajFeaZ9vS7MygRrdHmVn1hHZ2TqzarerqsTsm2DhR5pojTWgE7GJAvYNKj3-vnzEj4Eu72iKasr56nrwiT1PsjEgyzUUuTT53PRvx3yyRPUGaZk_cOUON9MS0vkbM15CLDw63ojrpSRjTWAbazpmv0yjbe0ByrKVNiAI&amp;avtc=1&amp;avte=2&amp;avts=1707742125&amp;keywords=%D0%9A%D0%B0%D1%80%D0%B4%D0%B0%D0%BC%D0%BE%D0%BD" xr:uid="{33611BF4-1BE2-4F61-81BD-38D2EDCFE0D5}"/>
    <hyperlink ref="F71" r:id="rId15" display="https://www.ozon.ru/product/koriandr-molotyy-indana-450-g-1000-ml-s-dozatorom-213559863/?asb=1ltog0we0G88m1FFn2F5shKV4%252F7pdj5oB8ZM1X75AZE%253D&amp;asb2=wXOU-hGDvQgn8wjTd4_ItEm_u7WyO_tfGRKwfj1wQGidcJpAjXEXcaq8I7nyQVNw6WOWttA32Aoq-DkyhKiR1w&amp;avtc=1&amp;avte=2&amp;avts=1707742194&amp;keywords=%D0%BA%D0%BE%D1%80%D0%B8%D0%B0%D0%BD%D0%B4%D1%80+%D0%B8%D0%BD%D0%B4%D0%B0%D0%BD%D0%B0" xr:uid="{0BCDF29D-FB0C-4E01-8968-B64A344F8FA3}"/>
    <hyperlink ref="F72" r:id="rId16" display="https://www.ozon.ru/product/fosfat-pishchevoy-dlya-kolbasy-sosisok-sardelek-1002521417/?advert=0iWBmpcVSyqpmzkbdsdgVguWsF9IyCwkuqyzPYohyP1_9orgbdntelA_CJOkzjQ4YrIpWLQ1Y2zcvk1yY5oIKGkg9nR_cG7rFVxl9b3UfvDTcreiSLdqYLpnFaKc1cU6AaGO8EPTwvexD5WYl0ffDuRWYrOyluv5LSMA1j3fFhR7z_qsOXc0jil_fIvjeMDhTHip9V1Ubxk0oyFwQAu1lq_rj9bb_xTq2nww_4dz8q65IWoTPyeHLXWdw5k4cVpzA7RHraXaQZzFpM5mrwiAf-dax0N50fDu8esGp5HenHlYkbO0uUzXRWYfB_jLT0GnZTSlPQvdxqAYKdMuHtjNQqBXxwjCqQ&amp;avtc=1&amp;avte=2&amp;avts=1707742233&amp;keywords=%D1%84%D0%BE%D1%81%D1%84%D0%B0%D1%82+%D0%BF%D0%B8%D1%89%D0%B5%D0%B2%D0%BE%D0%B9" xr:uid="{DF9459F8-32D5-46E3-B6EA-B4ECE774D4CB}"/>
    <hyperlink ref="F73" r:id="rId17" display="https://www.emkolbaski.ru/askorbinat-askorbat-natriya-1-kg-i-2-kg/" xr:uid="{B83CF2C1-1EF2-49CA-9C68-6ECFD31EB183}"/>
    <hyperlink ref="F74" r:id="rId18" display="https://www.ozon.ru/product/glutamat-natriya-naturalnyy-1-000-ml-800-gr-priprava-usilitel-vkusa-i-aromata-pishchevaya-dobavka-529935601/?asb=YilaFTsvEn6wjCkP6F4trF0ocqBhTxnCAH2nCSxN0Zo%253D&amp;asb2=GjEKjDkC8u7fgohsAoudAzKHX4Y-LSzLsMhb_Zgcld_uW59GlgWu-Ba8UNYp4RJSnbpLnS5oph2wjpPv4N_3bg&amp;avtc=1&amp;avte=2&amp;avts=1707742410&amp;keywords=%D0%B3%D0%BB%D1%83%D1%82%D0%B0%D0%BC%D0%B0%D1%82+%D0%BD%D0%B0%D1%82%D1%80%D0%B8%D1%8F" xr:uid="{38D92BC1-F2ED-4E0D-AF78-C98650FEA94C}"/>
    <hyperlink ref="F75" r:id="rId19" display="https://www.ozon.ru/product/tsitrat-natriya-pishchevaya-dobavka-e331-natriy-limonnokislyy-2-kg-4-500-gr-755454232/?asb=NC9jhX9I14zaEVuZGyDyIdRDZKUaIPIK3AQqWilZ%252F2UIhJKbSfLIQv8L6OLrobl7&amp;asb2=pT_O6m5Nh9AwD0MaTZd_0Ve4Krn55e1SUMX1RPXW2v6y7qZX0HefvPMyzcxXc_QduSrtx70ICHK9eN15pju5EvAXKnb5da2I3av-ORFOG2v9QvgvQLfOOroyeunt7bds6SzeRjbHhJ3XhZSdlr2ZJvTDzTfMkNScegpgc0B8uHXB0WHW2t99opF-FyhMv-UI&amp;avtc=1&amp;avte=2&amp;avts=1707742515&amp;keywords=%D1%86%D0%B8%D1%82%D1%80%D0%B0%D1%82+%D0%BD%D0%B0%D1%82%D1%80%D0%B8%D1%8F+%D0%BF%D0%B8%D1%89%D0%B5%D0%B2%D0%BE%D0%B9" xr:uid="{B996DE7C-3CAA-4B90-A6CC-F8323588A670}"/>
    <hyperlink ref="F77" r:id="rId20" display="https://www.ozon.ru/product/gvozdika-tselaya-tselye-sushenye-semena-gvozdiki-naturalnaya-spetsiya-i-priprava-travy-indana-300-828189508/?asb=ihXnn0Rlo7wwk%252Fay9IgpBLKQp0DjWlwwsAZDEO%252BfGtA%253D&amp;asb2=bFHcfr93Sw_iPL8NoKP3aZc-n8Lu0nraX7hobMY99vSeO5wfnOOZqOARfmgWGEqMBuMiGEuxNMJJvlga4B_Xow&amp;avtc=1&amp;avte=2&amp;avts=1707742591&amp;from_sku=758942631&amp;from_url=https%253A%252F%252Fwww.ozon.ru%252Fsearch%252F%253Ftext%253D%2525D0%2525B3%2525D0%2525B2%2525D0%2525BE%2525D0%2525B7%2525D0%2525B4%2525D0%2525B8%2525D0%2525BA%2525D0%2525B0%252B%2525D0%2525B8%2525D0%2525BD%2525D0%2525B4%2525D0%2525B0%2525D0%2525BD%2525D0%2525B0%2526from_global%253Dtrue&amp;keywords=%D0%B3%D0%B2%D0%BE%D0%B7%D0%B4%D0%B8%D0%BA%D0%B0+%D0%B8%D0%BD%D0%B4%D0%B0%D0%BD%D0%B0&amp;oos_search=false" xr:uid="{527FC77E-E3B5-47A9-9629-B1451AD9B5EF}"/>
    <hyperlink ref="F78" r:id="rId21" display="https://www.ozon.ru/product/badyan-anis-zvezdchatyy-naturalnye-zvezdochki-tselnye-semena-badyana-pryanost-priprava-dlya-214344546/?asb=ha9X3SDpYMumraR8madnrXDZ0bSn%252BhFIeyZ4xB5n71U%253D&amp;asb2=bcbAV-nFp8x9CK1h_zeK_bG2xyHWrO59x_T8_ikCLfzJDO16WZqUcWLR2bfQ0y0_gGdJgzFh815xUBlGVS2L9Q&amp;avtc=1&amp;avte=4&amp;avts=1707742683&amp;keywords=%D0%B1%D0%B0%D0%B4%D1%8C%D1%8F%D0%BD+%D0%B8%D0%BD%D0%B4%D0%B0%D0%BD%D0%B0" xr:uid="{35A770EC-5CE3-4A55-A2A8-DF7DAA803697}"/>
    <hyperlink ref="F79" r:id="rId22" display="https://www.ozon.ru/product/fenhel-semena-indana-190-g-s-dozatorom-233678714/?asb=fcTcsPcFm7kHDMLZxbU6uX%252B1Pvcz3Sb%252BrK15VkNPBH4%253D&amp;asb2=3b1GYTSlEEYF6ekh7qqVKmGosGgqglP8S-1PA_Jj4IN-u7S_NzIQtfemnIX6q2YR&amp;avtc=1&amp;avte=2&amp;avts=1707742724&amp;keywords=%D1%84%D0%B5%D0%BD%D1%85%D0%B5%D0%BB%D1%8C+%D0%B8%D0%BD%D0%B4%D0%B0%D0%BD%D0%B0" xr:uid="{6AD4B950-943D-4101-BAAE-1B25B90AC0AB}"/>
    <hyperlink ref="F54" r:id="rId23" display="https://www.emkolbaski.ru/opt-nitritnaya-sol-25-kg-meshok/" xr:uid="{5F29C3CB-827F-47E7-93CF-94163798FF45}"/>
    <hyperlink ref="F80" r:id="rId24" display="https://www.emkolbaski.ru/startovyie-kulturyi-i-quot-t-sp-i-quot-dlya-s-v-s-k-kolbas-i-quot-klassicheskiy-evropeyskiy-vkus-i-quot-5gr-umenshennaya-fasovka/" xr:uid="{3A75BF69-87A3-455E-A994-0CE2EFC842BA}"/>
    <hyperlink ref="F81" r:id="rId25" display="https://www.emkolbaski.ru/kristallyut/" xr:uid="{0CF6CE42-3DD4-499D-8F98-ED26AF4F9DF4}"/>
    <hyperlink ref="F82" r:id="rId26" display="https://www.ozon.ru/product/mayoran-sushenyy-homyakovo-230-gr-zelen-sushenaya-naturalnaya-priprava-535927630/?asb=J5z0A8pRfSfeV%252FwvnEZ%252BVHdyA58mxR8n5IoCR3r3lxU%253D&amp;asb2=2zapEu5fy-zJOIr_jdmt26LJLIKoqELBGFI1C7bZkX604YkOTn-f7ntfs3tSJUWYbpItA1cMdyaH61bhssKdxw&amp;avtc=1&amp;avte=2&amp;avts=1707743064&amp;keywords=%D0%BC%D0%B0%D0%B9%D0%BE%D1%80%D0%B0%D0%BD" xr:uid="{CD160DE0-97B4-4791-BAEA-81129A5951D2}"/>
    <hyperlink ref="F86" r:id="rId27" display="https://www.ozon.ru/product/timyan-chabrets-list-gornyy-indana-90-gr-500-ml-s-dozatorom-262894422/?asb=u8QRi2YHj7TVcByiJo4RjTz8jIGtEWzVFUO%252FYo0%252Fh%252Bo%253D&amp;asb2=yHiXj3O1v_ieaBICcnFNw1Wu2YBdfyb6GIax00WfddvHQ4Fy6m-1iRJhXUNxy-C0MvbNaBzqkKJt_BjX0SKqMA&amp;avtc=1&amp;avte=2&amp;avts=1707743129&amp;from_sku=262894422&amp;from_url=https%253A%252F%252Fwww.ozon.ru%252Fcategory%252Fprodukty-pitaniya-9200%252F%253Fcategory_was_predicted%253Dtrue%2526deny_category_prediction%253Dtrue%2526from_global%253Dtrue%2526text%253D%2525D1%252582%2525D0%2525B8%2525D0%2525BC%2525D1%25258C%2525D1%25258F%2525D0%2525BD&amp;keywords=%D1%82%D0%B8%D0%BC%D1%8C%D1%8F%D0%BD&amp;oos_search=false" xr:uid="{A29BE412-EE58-4F64-A220-C8C7155EA5AF}"/>
    <hyperlink ref="F87" r:id="rId28" display="https://www.ozon.ru/product/selderey-zelen-sushenaya-premium-768342160/?advert=XGwIYthANmybBR7bUJGbBCZ2JupU8s0qaJjBscUughSH4sr4UPQF-AYGEKnJ6S_FdZXOg9LmRiynhAHS_7NWLFwbs1Dvh7kWTg8Zhh_fCBkWgHmgLzmGhBlC_sMLdCkqdxq_1WFodJe2F87JQ9IvCceBHdWalyQIR7lOU4eg1jpwETEO9JH3RfUGSknFaNNHv-TdPhi2V25bSrqJTh4zBgygA-hiIRCv9o8YNFTPaGOeBhn00vE6iTz_3f2TYlOcNolTdI_XK7dkbg9Sbi-B1wK-XwplNhKNYQc4IYSYT2aTRazbWxeTkSflob63RDzfi9Wdw5ArQDe3VqTD60TePqXCc3U&amp;avtc=1&amp;avte=2&amp;avts=1707743187&amp;from_sku=768342160&amp;from_url=https%253A%252F%252Fwww.ozon.ru%252Fcategory%252Fspetsii-pripravy-i-pryanosti-9411%252F%253Fcategory_was_predicted%253Dtrue%2526deny_category_prediction%253Dtrue%2526from_global%253Dtrue%2526text%253D%2525D1%252581%2525D0%2525B5%2525D0%2525BB%2525D1%25258C%2525D0%2525B4%2525D0%2525B5%2525D1%252580%2525D0%2525B5%2525D0%2525B9%252B%2525D1%252581%2525D1%252583%2525D1%252588%2525D0%2525B5%2525D0%2525BD%2525D1%25258B%2525D0%2525B9&amp;keywords=%D1%81%D0%B5%D0%BB%D1%8C%D0%B4%D0%B5%D1%80%D0%B5%D0%B9+%D1%81%D1%83%D1%88%D0%B5%D0%BD%D1%8B%D0%B9&amp;oos_search=false" xr:uid="{B23D6CC8-CDF1-4067-92E2-E509F7A55F83}"/>
    <hyperlink ref="F88" r:id="rId29" display="https://www.ozon.ru/product/lavrovyy-list-tselyy-sushenyy-indana-50-g-1000-ml-754886890/?asb=l8kZCJa35wsBa5mTBcFqmbcDYiSpeBAU73fP%252BQPWGhU%253D&amp;asb2=x2Hfydn_Bvosr8UeJ8kLFiPTNqd8SM7EM9Xkd58X8EzoY1CmM0W5zcD1RLVnvcxNs28taFRadEmJpm_6dp0boQ&amp;avtc=1&amp;avte=2&amp;avts=1707743315&amp;keywords=%D0%BB%D0%B0%D0%B2%D1%80%D0%BE%D0%B2%D1%8B%D0%B9+%D0%BB%D0%B8%D1%81%D1%82" xr:uid="{CF65DACF-9E26-4D16-950D-DE5FDBE7ED79}"/>
    <hyperlink ref="F94" r:id="rId30" display="https://www.ozon.ru/product/koritsa-molotaya-naturalnaya-indana-450-g-1000-ml-s-dozatorom-754952582/?asb=AjTtP%252FxIaf3KuaEVZtklTDYDv1f3bXQ4bsIRbeQ%252BTV4%253D&amp;asb2=bc20ugGe3Gv_akP4r0q72IXkWyRUkYt5F3kDBekqgfGTTlSawAZkGWt_9VRyAKxKnsEDH2X1-4jCxApHTEh3Fw&amp;avtc=1&amp;avte=2&amp;avts=1707743356&amp;from_sku=754896601&amp;from_url=https%253A%252F%252Fwww.ozon.ru%252Fcategory%252Fspetsii-pripravy-i-pryanosti-9411%252Findana-141836712%252F%253Fcategory_was_predicted%253Dtrue%2526deny_category_prediction%253Dtrue%2526from_global%253Dtrue%2526text%253D%2525D0%2525BA%2525D0%2525BE%2525D1%252580%2525D0%2525B8%2525D1%252586%2525D0%2525B0%252B%2525D0%2525B8%2525D0%2525BD%2525D0%2525B4%2525D0%2525B0%2525D0%2525BD%2525D0%2525B0&amp;keywords=%D0%BA%D0%BE%D1%80%D0%B8%D1%86%D0%B0+%D0%B8%D0%BD%D0%B4%D0%B0%D0%BD%D0%B0&amp;oos_search=false" xr:uid="{C3CB6625-A529-48E0-B666-E35B198B977B}"/>
    <hyperlink ref="F95" r:id="rId31" display="https://www.ozon.ru/product/myata-perechnaya-sushenaya-premium-768746378/?advert=zalKR-5ATDvoB1EJJ6wjyn8HNU1jjiMhmymbL7xk3zBKqT69CI97dh7hqXyx0juVI1T_rEwYo5FouWkv0QZ0ytpsfNMAotcOdMDqPqQs_TnRlDA-yR_qfyYIZNENVEKEzCHqcem1XaXGybhVQLFHKL4q5R8tlBZAbLFvASpzVANrudqt3zKrHq-j9sgymh6kKqUIGqTwEkdQLRvdtFrV1Yi9CSfCvdqo4D04fLqaCJSYWPBjN9d2bVGc2PtlkBuzGQWUNZUJ3xRUnTYjmimB2vhBYorIdp4v_EUM-bbuOVyKr7MtbtwAnymbb4P3wpMf_vDsReah1hrLepZNdHMn9D83YB16cg&amp;avtc=1&amp;avte=2&amp;avts=1707743431&amp;keywords=%D0%BC%D1%8F%D1%82%D0%B0+%D0%BF%D1%80%D0%B8%D0%BF%D1%80%D0%B0%D0%B2%D0%B0" xr:uid="{2DF51D31-B4CF-49F7-AFA0-5529D90CD5B2}"/>
    <hyperlink ref="F96" r:id="rId32" display="https://www.ozon.ru/product/semena-gorchitsy-premium-spetsii-pripravy-pryanost-optom-768587997/?advert=QMLVyijtfKNKKqfy9JHjw1l2j_RZJL0-6zAAkMDrDpjwpUpHRw3sqPNxhRmIuUbDnd8Flamv5grAY0iyezGXoOIhp-6o1ke-VOB0h5W-xgtX_eK5NDaA6auJzFITPCzWOMhz_q-Fr45vQHz1vbJale0FJ6yk9Qdy3JJBTsFEkTTljJYuj1SRbUcL4u0FvcFN_v4OlduWelFMrtGEuuov9HeYszdpvcNdVghUoLHEbv_LEYpwUvDHYm91ojc4dLfTPidaYyRxhQ0h6_iLJzopZc4r2RyyD_H-YWsMHTNX3objMLjZEIg2KNCjdZYQK0NuBQGAoWFXzRZCapKjUn-oT0dn2ttliA&amp;avtc=1&amp;avte=2&amp;avts=1707743485&amp;keywords=%D0%B3%D0%BE%D1%80%D1%87%D0%B8%D1%86%D0%B0+%D0%B2+%D0%B7%D0%B5%D1%80%D0%BD%D0%B0%D1%85" xr:uid="{0E6C8707-F868-4E2C-82DE-F2757E7575B6}"/>
    <hyperlink ref="F99" r:id="rId33" display="https://www.emkolbaski.ru/smes-dlya-sosisok-molochnyih-1-kg-i-2-kg/" xr:uid="{3A244540-5C76-4777-95D1-64962EED3FB4}"/>
    <hyperlink ref="F100" r:id="rId34" display="https://www.emkolbaski.ru/smes-priprav-dlya-mortadellyi-1-kg-i-2-kg/" xr:uid="{7E8A07E8-9EF3-457C-B419-FB9BE4DB2290}"/>
    <hyperlink ref="F101" r:id="rId35" display="https://www.emkolbaski.ru/smes-dlya-lukanki-1-kg-i-2-kg/" xr:uid="{6D668C80-9C46-42F3-8C86-5581D2A1D64E}"/>
    <hyperlink ref="F105" r:id="rId36" display="https://www.emkolbaski.ru/opt-poliamidnaya-dlya-varenyih-kolbas-i-vetchin-80mm-50m/" xr:uid="{BF909978-BFF4-4817-92EA-FAC9E231C4B7}"/>
    <hyperlink ref="F106" r:id="rId37" display="https://www.emkolbaski.ru/membrin-42-mm-gofra-kolcevaya-universalnaya-obolochka-32-metra/" xr:uid="{7403ED16-17A5-4F5D-8F09-30E08D2D7CE9}"/>
    <hyperlink ref="F107" r:id="rId38" display="https://www.emkolbaski.ru/svinaya-chereva-38-40-10m-91m/" xr:uid="{DE52B812-250B-4D1A-B8D5-D943FE90D400}"/>
    <hyperlink ref="F108" r:id="rId39" display="https://www.emkolbaski.ru/svinaya-chereva-32-34-91-44m-puchok/" xr:uid="{068ABA90-FE87-441E-A7BA-9DC8518199DE}"/>
    <hyperlink ref="F110" r:id="rId40" display="https://www.emkolbaski.ru/poliamidnaya-sosisochnaya-obolochka/" xr:uid="{B06CDB2A-18E2-4296-B987-69E36EC98955}"/>
    <hyperlink ref="F111" r:id="rId41" display="https://www.emkolbaski.ru/50-metrov-polimernaya-obolochka-dlya-vyalenyih-kolbas-naloferm/" xr:uid="{81560F6B-D6F1-4AFC-836F-DA1647FE2B26}"/>
    <hyperlink ref="F42" r:id="rId42" display="https://europa-market.ru/product/vino-gusto-1l-10-12-krasnoe-suh-tetra-pak-222790" xr:uid="{CDCE8A2F-A825-42C1-978E-357595D8E250}"/>
    <hyperlink ref="F43" r:id="rId43" display="https://europa-market.ru/product/vino-gusto-1l-10-12-beloe-suh-tetra-pak-222793" xr:uid="{B3F6E4DD-AF73-4B25-A6FD-22937623EA5C}"/>
    <hyperlink ref="F46" r:id="rId44" display="https://europa-market.ru/product/suhoe-moloko-dlya-vypechki-14442" xr:uid="{FD0527BD-EC70-4511-8EF9-861CC4ADEFA9}"/>
    <hyperlink ref="F47" r:id="rId45" display="https://europa-market.ru/product/fistashki-500g-orehovaya-dolina-888583" xr:uid="{6383F1C0-66B3-4132-9682-DF9C65C5149E}"/>
    <hyperlink ref="F48" r:id="rId46" display="https://europa-market.ru/product/syr-rossiyskiy-50-baranovichi-belarus-393" xr:uid="{B942D3EA-63D3-4F22-A8A7-E6D9F317FC58}"/>
    <hyperlink ref="F97" r:id="rId47" display="https://www.ozon.ru/product/perets-chili-struchkovyy-tselyy-1-kg-priprava-spetsiya-788691363/?advert=bSdPe9GgrmzfZ83qGYjvOPZDqPp5QitsfXMzaqRNRZf62GiLbkXWHUDCMYLp27Ibgg92djpun4tmcfME84NV7EM7IUu2hRYsf6cOBtuvGzVOjApJo9w_8cfWUUw4GLvAiJqARMhg0Vp0qH-O_OCZ0F15pNZw_8wn4LGLeaGVHPHdsZZqNA1zINTTldljRarFjAHkhJ1-PykL0JmFYpn0_BCBvkkLUN9x-UP9AfbDj06BA5zE2BSvQdt3ciYGs4UZ8zfJ9QsXIdqpFlOx7yDjAqKeqM7K-RCMkm0QG9ih0mgwGF5TXHdvsaKULqYyo6fsQ3cvIA92dFxn3lcIO9b46jm6Enk&amp;avtc=1&amp;avte=2&amp;avts=1707743529&amp;from_sku=788713684&amp;keywords=%D0%9F%D0%B5%D1%80%D0%B5%D1%86+%D1%87%D0%B8%D0%BB%D0%B8+%D1%86%D0%B5%D0%BB%D1%8B%D0%B9&amp;oos_search=false" xr:uid="{100B854C-B574-450E-ABB7-63DCE67398AD}"/>
    <hyperlink ref="F112" r:id="rId48" display="https://www.emkolbaski.ru/opt-kollagenovaya-obolochka-tsvet-karamel-kalibr-50mm-50m/" xr:uid="{0357BB65-E620-4DDC-BB1D-E4F4453D9335}"/>
    <hyperlink ref="F102" r:id="rId49" display="https://www.emkolbaski.ru/polimernaya-obolochka-dlya-syirovyaleniya-aytsel-25-m/" xr:uid="{86938EAA-EE17-4DEC-A78C-84B1E81E0118}"/>
    <hyperlink ref="F103" r:id="rId50" display="https://www.emkolbaski.ru/opt-poliamidnaya-dlya-varenyih-kolbas-i-vetchin-60mm-50m/" xr:uid="{57D62945-95B5-4680-B139-67B7F3C2251D}"/>
    <hyperlink ref="F104" r:id="rId51" display="https://www.emkolbaski.ru/fibrouznaya-obolochka-dlya-servelatov-kopchenie-50-metrov/" xr:uid="{46DC1AC7-CBAC-4C82-A18E-83E25B144D9B}"/>
    <hyperlink ref="F39" r:id="rId52" display="https://www.ozon.ru/product/uksus-stolovyy-9-1-l-1194373193/?asb=JJcBcZ7ziYoa3HIQp4ZdengleeWRozYonKsXrWO0voU%253D&amp;asb2=A76e3IcR_s7my54OCQGu1v999jGlP_9o0fL8qUi0At5x6Bje-PC60z16WXDC_U64hubYV3gu5OFKH_Ce0i64tA&amp;avtc=1&amp;avte=2&amp;avts=1710312762&amp;keywords=%D1%83%D0%BA%D1%81%D1%83%D1%81&amp;sh=30m-0Ss5Nw" xr:uid="{71FE5502-EB92-49CC-A482-6684227081EF}"/>
    <hyperlink ref="F40" r:id="rId53" display="https://www.ozon.ru/product/limonnaya-kislota-pishchevaya-3-kg-regulyator-kislotnosti-antiokislitel-787154197/?asb=GFWXxKy7JbIvQazvj9meW6bgB62EeBLm9MQq9CMB6Oo%253D&amp;asb2=KE0csjf8w7hTe5gTDGs98ddJturd5RDnu5sFkx7HZj-yoS4A6OgOFyltxy28sHTsDYampOQpA0A-ssD8rQMq6g&amp;avtc=1&amp;avte=2&amp;avts=1710568183&amp;from_sku=1043447465&amp;from_url=https%253A%252F%252Fwww.ozon.ru%252Fcategory%252Fingredienty-dlya-vypechki-9408%252F%253Fcategory_was_predicted%253Dtrue%2526deny_category_prediction%253Dtrue%2526from_global%253Dtrue%2526text%253D%2525D0%25259B%2525D0%2525B8%2525D0%2525BC%2525D0%2525BE%2525D0%2525BD%2525D0%2525BD%2525D0%2525B0%2525D1%25258F%252B%2525D0%2525BA%2525D0%2525B8%2525D1%252581%2525D0%2525BB%2525D0%2525BE%2525D1%252582%2525D0%2525B0&amp;keywords=%D0%9B%D0%B8%D0%BC%D0%BE%D0%BD%D0%BD%D0%B0%D1%8F+%D0%BA%D0%B8%D1%81%D0%BB%D0%BE%D1%82%D0%B0&amp;oos_search=false&amp;reviewsVariantMode=2" xr:uid="{CA8479A8-ADA7-4A00-81CB-A0865DB43734}"/>
    <hyperlink ref="F49" r:id="rId54" display="https://www.ozon.ru/product/krasitel-pishchevoy-krasnyy-barhat-art-color-base-dlya-vypechki-desertov-konditerskih-izdeliy-311527017/?advert=5os0eAf8HBS8DL-t2EPd_ppFRQOCRbjEml7x3K-tREDltNIuXEk88rl1EeXQr2Ffk5K64xjb5JhBYSloHayDkSXaDlBqyuggjUTqHkzsBM2YXpJixi9RICLgCC0vwaqFD1uNHyw-GdGGIeAa7Ggzwah2X_DMsocP8PC2QmHWvl-aAXkGZvxkYRUROZElvRlH-GnNyRh_1kpTrRtUHKofbzdy7PUJuyp-u4aDQYgUTK5tnNLkMzYHqOKmpthjNYCSmDGMPUPU7iYJt5gMz-l8U5jOQnfiSBBRsM9hBGbhC9VjXSSAg_8vx9GuX7GrmbAFHHCgwsDUOnVxxKzlgfNyDPvTibbu&amp;avtc=1&amp;avte=4&amp;avts=1711085462&amp;from_sku=311527017&amp;from_url=https%253A%252F%252Fwww.ozon.ru%252Fcategory%252Fingredienty-dlya-vypechki-9408%252F%253Fcategory_was_predicted%253Dtrue%2526deny_category_prediction%253Dtrue%2526from_global%253Dtrue%2526text%253D%2525D0%2525BF%2525D0%2525B8%2525D1%252589%2525D0%2525B5%2525D0%2525B2%2525D0%2525BE%2525D0%2525B9%252B%2525D0%2525BA%2525D1%252580%2525D0%2525B0%2525D1%252581%2525D0%2525B8%2525D1%252582%2525D0%2525B5%2525D0%2525BB%2525D1%25258C&amp;keywords=%D0%BF%D0%B8%D1%89%D0%B5%D0%B2%D0%BE%D0%B9+%D0%BA%D1%80%D0%B0%D1%81%D0%B8%D1%82%D0%B5%D0%BB%D1%8C&amp;oos_search=false" xr:uid="{EC3BCC98-09EA-4699-881E-52E8359D368F}"/>
    <hyperlink ref="F58" r:id="rId55" display="https://www.ozon.ru/product/perets-chernyy-molotyy-indana-550-gr-1-000-ml-s-dozatorom-828189366/?asb=7en7P0wAd5kvvszbV1WeM%252FgtfVIz9RY7AvIQfcJf6Dg%253D&amp;asb2=esQMXwpiJvaW-0bW63-GP81CVBOqAXp92-JqRhH1uzO--SM1xdK6mV89TyNxVP6z&amp;avtc=1&amp;avte=2&amp;avts=1714285685&amp;keywords=%D0%9F%D0%B5%D1%80%D0%B5%D1%86+%D1%87%D0%B5%D1%80%D0%BD%D1%8B%D0%B9+%D0%BC%D0%BE%D0%BB%D0%BE%D1%82%D1%8B%D0%B9+%D0%98%D0%BD%D0%B4%D0%B0%D0%BD%D0%B0+550+%D0%B3%D1%80.%2F1+000+%D0%BC%D0%BB.%2C+%D1%81+%D0%B4%D0%BE%D0%B7%D0%B0%D1%82%D0%BE%D1%80%D0%BE%D0%BC" xr:uid="{E45E5718-818D-461A-9E6B-837F86723BB2}"/>
    <hyperlink ref="F65" r:id="rId56" display="https://www.ozon.ru/product/paprika-krasnaya-kopchenaya-molotaya-ispaniya-universalnaya-priprava-spetsiya-dlya-myasnyh-rybnyh-1178746141/?advert=9ou6aym3sNcDT2KoifMXeLWmJkXaeedu7D5WgFc1DXg5SKXY8KCkBrftwzNNRrepDcsvpxoOXpGYSBdCAzhe_RFWj0kpcYffWUP23p97lexC-5i5YUTeTNu4Lnv7zy6cifuxwwm_ee_0fShRA_02H8Z2e036atoDOHuiqF7mDyRnC41ZpV2xyZpYNkfn7UqxYLOCEkanjhLJ4nIrFpT9gpkTRH05Vew2bz0-8j2QLQoAh6gpcVMve1JvCzAankQi3zO4H0y48M5Nd7KVseFk9x8S2FLtTYWr8Zl9hRB8XOANkLhdqCeveFOyQbdrKTR6Aa39HaIbCj0x0bNwkNIBfAuFR4ypN6Ud&amp;avtc=1&amp;avte=4&amp;avts=1714286478&amp;from_sku=664814005&amp;from_url=https%253A%252F%252Fwww.ozon.ru%252Fcategory%252Fspetsii-pripravy-i-pryanosti-9411%252F%253Fcategory_was_predicted%253Dtrue%2526deny_category_prediction%253Dtrue%2526from_global%253Dtrue%2526text%253D%2525D0%2525BF%2525D0%2525B0%2525D0%2525BF%2525D1%252580%2525D0%2525B8%2525D0%2525BA%2525D0%2525B0%252B%2525D0%2525BA%2525D0%2525BE%2525D0%2525BF%2525D1%252587%2525D0%2525B5%2525D0%2525BD%2525D0%2525B0%2525D1%25258F&amp;keywords=%D0%BF%D0%B0%D0%BF%D1%80%D0%B8%D0%BA%D0%B0+%D0%BA%D0%BE%D0%BF%D1%87%D0%B5%D0%BD%D0%B0%D1%8F&amp;oos_search=false" xr:uid="{EAFAEE9C-3861-458F-B6F0-39E91D482664}"/>
    <hyperlink ref="F93" r:id="rId57" display="https://europa-market.ru/product/luk-repchaty-imp-ves-63375" xr:uid="{F04CFD82-96A3-4BBE-B074-2BA89FA30309}"/>
    <hyperlink ref="F38" r:id="rId58" display="https://europa-market.ru/product/muka-pshenichnaya-evropa-hlebopekarnaya-vysshiy-sort-1kg-98185" xr:uid="{6D417FD1-2BFF-4A7E-B09E-D81D45C17B3A}"/>
    <hyperlink ref="F56" r:id="rId59" display="https://europa-market.ru/product/sol-1kg-pischevaya-v-pachke-312405" xr:uid="{18BFB858-393D-443D-9B90-579A5FC1922F}"/>
    <hyperlink ref="F76" r:id="rId60" display="https://www.ozon.ru/product/anis-semena-tm-indana-200-gr-500-ml-497986659/?asb=QN7Q%252B1ybxRDDf67GQaR12IrMspWrg8JzSMs84Jqp1d0%253D&amp;asb2=gfU34VYJu3OhK2gzO-T-uCkes09f9_Rb5iSh_upm406bKKh0PE-yE-miLq5EHtF2gN3Eh3iNX_2bBSFutS90kA&amp;avtc=1&amp;avte=2&amp;avts=1722842840&amp;keywords=%D0%B0%D0%BD%D0%B8%D1%81" xr:uid="{5BFA2F1B-E1FD-453A-A270-163A66355E08}"/>
    <hyperlink ref="F45" r:id="rId61" display="https://www.ozon.ru/product/krahmal-kartofelnyy-gost-3sht-po-1-kg-rosplanta-bez-glyutena-vysshiy-sort-838789167/?asb2=XNnUHaUoEjxaR8o6lsxcjdfrj-tqJoj1DlxxuT_wWEj39tAAmcaU4f0rRiMjSZBTnUH2-E3m4UrAOOkLExXzxA&amp;avtc=1&amp;avte=2&amp;avts=1722844188" xr:uid="{25E4C5BF-7A33-49EC-B3FA-90DE0CB3B449}"/>
    <hyperlink ref="F31" r:id="rId62" display="https://europa-market.ru/product/krupa-perlovaya-evropa-800g-195181" xr:uid="{1A2A41FA-CD7A-4AA4-80E6-6CCB0E7B3AA5}"/>
    <hyperlink ref="F32" r:id="rId63" display="https://europa-market.ru/product/kartofel-ves-6503" xr:uid="{EA4B1E1E-8160-4D5F-B6DF-42A80B76CE21}"/>
    <hyperlink ref="F35" r:id="rId64" display="https://europa-market.ru/product/maslo-slivochnoe-tradicionnoe-180-g-82-5-folga-kurskmasloprom-944603" xr:uid="{0E9DCA19-989A-4165-8EAA-5D016A0F7B12}"/>
    <hyperlink ref="F83" r:id="rId65" display="https://europa-market.ru/product/petrushka-vesovaya-39756" xr:uid="{BE9239A5-EB7E-4B46-97E5-29E1F4EF7DF8}"/>
    <hyperlink ref="F84" r:id="rId66" display="https://www.ozon.ru/product/kurkuma-hobbyhelper-molotaya-350g-207400581/?asb2=IQWtR125aLQOHaXwUahKAdxOir8GbBcTrN9Q47KQ2w51zNOKoV-Gv6Zz7Y2UpdDMm-iLOHmTatoSDt6HuSOAEw&amp;avtc=1&amp;avte=2&amp;avts=1728635540&amp;keywords=%D0%BA%D1%83%D1%80%D0%BA%D1%83%D0%BC%D0%B0" xr:uid="{AE0C1A3F-6765-4152-9FC0-13843406894D}"/>
    <hyperlink ref="F85" r:id="rId67" display="https://www.ozon.ru/product/kumin-zira-semena-indana-500-gr-1-000-ml-273772989/?asb2=1MVRw7xsxEK6K9aUTRXQfNv9ab4_19vya11UFNRZY-hh5BD4QR_TDA7ArniZEAuS&amp;avtc=1&amp;avte=2&amp;avts=1728635646&amp;keywords=%D0%B7%D0%B8%D1%80%D0%B0" xr:uid="{12C2280D-F347-4958-9762-C301EC2A797F}"/>
    <hyperlink ref="F113" r:id="rId68" display="https://www.emkolbaski.ru/opt-50m-kalibr-220-mm-setka-formovochnaya/" xr:uid="{17F0CE5C-E093-463B-A976-AC719A062924}"/>
    <hyperlink ref="F8" r:id="rId69" display="https://europa-market.ru/product/svinina-rulka-sobstvennoe-proizvodstvo-14369" xr:uid="{CA51A6CC-EEE0-418F-9D1A-70D33F823877}"/>
    <hyperlink ref="F53" r:id="rId70" display="https://www.ozon.ru/product/drozhzhi-spirtovye-turbo-bragman-industrial-200l-520-g-bragman-indastrial-200-litrov-dlya-samogona-170040789/?from_sku=170040789&amp;oos_search=false" xr:uid="{97A22180-4C5A-498B-8672-E7DCB4765B46}"/>
    <hyperlink ref="F34" r:id="rId71" display="https://europa-market.ru/product/morkov-ves-62910" xr:uid="{8B7EB1E2-6756-455F-975B-3E4987B87775}"/>
    <hyperlink ref="F18" r:id="rId72" display="https://europa-market.ru/product/tushka-c-b-1-kat-ohl-96994" xr:uid="{3BF5D0FC-B7C6-4976-BF4A-0AD254A183F1}"/>
    <hyperlink ref="F29" r:id="rId73" display="https://europa-market.ru/product/forel-sm-b-g-krupnaya-53133" xr:uid="{24B8CAFC-67D1-4C42-804E-A57D62AA6626}"/>
    <hyperlink ref="F7" r:id="rId74" display="https://europa-market.ru/product/grudinka-svinaya-b-k-s-sh-sobstvennoe-proizvodstvo-202786" xr:uid="{F7F36A25-4857-44D2-8022-AB28EEC5475D}"/>
    <hyperlink ref="F69" r:id="rId75" display="https://www.ozon.ru/product/lukovyy-poroshok-sushenyy-molotyy-luk-premium-768326092/?at=jYtZ4q0yli5X4LLxUA1mEJyhVXEw9LsWjXN5ETqRNJk9" xr:uid="{DEF555CC-6E7B-4EDA-9388-8C086163C7FA}"/>
    <hyperlink ref="F109" r:id="rId76" display="https://www.emkolbaski.ru/chereva-baranya-10-m-91m/" xr:uid="{42497612-B2A6-4136-9D1D-ABBD07427A89}"/>
    <hyperlink ref="F98" r:id="rId77" display="https://www.ozon.ru/product/imbir-molotyy-sushenyy-naturalnyy-1-kg-886931793/?at=VvtznA8P0cB8VKBT85VjYOFmWVV08SpVAxNVsXK5j57" xr:uid="{6115D1CB-3E51-4B15-A411-416B76EBCF38}"/>
    <hyperlink ref="F92" r:id="rId78" display="https://europa-market.ru/product/nut-agro-alyans-450-g-ekstra-292778" xr:uid="{D61C29E6-94A3-4CDD-A7DE-1DBFCE316A4F}"/>
    <hyperlink ref="F91" r:id="rId79" display="https://www.ozon.ru/product/chernosliv-sushenyy-1-kg-naturalnyy-bez-kostochki-dattie-979081263/?at=gpt4vAqZ8szjVE14Hn28E57IP0LnkNI0NQm9vU3oE3KY" xr:uid="{BEA6814D-CB88-4022-A99E-5BCF0ECE3865}"/>
    <hyperlink ref="F90" r:id="rId80" display="https://www.ozon.ru/product/izyum-malayar-iran-1000g-bez-kostochek-1-kg-grinfuds-1316030719/?at=46tRZBzKrCM4oK9RFGKjoVvtpZWEgjSN1j86PsW6MZwr" xr:uid="{99E4E2E6-BB75-44E4-A4A1-3192DB0BEC1B}"/>
    <hyperlink ref="F89" r:id="rId81" display="https://www.ozon.ru/product/barbaris-sushenyy-hobbyhelper-krasnyy-banka-100g-1323184020/?at=VvtzVx2oMskEl6R1i5Oz0VNsglx9KBIojPl8KUXEGDrV" xr:uid="{323935FC-79C6-47CB-9A3D-DF4120D729C3}"/>
    <hyperlink ref="F67" r:id="rId82" display="https://europa-market.ru/product/chesnok-molodoy-ves-1561" xr:uid="{E798D4EA-E58B-4E7D-88AE-337297E72463}"/>
  </hyperlinks>
  <pageMargins left="0.7" right="0.7" top="0.75" bottom="0.75" header="0.3" footer="0.3"/>
  <pageSetup paperSize="9" orientation="portrait" r:id="rId83"/>
  <drawing r:id="rId84"/>
  <legacyDrawing r:id="rId85"/>
  <tableParts count="1">
    <tablePart r:id="rId86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87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D46B-89C7-4308-886C-4C609B627EE8}">
  <sheetPr codeName="Лист3">
    <tabColor theme="7" tint="0.79998168889431442"/>
  </sheetPr>
  <dimension ref="A1:U533"/>
  <sheetViews>
    <sheetView showGridLines="0" showZeros="0" topLeftCell="A512" workbookViewId="0">
      <pane xSplit="1" topLeftCell="B1" activePane="topRight" state="frozen"/>
      <selection activeCell="C6" sqref="C6"/>
      <selection pane="topRight" activeCell="H536" sqref="H536"/>
    </sheetView>
  </sheetViews>
  <sheetFormatPr defaultColWidth="8.85546875" defaultRowHeight="15" x14ac:dyDescent="0.25"/>
  <cols>
    <col min="1" max="1" width="23" bestFit="1" customWidth="1"/>
    <col min="2" max="2" width="8.5703125"/>
    <col min="3" max="3" width="13.5703125" customWidth="1"/>
    <col min="4" max="4" width="20.5703125" customWidth="1"/>
    <col min="5" max="5" width="9.42578125" style="6" customWidth="1"/>
    <col min="6" max="6" width="9.140625" style="10" bestFit="1" customWidth="1"/>
    <col min="7" max="7" width="9.5703125" customWidth="1"/>
    <col min="8" max="8" width="11" style="4" customWidth="1"/>
    <col min="9" max="9" width="9.7109375" style="12" customWidth="1"/>
    <col min="10" max="10" width="14.7109375" style="6" bestFit="1" customWidth="1"/>
    <col min="11" max="11" width="11.42578125" style="4" bestFit="1" customWidth="1"/>
    <col min="12" max="12" width="5.28515625" style="5" customWidth="1"/>
    <col min="13" max="13" width="5.7109375" style="5" customWidth="1"/>
    <col min="14" max="14" width="9.7109375" style="4" customWidth="1"/>
    <col min="15" max="15" width="9.28515625" style="4" customWidth="1"/>
    <col min="16" max="16" width="9.28515625" customWidth="1"/>
    <col min="17" max="17" width="7.140625" customWidth="1"/>
    <col min="18" max="16384" width="8.85546875" style="22"/>
  </cols>
  <sheetData>
    <row r="1" spans="1:19" x14ac:dyDescent="0.25">
      <c r="A1" s="21"/>
    </row>
    <row r="10" spans="1:19" x14ac:dyDescent="0.25">
      <c r="A10" s="14"/>
      <c r="B10" s="14"/>
      <c r="C10" s="14"/>
      <c r="D10" s="14"/>
      <c r="E10" s="15"/>
      <c r="F10" s="60"/>
      <c r="G10" s="14"/>
      <c r="H10" s="16"/>
      <c r="I10" s="17"/>
      <c r="J10" s="15"/>
      <c r="K10" s="16"/>
      <c r="L10" s="18"/>
      <c r="M10" s="18"/>
      <c r="N10" s="16"/>
      <c r="O10" s="16"/>
      <c r="P10" s="14"/>
      <c r="Q10" s="14"/>
      <c r="R10" s="14"/>
    </row>
    <row r="11" spans="1:19" x14ac:dyDescent="0.25">
      <c r="A11" s="40" t="s">
        <v>232</v>
      </c>
      <c r="B11" s="40" t="s">
        <v>233</v>
      </c>
      <c r="C11" s="40" t="s">
        <v>234</v>
      </c>
      <c r="D11" s="40" t="s">
        <v>235</v>
      </c>
      <c r="E11" s="49" t="s">
        <v>236</v>
      </c>
      <c r="F11" s="61" t="s">
        <v>237</v>
      </c>
      <c r="G11" s="50" t="s">
        <v>238</v>
      </c>
      <c r="H11" s="43" t="s">
        <v>239</v>
      </c>
      <c r="I11" s="19" t="s">
        <v>240</v>
      </c>
      <c r="J11" s="50" t="s">
        <v>241</v>
      </c>
      <c r="K11" s="43" t="s">
        <v>242</v>
      </c>
      <c r="L11" s="49" t="s">
        <v>243</v>
      </c>
      <c r="M11" s="49" t="s">
        <v>4</v>
      </c>
      <c r="N11" s="43" t="s">
        <v>244</v>
      </c>
      <c r="O11" s="43" t="s">
        <v>245</v>
      </c>
      <c r="P11" s="40" t="s">
        <v>246</v>
      </c>
      <c r="Q11" s="40" t="s">
        <v>247</v>
      </c>
      <c r="R11" s="44" t="s">
        <v>43</v>
      </c>
      <c r="S11" s="52" t="s">
        <v>629</v>
      </c>
    </row>
    <row r="12" spans="1:19" x14ac:dyDescent="0.25">
      <c r="A12" s="40" t="s">
        <v>248</v>
      </c>
      <c r="B12" s="40" t="s">
        <v>8</v>
      </c>
      <c r="C12" s="40" t="s">
        <v>9</v>
      </c>
      <c r="D12" s="40" t="s">
        <v>12</v>
      </c>
      <c r="E12" s="41" t="str">
        <f>VLOOKUP(Рецепты[[#This Row],[Состав]],Ингредиенты[],2,0)</f>
        <v>Говядина</v>
      </c>
      <c r="F12" s="62">
        <v>0.25</v>
      </c>
      <c r="G12" s="42">
        <f>IF(Рецепты[[#This Row],[%]]*1000&gt;0,Рецепты[[#This Row],[%]]*1000,"")</f>
        <v>250</v>
      </c>
      <c r="H12" s="43">
        <f>IFERROR(VLOOKUP(Рецепты[[#This Row],[Состав]],Ингредиенты!A:I,3,0)*Рецепты[[#This Row],[г]],"")</f>
        <v>177.4975</v>
      </c>
      <c r="I12" s="42">
        <f>СводРецепт!$A$1</f>
        <v>1000</v>
      </c>
      <c r="J12" s="42">
        <f>Рецепты[[#This Row],[%]]*Рецепты[[#This Row],[Масса]]</f>
        <v>250</v>
      </c>
      <c r="K12" s="43">
        <f>Рецепты[[#This Row],[Вес ингр-тов]]*VLOOKUP(Рецепты[[#This Row],[Состав]],Ингредиенты[],3,FALSE)</f>
        <v>177.4975</v>
      </c>
      <c r="L12" s="41">
        <f>IF(VLOOKUP(Рецепты[[#This Row],[Состав]],Ингредиенты[],4,0)="Основа",VLOOKUP(Рецепты[[#This Row],[Способ]],Способ[],2,0),0%)</f>
        <v>0.15</v>
      </c>
      <c r="M12" s="51">
        <f>VLOOKUP(Рецепты[[#This Row],[Способ]],Способ[],3,0)</f>
        <v>0.7</v>
      </c>
      <c r="N12" s="43">
        <f>Рецепты[[#This Row],[р]]*100%/(100%-Рецепты[[#This Row],[Потери, %]])+Рецепты[[#This Row],[Маржа]]*(Рецепты[[#This Row],[р]]*100%)/(100%-Рецепты[[#This Row],[Потери, %]])</f>
        <v>354.995</v>
      </c>
      <c r="O12" s="43">
        <f>Рецепты[[#This Row],[Цена за 1 кг]]-(Рецепты[[#This Row],[р]]*100%/(100%-Рецепты[[#This Row],[Потери, %]]))</f>
        <v>146.17441176470587</v>
      </c>
      <c r="P12" s="40" t="s">
        <v>249</v>
      </c>
      <c r="Q12" s="40" t="s">
        <v>250</v>
      </c>
      <c r="R12" s="44" t="str">
        <f>VLOOKUP(Рецепты[[#This Row],[Состав]],Ингредиенты[],9,0)</f>
        <v>Да</v>
      </c>
      <c r="S12" s="52"/>
    </row>
    <row r="13" spans="1:19" x14ac:dyDescent="0.25">
      <c r="A13" s="40" t="s">
        <v>248</v>
      </c>
      <c r="B13" s="40" t="str">
        <f t="shared" ref="B13:B17" si="0">B12</f>
        <v>Колбаса</v>
      </c>
      <c r="C13" s="40" t="str">
        <f t="shared" ref="C13:C17" si="1">C12</f>
        <v>Вареное</v>
      </c>
      <c r="D13" s="40" t="s">
        <v>52</v>
      </c>
      <c r="E13" s="41" t="str">
        <f>VLOOKUP(Рецепты[[#This Row],[Состав]],Ингредиенты[],2,0)</f>
        <v>Свинина</v>
      </c>
      <c r="F13" s="62">
        <v>0.7</v>
      </c>
      <c r="G13" s="42">
        <f>IF(Рецепты[[#This Row],[%]]*1000&gt;0,Рецепты[[#This Row],[%]]*1000,"")</f>
        <v>700</v>
      </c>
      <c r="H13" s="43">
        <f>IFERROR(VLOOKUP(Рецепты[[#This Row],[Состав]],Ингредиенты!A:I,3,0)*Рецепты[[#This Row],[г]],"")</f>
        <v>258.3</v>
      </c>
      <c r="I13" s="42">
        <f>СводРецепт!$A$1</f>
        <v>1000</v>
      </c>
      <c r="J13" s="42">
        <f>Рецепты[[#This Row],[%]]*Рецепты[[#This Row],[Масса]]</f>
        <v>700</v>
      </c>
      <c r="K13" s="43">
        <f>Рецепты[[#This Row],[Вес ингр-тов]]*VLOOKUP(Рецепты[[#This Row],[Состав]],Ингредиенты[],3,FALSE)</f>
        <v>258.3</v>
      </c>
      <c r="L13" s="41">
        <f>IF(VLOOKUP(Рецепты[[#This Row],[Состав]],Ингредиенты[],4,0)="Основа",VLOOKUP(Рецепты[[#This Row],[Способ]],Способ[],2,0),0%)</f>
        <v>0.15</v>
      </c>
      <c r="M13" s="41">
        <f>VLOOKUP(Рецепты[[#This Row],[Способ]],Способ[],3,0)</f>
        <v>0.7</v>
      </c>
      <c r="N13" s="43">
        <f>Рецепты[[#This Row],[р]]*100%/(100%-Рецепты[[#This Row],[Потери, %]])+Рецепты[[#This Row],[Маржа]]*(Рецепты[[#This Row],[р]]*100%)/(100%-Рецепты[[#This Row],[Потери, %]])</f>
        <v>516.6</v>
      </c>
      <c r="O13" s="43">
        <f>Рецепты[[#This Row],[Цена за 1 кг]]-(Рецепты[[#This Row],[р]]*100%/(100%-Рецепты[[#This Row],[Потери, %]]))</f>
        <v>212.71764705882356</v>
      </c>
      <c r="P13" s="40" t="s">
        <v>249</v>
      </c>
      <c r="Q13" s="40" t="s">
        <v>251</v>
      </c>
      <c r="R13" s="44" t="str">
        <f>VLOOKUP(Рецепты[[#This Row],[Состав]],Ингредиенты[],9,0)</f>
        <v>Нет</v>
      </c>
      <c r="S13" s="52"/>
    </row>
    <row r="14" spans="1:19" x14ac:dyDescent="0.25">
      <c r="A14" s="40" t="s">
        <v>248</v>
      </c>
      <c r="B14" s="40" t="str">
        <f t="shared" si="0"/>
        <v>Колбаса</v>
      </c>
      <c r="C14" s="40" t="str">
        <f t="shared" si="1"/>
        <v>Вареное</v>
      </c>
      <c r="D14" s="40" t="s">
        <v>92</v>
      </c>
      <c r="E14" s="41" t="str">
        <f>VLOOKUP(Рецепты[[#This Row],[Состав]],Ингредиенты[],2,0)</f>
        <v>Добавки</v>
      </c>
      <c r="F14" s="62">
        <v>0.03</v>
      </c>
      <c r="G14" s="42">
        <f>IF(Рецепты[[#This Row],[%]]*1000&gt;0,Рецепты[[#This Row],[%]]*1000,"")</f>
        <v>30</v>
      </c>
      <c r="H14" s="43">
        <f>IFERROR(VLOOKUP(Рецепты[[#This Row],[Состав]],Ингредиенты!A:I,3,0)*Рецепты[[#This Row],[г]],"")</f>
        <v>3.333333333333333</v>
      </c>
      <c r="I14" s="42">
        <f>СводРецепт!$A$1</f>
        <v>1000</v>
      </c>
      <c r="J14" s="42">
        <f>Рецепты[[#This Row],[%]]*Рецепты[[#This Row],[Масса]]</f>
        <v>30</v>
      </c>
      <c r="K14" s="43">
        <f>Рецепты[[#This Row],[Вес ингр-тов]]*VLOOKUP(Рецепты[[#This Row],[Состав]],Ингредиенты[],3,FALSE)</f>
        <v>3.333333333333333</v>
      </c>
      <c r="L14" s="41">
        <f>IF(VLOOKUP(Рецепты[[#This Row],[Состав]],Ингредиенты[],4,0)="Основа",VLOOKUP(Рецепты[[#This Row],[Способ]],Способ[],2,0),0%)</f>
        <v>0</v>
      </c>
      <c r="M14" s="41">
        <f>VLOOKUP(Рецепты[[#This Row],[Способ]],Способ[],3,0)</f>
        <v>0.7</v>
      </c>
      <c r="N14" s="43">
        <f>Рецепты[[#This Row],[р]]*100%/(100%-Рецепты[[#This Row],[Потери, %]])+Рецепты[[#This Row],[Маржа]]*(Рецепты[[#This Row],[р]]*100%)/(100%-Рецепты[[#This Row],[Потери, %]])</f>
        <v>5.6666666666666661</v>
      </c>
      <c r="O14" s="43">
        <f>Рецепты[[#This Row],[Цена за 1 кг]]-(Рецепты[[#This Row],[р]]*100%/(100%-Рецепты[[#This Row],[Потери, %]]))</f>
        <v>2.333333333333333</v>
      </c>
      <c r="P14" s="40" t="s">
        <v>249</v>
      </c>
      <c r="Q14" s="40" t="s">
        <v>252</v>
      </c>
      <c r="R14" s="44" t="str">
        <f>VLOOKUP(Рецепты[[#This Row],[Состав]],Ингредиенты[],9,0)</f>
        <v>Да</v>
      </c>
      <c r="S14" s="52"/>
    </row>
    <row r="15" spans="1:19" x14ac:dyDescent="0.25">
      <c r="A15" s="40" t="s">
        <v>248</v>
      </c>
      <c r="B15" s="40" t="str">
        <f t="shared" si="0"/>
        <v>Колбаса</v>
      </c>
      <c r="C15" s="40" t="str">
        <f t="shared" si="1"/>
        <v>Вареное</v>
      </c>
      <c r="D15" s="40" t="s">
        <v>109</v>
      </c>
      <c r="E15" s="41" t="str">
        <f>VLOOKUP(Рецепты[[#This Row],[Состав]],Ингредиенты[],2,0)</f>
        <v>Добавки</v>
      </c>
      <c r="F15" s="62">
        <v>0.02</v>
      </c>
      <c r="G15" s="42">
        <f>IF(Рецепты[[#This Row],[%]]*1000&gt;0,Рецепты[[#This Row],[%]]*1000,"")</f>
        <v>20</v>
      </c>
      <c r="H15" s="43">
        <f>IFERROR(VLOOKUP(Рецепты[[#This Row],[Состав]],Ингредиенты!A:I,3,0)*Рецепты[[#This Row],[г]],"")</f>
        <v>10.98</v>
      </c>
      <c r="I15" s="42">
        <f>СводРецепт!$A$1</f>
        <v>1000</v>
      </c>
      <c r="J15" s="42">
        <f>Рецепты[[#This Row],[%]]*Рецепты[[#This Row],[Масса]]</f>
        <v>20</v>
      </c>
      <c r="K15" s="43">
        <f>Рецепты[[#This Row],[Вес ингр-тов]]*VLOOKUP(Рецепты[[#This Row],[Состав]],Ингредиенты[],3,FALSE)</f>
        <v>10.98</v>
      </c>
      <c r="L15" s="41">
        <f>IF(VLOOKUP(Рецепты[[#This Row],[Состав]],Ингредиенты[],4,0)="Основа",VLOOKUP(Рецепты[[#This Row],[Способ]],Способ[],2,0),0%)</f>
        <v>0</v>
      </c>
      <c r="M15" s="41">
        <f>VLOOKUP(Рецепты[[#This Row],[Способ]],Способ[],3,0)</f>
        <v>0.7</v>
      </c>
      <c r="N15" s="43">
        <f>Рецепты[[#This Row],[р]]*100%/(100%-Рецепты[[#This Row],[Потери, %]])+Рецепты[[#This Row],[Маржа]]*(Рецепты[[#This Row],[р]]*100%)/(100%-Рецепты[[#This Row],[Потери, %]])</f>
        <v>18.666</v>
      </c>
      <c r="O15" s="43">
        <f>Рецепты[[#This Row],[Цена за 1 кг]]-(Рецепты[[#This Row],[р]]*100%/(100%-Рецепты[[#This Row],[Потери, %]]))</f>
        <v>7.6859999999999999</v>
      </c>
      <c r="P15" s="40" t="s">
        <v>249</v>
      </c>
      <c r="Q15" s="40" t="s">
        <v>253</v>
      </c>
      <c r="R15" s="44" t="str">
        <f>VLOOKUP(Рецепты[[#This Row],[Состав]],Ингредиенты[],9,0)</f>
        <v>Да</v>
      </c>
      <c r="S15" s="52"/>
    </row>
    <row r="16" spans="1:19" x14ac:dyDescent="0.25">
      <c r="A16" s="40" t="s">
        <v>248</v>
      </c>
      <c r="B16" s="40" t="s">
        <v>8</v>
      </c>
      <c r="C16" s="40" t="s">
        <v>9</v>
      </c>
      <c r="D16" s="40" t="s">
        <v>125</v>
      </c>
      <c r="E16" s="41" t="str">
        <f>VLOOKUP(Рецепты[[#This Row],[Состав]],Ингредиенты[],2,0)</f>
        <v>Специи</v>
      </c>
      <c r="F16" s="62">
        <v>0.02</v>
      </c>
      <c r="G16" s="42">
        <f>IF(Рецепты[[#This Row],[%]]*1000&gt;0,Рецепты[[#This Row],[%]]*1000,"")</f>
        <v>20</v>
      </c>
      <c r="H16" s="43">
        <f>IFERROR(VLOOKUP(Рецепты[[#This Row],[Состав]],Ингредиенты!A:I,3,0)*Рецепты[[#This Row],[г]],"")</f>
        <v>2.56</v>
      </c>
      <c r="I16" s="42">
        <f>СводРецепт!$A$1</f>
        <v>1000</v>
      </c>
      <c r="J16" s="42">
        <f>Рецепты[[#This Row],[%]]*Рецепты[[#This Row],[Масса]]</f>
        <v>20</v>
      </c>
      <c r="K16" s="43">
        <f>Рецепты[[#This Row],[Вес ингр-тов]]*VLOOKUP(Рецепты[[#This Row],[Состав]],Ингредиенты[],3,FALSE)</f>
        <v>2.56</v>
      </c>
      <c r="L16" s="41">
        <f>IF(VLOOKUP(Рецепты[[#This Row],[Состав]],Ингредиенты[],4,0)="Основа",VLOOKUP(Рецепты[[#This Row],[Способ]],Способ[],2,0),0%)</f>
        <v>0</v>
      </c>
      <c r="M16" s="41">
        <f>VLOOKUP(Рецепты[[#This Row],[Способ]],Способ[],3,0)</f>
        <v>0.7</v>
      </c>
      <c r="N16" s="43">
        <f>Рецепты[[#This Row],[р]]*100%/(100%-Рецепты[[#This Row],[Потери, %]])+Рецепты[[#This Row],[Маржа]]*(Рецепты[[#This Row],[р]]*100%)/(100%-Рецепты[[#This Row],[Потери, %]])</f>
        <v>4.3520000000000003</v>
      </c>
      <c r="O16" s="43">
        <f>Рецепты[[#This Row],[Цена за 1 кг]]-(Рецепты[[#This Row],[р]]*100%/(100%-Рецепты[[#This Row],[Потери, %]]))</f>
        <v>1.7920000000000003</v>
      </c>
      <c r="P16" s="40" t="s">
        <v>249</v>
      </c>
      <c r="Q16" s="40" t="s">
        <v>254</v>
      </c>
      <c r="R16" s="44" t="str">
        <f>VLOOKUP(Рецепты[[#This Row],[Состав]],Ингредиенты[],9,0)</f>
        <v>Да</v>
      </c>
      <c r="S16" s="52"/>
    </row>
    <row r="17" spans="1:19" x14ac:dyDescent="0.25">
      <c r="A17" s="40" t="s">
        <v>248</v>
      </c>
      <c r="B17" s="40" t="str">
        <f t="shared" si="0"/>
        <v>Колбаса</v>
      </c>
      <c r="C17" s="40" t="str">
        <f t="shared" si="1"/>
        <v>Вареное</v>
      </c>
      <c r="D17" s="40" t="s">
        <v>93</v>
      </c>
      <c r="E17" s="41" t="str">
        <f>VLOOKUP(Рецепты[[#This Row],[Состав]],Ингредиенты[],2,0)</f>
        <v>Добавки</v>
      </c>
      <c r="F17" s="62">
        <v>0.1</v>
      </c>
      <c r="G17" s="42">
        <f>IF(Рецепты[[#This Row],[%]]*1000&gt;0,Рецепты[[#This Row],[%]]*1000,"")</f>
        <v>100</v>
      </c>
      <c r="H17" s="43">
        <f>IFERROR(VLOOKUP(Рецепты[[#This Row],[Состав]],Ингредиенты!A:I,3,0)*Рецепты[[#This Row],[г]],"")</f>
        <v>0.1</v>
      </c>
      <c r="I17" s="42">
        <f>СводРецепт!$A$1</f>
        <v>1000</v>
      </c>
      <c r="J17" s="42">
        <f>Рецепты[[#This Row],[%]]*Рецепты[[#This Row],[Масса]]</f>
        <v>100</v>
      </c>
      <c r="K17" s="43">
        <f>Рецепты[[#This Row],[Вес ингр-тов]]*VLOOKUP(Рецепты[[#This Row],[Состав]],Ингредиенты[],3,FALSE)</f>
        <v>0.1</v>
      </c>
      <c r="L17" s="41">
        <f>IF(VLOOKUP(Рецепты[[#This Row],[Состав]],Ингредиенты[],4,0)="Основа",VLOOKUP(Рецепты[[#This Row],[Способ]],Способ[],2,0),0%)</f>
        <v>0</v>
      </c>
      <c r="M17" s="41">
        <f>VLOOKUP(Рецепты[[#This Row],[Способ]],Способ[],3,0)</f>
        <v>0.7</v>
      </c>
      <c r="N17" s="43">
        <f>Рецепты[[#This Row],[р]]*100%/(100%-Рецепты[[#This Row],[Потери, %]])+Рецепты[[#This Row],[Маржа]]*(Рецепты[[#This Row],[р]]*100%)/(100%-Рецепты[[#This Row],[Потери, %]])</f>
        <v>0.16999999999999998</v>
      </c>
      <c r="O17" s="43">
        <f>Рецепты[[#This Row],[Цена за 1 кг]]-(Рецепты[[#This Row],[р]]*100%/(100%-Рецепты[[#This Row],[Потери, %]]))</f>
        <v>6.9999999999999979E-2</v>
      </c>
      <c r="P17" s="40" t="s">
        <v>249</v>
      </c>
      <c r="Q17" s="40" t="s">
        <v>255</v>
      </c>
      <c r="R17" s="44" t="str">
        <f>VLOOKUP(Рецепты[[#This Row],[Состав]],Ингредиенты[],9,0)</f>
        <v>Да</v>
      </c>
      <c r="S17" s="52"/>
    </row>
    <row r="18" spans="1:19" x14ac:dyDescent="0.25">
      <c r="A18" s="40" t="s">
        <v>248</v>
      </c>
      <c r="B18" s="40" t="str">
        <f>B17</f>
        <v>Колбаса</v>
      </c>
      <c r="C18" s="40" t="str">
        <f>C17</f>
        <v>Вареное</v>
      </c>
      <c r="D18" s="40" t="s">
        <v>157</v>
      </c>
      <c r="E18" s="41" t="str">
        <f>VLOOKUP(Рецепты[[#This Row],[Состав]],Ингредиенты[],2,0)</f>
        <v>Специи</v>
      </c>
      <c r="F18" s="62">
        <v>2E-3</v>
      </c>
      <c r="G18" s="42">
        <f>IF(Рецепты[[#This Row],[%]]*1000&gt;0,Рецепты[[#This Row],[%]]*1000,"")</f>
        <v>2</v>
      </c>
      <c r="H18" s="43">
        <f>IFERROR(VLOOKUP(Рецепты[[#This Row],[Состав]],Ингредиенты!A:I,3,0)*Рецепты[[#This Row],[г]],"")</f>
        <v>1.496</v>
      </c>
      <c r="I18" s="42">
        <f>СводРецепт!$A$1</f>
        <v>1000</v>
      </c>
      <c r="J18" s="42">
        <f>Рецепты[[#This Row],[%]]*Рецепты[[#This Row],[Масса]]</f>
        <v>2</v>
      </c>
      <c r="K18" s="43">
        <f>Рецепты[[#This Row],[Вес ингр-тов]]*VLOOKUP(Рецепты[[#This Row],[Состав]],Ингредиенты[],3,FALSE)</f>
        <v>1.496</v>
      </c>
      <c r="L18" s="41">
        <f>IF(VLOOKUP(Рецепты[[#This Row],[Состав]],Ингредиенты[],4,0)="Основа",VLOOKUP(Рецепты[[#This Row],[Способ]],Способ[],2,0),0%)</f>
        <v>0</v>
      </c>
      <c r="M18" s="41">
        <f>VLOOKUP(Рецепты[[#This Row],[Способ]],Способ[],3,0)</f>
        <v>0.7</v>
      </c>
      <c r="N18" s="43">
        <f>Рецепты[[#This Row],[р]]*100%/(100%-Рецепты[[#This Row],[Потери, %]])+Рецепты[[#This Row],[Маржа]]*(Рецепты[[#This Row],[р]]*100%)/(100%-Рецепты[[#This Row],[Потери, %]])</f>
        <v>2.5431999999999997</v>
      </c>
      <c r="O18" s="43">
        <f>Рецепты[[#This Row],[Цена за 1 кг]]-(Рецепты[[#This Row],[р]]*100%/(100%-Рецепты[[#This Row],[Потери, %]]))</f>
        <v>1.0471999999999997</v>
      </c>
      <c r="P18" s="40" t="s">
        <v>249</v>
      </c>
      <c r="Q18" s="40" t="s">
        <v>256</v>
      </c>
      <c r="R18" s="44" t="str">
        <f>VLOOKUP(Рецепты[[#This Row],[Состав]],Ингредиенты[],9,0)</f>
        <v>Да</v>
      </c>
      <c r="S18" s="52"/>
    </row>
    <row r="19" spans="1:19" x14ac:dyDescent="0.25">
      <c r="A19" s="40" t="s">
        <v>248</v>
      </c>
      <c r="B19" s="40" t="str">
        <f>B17</f>
        <v>Колбаса</v>
      </c>
      <c r="C19" s="40" t="str">
        <f>C17</f>
        <v>Вареное</v>
      </c>
      <c r="D19" s="40" t="s">
        <v>153</v>
      </c>
      <c r="E19" s="41" t="str">
        <f>VLOOKUP(Рецепты[[#This Row],[Состав]],Ингредиенты[],2,0)</f>
        <v>Специи</v>
      </c>
      <c r="F19" s="62">
        <v>5.0000000000000001E-4</v>
      </c>
      <c r="G19" s="42">
        <f>IF(Рецепты[[#This Row],[%]]*1000&gt;0,Рецепты[[#This Row],[%]]*1000,"")</f>
        <v>0.5</v>
      </c>
      <c r="H19" s="43">
        <f>IFERROR(VLOOKUP(Рецепты[[#This Row],[Состав]],Ингредиенты!A:I,3,0)*Рецепты[[#This Row],[г]],"")</f>
        <v>0.75666666666666671</v>
      </c>
      <c r="I19" s="42">
        <f>СводРецепт!$A$1</f>
        <v>1000</v>
      </c>
      <c r="J19" s="42">
        <f>Рецепты[[#This Row],[%]]*Рецепты[[#This Row],[Масса]]</f>
        <v>0.5</v>
      </c>
      <c r="K19" s="43">
        <f>Рецепты[[#This Row],[Вес ингр-тов]]*VLOOKUP(Рецепты[[#This Row],[Состав]],Ингредиенты[],3,FALSE)</f>
        <v>0.75666666666666671</v>
      </c>
      <c r="L19" s="41">
        <f>IF(VLOOKUP(Рецепты[[#This Row],[Состав]],Ингредиенты[],4,0)="Основа",VLOOKUP(Рецепты[[#This Row],[Способ]],Способ[],2,0),0%)</f>
        <v>0</v>
      </c>
      <c r="M19" s="41">
        <f>VLOOKUP(Рецепты[[#This Row],[Способ]],Способ[],3,0)</f>
        <v>0.7</v>
      </c>
      <c r="N19" s="43">
        <f>Рецепты[[#This Row],[р]]*100%/(100%-Рецепты[[#This Row],[Потери, %]])+Рецепты[[#This Row],[Маржа]]*(Рецепты[[#This Row],[р]]*100%)/(100%-Рецепты[[#This Row],[Потери, %]])</f>
        <v>1.2863333333333333</v>
      </c>
      <c r="O19" s="43">
        <f>Рецепты[[#This Row],[Цена за 1 кг]]-(Рецепты[[#This Row],[р]]*100%/(100%-Рецепты[[#This Row],[Потери, %]]))</f>
        <v>0.52966666666666662</v>
      </c>
      <c r="P19" s="40" t="s">
        <v>249</v>
      </c>
      <c r="Q19" s="40" t="s">
        <v>256</v>
      </c>
      <c r="R19" s="44" t="str">
        <f>VLOOKUP(Рецепты[[#This Row],[Состав]],Ингредиенты[],9,0)</f>
        <v>Да</v>
      </c>
      <c r="S19" s="52"/>
    </row>
    <row r="20" spans="1:19" x14ac:dyDescent="0.25">
      <c r="A20" s="40" t="s">
        <v>248</v>
      </c>
      <c r="B20" s="40" t="str">
        <f>B19</f>
        <v>Колбаса</v>
      </c>
      <c r="C20" s="40" t="str">
        <f>C19</f>
        <v>Вареное</v>
      </c>
      <c r="D20" s="40" t="s">
        <v>214</v>
      </c>
      <c r="E20" s="41" t="str">
        <f>VLOOKUP(Рецепты[[#This Row],[Состав]],Ингредиенты[],2,0)</f>
        <v>Оболочка</v>
      </c>
      <c r="F20" s="62">
        <v>1E-3</v>
      </c>
      <c r="G20" s="42">
        <f>IF(Рецепты[[#This Row],[%]]*1000&gt;0,Рецепты[[#This Row],[%]]*1000,"")</f>
        <v>1</v>
      </c>
      <c r="H20" s="43">
        <f>IFERROR(VLOOKUP(Рецепты[[#This Row],[Состав]],Ингредиенты!A:I,3,0)*Рецепты[[#This Row],[г]],"")</f>
        <v>9.7374533266692147</v>
      </c>
      <c r="I20" s="42">
        <f>СводРецепт!$A$1</f>
        <v>1000</v>
      </c>
      <c r="J20" s="42">
        <f>Рецепты[[#This Row],[%]]*Рецепты[[#This Row],[Масса]]</f>
        <v>1</v>
      </c>
      <c r="K20" s="43">
        <f>Рецепты[[#This Row],[Вес ингр-тов]]*VLOOKUP(Рецепты[[#This Row],[Состав]],Ингредиенты[],3,FALSE)</f>
        <v>9.7374533266692147</v>
      </c>
      <c r="L20" s="41">
        <f>IF(VLOOKUP(Рецепты[[#This Row],[Состав]],Ингредиенты[],4,0)="Основа",VLOOKUP(Рецепты[[#This Row],[Способ]],Способ[],2,0),0%)</f>
        <v>0</v>
      </c>
      <c r="M20" s="41">
        <f>VLOOKUP(Рецепты[[#This Row],[Способ]],Способ[],3,0)</f>
        <v>0.7</v>
      </c>
      <c r="N20" s="43">
        <f>Рецепты[[#This Row],[р]]*100%/(100%-Рецепты[[#This Row],[Потери, %]])+Рецепты[[#This Row],[Маржа]]*(Рецепты[[#This Row],[р]]*100%)/(100%-Рецепты[[#This Row],[Потери, %]])</f>
        <v>16.553670655337665</v>
      </c>
      <c r="O20" s="43">
        <f>Рецепты[[#This Row],[Цена за 1 кг]]-(Рецепты[[#This Row],[р]]*100%/(100%-Рецепты[[#This Row],[Потери, %]]))</f>
        <v>6.8162173286684506</v>
      </c>
      <c r="P20" s="40" t="s">
        <v>249</v>
      </c>
      <c r="Q20" s="40" t="s">
        <v>257</v>
      </c>
      <c r="R20" s="44" t="str">
        <f>VLOOKUP(Рецепты[[#This Row],[Состав]],Ингредиенты[],9,0)</f>
        <v>Да</v>
      </c>
      <c r="S20" s="52"/>
    </row>
    <row r="21" spans="1:19" x14ac:dyDescent="0.25">
      <c r="A21" s="40" t="s">
        <v>258</v>
      </c>
      <c r="B21" s="40" t="s">
        <v>21</v>
      </c>
      <c r="C21" s="40" t="str">
        <f>C19</f>
        <v>Вареное</v>
      </c>
      <c r="D21" s="40" t="s">
        <v>69</v>
      </c>
      <c r="E21" s="41" t="str">
        <f>VLOOKUP(Рецепты[[#This Row],[Состав]],Ингредиенты[],2,0)</f>
        <v>Птица</v>
      </c>
      <c r="F21" s="62">
        <v>0.2</v>
      </c>
      <c r="G21" s="42">
        <f>IF(Рецепты[[#This Row],[%]]*1000&gt;0,Рецепты[[#This Row],[%]]*1000,"")</f>
        <v>200</v>
      </c>
      <c r="H21" s="43">
        <f>IFERROR(VLOOKUP(Рецепты[[#This Row],[Состав]],Ингредиенты!A:I,3,0)*Рецепты[[#This Row],[г]],"")</f>
        <v>55.998000000000005</v>
      </c>
      <c r="I21" s="42">
        <f>СводРецепт!$A$1</f>
        <v>1000</v>
      </c>
      <c r="J21" s="42">
        <f>Рецепты[[#This Row],[%]]*Рецепты[[#This Row],[Масса]]</f>
        <v>200</v>
      </c>
      <c r="K21" s="43">
        <f>Рецепты[[#This Row],[Вес ингр-тов]]*VLOOKUP(Рецепты[[#This Row],[Состав]],Ингредиенты[],3,FALSE)</f>
        <v>55.998000000000005</v>
      </c>
      <c r="L21" s="41">
        <f>IF(VLOOKUP(Рецепты[[#This Row],[Состав]],Ингредиенты[],4,0)="Основа",VLOOKUP(Рецепты[[#This Row],[Способ]],Способ[],2,0),0%)</f>
        <v>0.15</v>
      </c>
      <c r="M21" s="41">
        <f>VLOOKUP(Рецепты[[#This Row],[Способ]],Способ[],3,0)</f>
        <v>0.7</v>
      </c>
      <c r="N21" s="43">
        <f>Рецепты[[#This Row],[р]]*100%/(100%-Рецепты[[#This Row],[Потери, %]])+Рецепты[[#This Row],[Маржа]]*(Рецепты[[#This Row],[р]]*100%)/(100%-Рецепты[[#This Row],[Потери, %]])</f>
        <v>111.99600000000001</v>
      </c>
      <c r="O21" s="43">
        <f>Рецепты[[#This Row],[Цена за 1 кг]]-(Рецепты[[#This Row],[р]]*100%/(100%-Рецепты[[#This Row],[Потери, %]]))</f>
        <v>46.116</v>
      </c>
      <c r="P21" s="40" t="s">
        <v>259</v>
      </c>
      <c r="Q21" s="40" t="s">
        <v>260</v>
      </c>
      <c r="R21" s="44" t="str">
        <f>VLOOKUP(Рецепты[[#This Row],[Состав]],Ингредиенты[],9,0)</f>
        <v>Нет</v>
      </c>
      <c r="S21" s="52"/>
    </row>
    <row r="22" spans="1:19" x14ac:dyDescent="0.25">
      <c r="A22" s="40" t="s">
        <v>258</v>
      </c>
      <c r="B22" s="40" t="str">
        <f t="shared" ref="B22:B40" si="2">B21</f>
        <v>Сосиски</v>
      </c>
      <c r="C22" s="40" t="str">
        <f t="shared" ref="C22:C40" si="3">C21</f>
        <v>Вареное</v>
      </c>
      <c r="D22" s="40" t="s">
        <v>70</v>
      </c>
      <c r="E22" s="41" t="str">
        <f>VLOOKUP(Рецепты[[#This Row],[Состав]],Ингредиенты[],2,0)</f>
        <v>Птица</v>
      </c>
      <c r="F22" s="62">
        <v>0.6</v>
      </c>
      <c r="G22" s="42">
        <f>IF(Рецепты[[#This Row],[%]]*1000&gt;0,Рецепты[[#This Row],[%]]*1000,"")</f>
        <v>600</v>
      </c>
      <c r="H22" s="43">
        <f>IFERROR(VLOOKUP(Рецепты[[#This Row],[Состав]],Ингредиенты!A:I,3,0)*Рецепты[[#This Row],[г]],"")</f>
        <v>156.70588235294116</v>
      </c>
      <c r="I22" s="42">
        <f>СводРецепт!$A$1</f>
        <v>1000</v>
      </c>
      <c r="J22" s="42">
        <f>Рецепты[[#This Row],[%]]*Рецепты[[#This Row],[Масса]]</f>
        <v>600</v>
      </c>
      <c r="K22" s="43">
        <f>Рецепты[[#This Row],[Вес ингр-тов]]*VLOOKUP(Рецепты[[#This Row],[Состав]],Ингредиенты[],3,FALSE)</f>
        <v>156.70588235294116</v>
      </c>
      <c r="L22" s="41">
        <f>IF(VLOOKUP(Рецепты[[#This Row],[Состав]],Ингредиенты[],4,0)="Основа",VLOOKUP(Рецепты[[#This Row],[Способ]],Способ[],2,0),0%)</f>
        <v>0.15</v>
      </c>
      <c r="M22" s="41">
        <f>VLOOKUP(Рецепты[[#This Row],[Способ]],Способ[],3,0)</f>
        <v>0.7</v>
      </c>
      <c r="N22" s="43">
        <f>Рецепты[[#This Row],[р]]*100%/(100%-Рецепты[[#This Row],[Потери, %]])+Рецепты[[#This Row],[Маржа]]*(Рецепты[[#This Row],[р]]*100%)/(100%-Рецепты[[#This Row],[Потери, %]])</f>
        <v>313.41176470588232</v>
      </c>
      <c r="O22" s="43">
        <f>Рецепты[[#This Row],[Цена за 1 кг]]-(Рецепты[[#This Row],[р]]*100%/(100%-Рецепты[[#This Row],[Потери, %]]))</f>
        <v>129.05190311418684</v>
      </c>
      <c r="P22" s="40" t="s">
        <v>259</v>
      </c>
      <c r="Q22" s="40" t="s">
        <v>261</v>
      </c>
      <c r="R22" s="44" t="str">
        <f>VLOOKUP(Рецепты[[#This Row],[Состав]],Ингредиенты[],9,0)</f>
        <v>Нет</v>
      </c>
      <c r="S22" s="52"/>
    </row>
    <row r="23" spans="1:19" x14ac:dyDescent="0.25">
      <c r="A23" s="40" t="s">
        <v>258</v>
      </c>
      <c r="B23" s="40" t="str">
        <f t="shared" si="2"/>
        <v>Сосиски</v>
      </c>
      <c r="C23" s="40" t="str">
        <f t="shared" si="3"/>
        <v>Вареное</v>
      </c>
      <c r="D23" s="40" t="s">
        <v>113</v>
      </c>
      <c r="E23" s="41" t="str">
        <f>VLOOKUP(Рецепты[[#This Row],[Состав]],Ингредиенты[],2,0)</f>
        <v>Добавки</v>
      </c>
      <c r="F23" s="62">
        <v>0.2</v>
      </c>
      <c r="G23" s="42">
        <f>IF(Рецепты[[#This Row],[%]]*1000&gt;0,Рецепты[[#This Row],[%]]*1000,"")</f>
        <v>200</v>
      </c>
      <c r="H23" s="43">
        <f>IFERROR(VLOOKUP(Рецепты[[#This Row],[Состав]],Ингредиенты!A:I,3,0)*Рецепты[[#This Row],[г]],"")</f>
        <v>159.99799999999999</v>
      </c>
      <c r="I23" s="42">
        <f>СводРецепт!$A$1</f>
        <v>1000</v>
      </c>
      <c r="J23" s="42">
        <f>Рецепты[[#This Row],[%]]*Рецепты[[#This Row],[Масса]]</f>
        <v>200</v>
      </c>
      <c r="K23" s="43">
        <f>Рецепты[[#This Row],[Вес ингр-тов]]*VLOOKUP(Рецепты[[#This Row],[Состав]],Ингредиенты[],3,FALSE)</f>
        <v>159.99799999999999</v>
      </c>
      <c r="L23" s="41">
        <f>IF(VLOOKUP(Рецепты[[#This Row],[Состав]],Ингредиенты[],4,0)="Основа",VLOOKUP(Рецепты[[#This Row],[Способ]],Способ[],2,0),0%)</f>
        <v>0</v>
      </c>
      <c r="M23" s="41">
        <f>VLOOKUP(Рецепты[[#This Row],[Способ]],Способ[],3,0)</f>
        <v>0.7</v>
      </c>
      <c r="N23" s="43">
        <f>Рецепты[[#This Row],[р]]*100%/(100%-Рецепты[[#This Row],[Потери, %]])+Рецепты[[#This Row],[Маржа]]*(Рецепты[[#This Row],[р]]*100%)/(100%-Рецепты[[#This Row],[Потери, %]])</f>
        <v>271.99659999999994</v>
      </c>
      <c r="O23" s="43">
        <f>Рецепты[[#This Row],[Цена за 1 кг]]-(Рецепты[[#This Row],[р]]*100%/(100%-Рецепты[[#This Row],[Потери, %]]))</f>
        <v>111.99859999999995</v>
      </c>
      <c r="P23" s="40" t="s">
        <v>259</v>
      </c>
      <c r="Q23" s="40" t="s">
        <v>262</v>
      </c>
      <c r="R23" s="44" t="str">
        <f>VLOOKUP(Рецепты[[#This Row],[Состав]],Ингредиенты[],9,0)</f>
        <v>Нет</v>
      </c>
      <c r="S23" s="52"/>
    </row>
    <row r="24" spans="1:19" x14ac:dyDescent="0.25">
      <c r="A24" s="40" t="s">
        <v>258</v>
      </c>
      <c r="B24" s="40" t="str">
        <f t="shared" si="2"/>
        <v>Сосиски</v>
      </c>
      <c r="C24" s="40" t="str">
        <f t="shared" si="3"/>
        <v>Вареное</v>
      </c>
      <c r="D24" s="40" t="s">
        <v>128</v>
      </c>
      <c r="E24" s="41" t="str">
        <f>VLOOKUP(Рецепты[[#This Row],[Состав]],Ингредиенты[],2,0)</f>
        <v>Специи</v>
      </c>
      <c r="F24" s="62">
        <v>8.0000000000000002E-3</v>
      </c>
      <c r="G24" s="42">
        <f>IF(Рецепты[[#This Row],[%]]*1000&gt;0,Рецепты[[#This Row],[%]]*1000,"")</f>
        <v>8</v>
      </c>
      <c r="H24" s="43">
        <f>IFERROR(VLOOKUP(Рецепты[[#This Row],[Состав]],Ингредиенты!A:I,3,0)*Рецепты[[#This Row],[г]],"")</f>
        <v>0.308</v>
      </c>
      <c r="I24" s="42">
        <f>СводРецепт!$A$1</f>
        <v>1000</v>
      </c>
      <c r="J24" s="42">
        <f>Рецепты[[#This Row],[%]]*Рецепты[[#This Row],[Масса]]</f>
        <v>8</v>
      </c>
      <c r="K24" s="43">
        <f>Рецепты[[#This Row],[Вес ингр-тов]]*VLOOKUP(Рецепты[[#This Row],[Состав]],Ингредиенты[],3,FALSE)</f>
        <v>0.308</v>
      </c>
      <c r="L24" s="41">
        <f>IF(VLOOKUP(Рецепты[[#This Row],[Состав]],Ингредиенты[],4,0)="Основа",VLOOKUP(Рецепты[[#This Row],[Способ]],Способ[],2,0),0%)</f>
        <v>0</v>
      </c>
      <c r="M24" s="41">
        <f>VLOOKUP(Рецепты[[#This Row],[Способ]],Способ[],3,0)</f>
        <v>0.7</v>
      </c>
      <c r="N24" s="43">
        <f>Рецепты[[#This Row],[р]]*100%/(100%-Рецепты[[#This Row],[Потери, %]])+Рецепты[[#This Row],[Маржа]]*(Рецепты[[#This Row],[р]]*100%)/(100%-Рецепты[[#This Row],[Потери, %]])</f>
        <v>0.52359999999999995</v>
      </c>
      <c r="O24" s="43">
        <f>Рецепты[[#This Row],[Цена за 1 кг]]-(Рецепты[[#This Row],[р]]*100%/(100%-Рецепты[[#This Row],[Потери, %]]))</f>
        <v>0.21559999999999996</v>
      </c>
      <c r="P24" s="40" t="s">
        <v>259</v>
      </c>
      <c r="Q24" s="40" t="s">
        <v>263</v>
      </c>
      <c r="R24" s="44" t="str">
        <f>VLOOKUP(Рецепты[[#This Row],[Состав]],Ингредиенты[],9,0)</f>
        <v>Да</v>
      </c>
      <c r="S24" s="52"/>
    </row>
    <row r="25" spans="1:19" x14ac:dyDescent="0.25">
      <c r="A25" s="40" t="s">
        <v>258</v>
      </c>
      <c r="B25" s="40" t="str">
        <f t="shared" si="2"/>
        <v>Сосиски</v>
      </c>
      <c r="C25" s="40" t="str">
        <f t="shared" si="3"/>
        <v>Вареное</v>
      </c>
      <c r="D25" s="40" t="s">
        <v>125</v>
      </c>
      <c r="E25" s="41" t="str">
        <f>VLOOKUP(Рецепты[[#This Row],[Состав]],Ингредиенты[],2,0)</f>
        <v>Специи</v>
      </c>
      <c r="F25" s="62">
        <v>8.0000000000000002E-3</v>
      </c>
      <c r="G25" s="42">
        <f>IF(Рецепты[[#This Row],[%]]*1000&gt;0,Рецепты[[#This Row],[%]]*1000,"")</f>
        <v>8</v>
      </c>
      <c r="H25" s="43">
        <f>IFERROR(VLOOKUP(Рецепты[[#This Row],[Состав]],Ингредиенты!A:I,3,0)*Рецепты[[#This Row],[г]],"")</f>
        <v>1.024</v>
      </c>
      <c r="I25" s="42">
        <f>СводРецепт!$A$1</f>
        <v>1000</v>
      </c>
      <c r="J25" s="42">
        <f>Рецепты[[#This Row],[%]]*Рецепты[[#This Row],[Масса]]</f>
        <v>8</v>
      </c>
      <c r="K25" s="43">
        <f>Рецепты[[#This Row],[Вес ингр-тов]]*VLOOKUP(Рецепты[[#This Row],[Состав]],Ингредиенты[],3,FALSE)</f>
        <v>1.024</v>
      </c>
      <c r="L25" s="41">
        <f>IF(VLOOKUP(Рецепты[[#This Row],[Состав]],Ингредиенты[],4,0)="Основа",VLOOKUP(Рецепты[[#This Row],[Способ]],Способ[],2,0),0%)</f>
        <v>0</v>
      </c>
      <c r="M25" s="41">
        <f>VLOOKUP(Рецепты[[#This Row],[Способ]],Способ[],3,0)</f>
        <v>0.7</v>
      </c>
      <c r="N25" s="43">
        <f>Рецепты[[#This Row],[р]]*100%/(100%-Рецепты[[#This Row],[Потери, %]])+Рецепты[[#This Row],[Маржа]]*(Рецепты[[#This Row],[р]]*100%)/(100%-Рецепты[[#This Row],[Потери, %]])</f>
        <v>1.7408000000000001</v>
      </c>
      <c r="O25" s="43">
        <f>Рецепты[[#This Row],[Цена за 1 кг]]-(Рецепты[[#This Row],[р]]*100%/(100%-Рецепты[[#This Row],[Потери, %]]))</f>
        <v>0.7168000000000001</v>
      </c>
      <c r="P25" s="40" t="s">
        <v>259</v>
      </c>
      <c r="Q25" s="40" t="s">
        <v>264</v>
      </c>
      <c r="R25" s="44" t="str">
        <f>VLOOKUP(Рецепты[[#This Row],[Состав]],Ингредиенты[],9,0)</f>
        <v>Да</v>
      </c>
      <c r="S25" s="52"/>
    </row>
    <row r="26" spans="1:19" x14ac:dyDescent="0.25">
      <c r="A26" s="40" t="s">
        <v>258</v>
      </c>
      <c r="B26" s="40" t="str">
        <f t="shared" si="2"/>
        <v>Сосиски</v>
      </c>
      <c r="C26" s="40" t="str">
        <f t="shared" si="3"/>
        <v>Вареное</v>
      </c>
      <c r="D26" s="40" t="s">
        <v>131</v>
      </c>
      <c r="E26" s="41" t="str">
        <f>VLOOKUP(Рецепты[[#This Row],[Состав]],Ингредиенты[],2,0)</f>
        <v>Специи</v>
      </c>
      <c r="F26" s="62">
        <v>1E-3</v>
      </c>
      <c r="G26" s="42">
        <f>IF(Рецепты[[#This Row],[%]]*1000&gt;0,Рецепты[[#This Row],[%]]*1000,"")</f>
        <v>1</v>
      </c>
      <c r="H26" s="43">
        <f>IFERROR(VLOOKUP(Рецепты[[#This Row],[Состав]],Ингредиенты!A:I,3,0)*Рецепты[[#This Row],[г]],"")</f>
        <v>8.0882352941176475E-2</v>
      </c>
      <c r="I26" s="42">
        <f>СводРецепт!$A$1</f>
        <v>1000</v>
      </c>
      <c r="J26" s="42">
        <f>Рецепты[[#This Row],[%]]*Рецепты[[#This Row],[Масса]]</f>
        <v>1</v>
      </c>
      <c r="K26" s="43">
        <f>Рецепты[[#This Row],[Вес ингр-тов]]*VLOOKUP(Рецепты[[#This Row],[Состав]],Ингредиенты[],3,FALSE)</f>
        <v>8.0882352941176475E-2</v>
      </c>
      <c r="L26" s="41">
        <f>IF(VLOOKUP(Рецепты[[#This Row],[Состав]],Ингредиенты[],4,0)="Основа",VLOOKUP(Рецепты[[#This Row],[Способ]],Способ[],2,0),0%)</f>
        <v>0</v>
      </c>
      <c r="M26" s="41">
        <f>VLOOKUP(Рецепты[[#This Row],[Способ]],Способ[],3,0)</f>
        <v>0.7</v>
      </c>
      <c r="N26" s="43">
        <f>Рецепты[[#This Row],[р]]*100%/(100%-Рецепты[[#This Row],[Потери, %]])+Рецепты[[#This Row],[Маржа]]*(Рецепты[[#This Row],[р]]*100%)/(100%-Рецепты[[#This Row],[Потери, %]])</f>
        <v>0.13750000000000001</v>
      </c>
      <c r="O26" s="43">
        <f>Рецепты[[#This Row],[Цена за 1 кг]]-(Рецепты[[#This Row],[р]]*100%/(100%-Рецепты[[#This Row],[Потери, %]]))</f>
        <v>5.6617647058823536E-2</v>
      </c>
      <c r="P26" s="40" t="s">
        <v>259</v>
      </c>
      <c r="Q26" s="40" t="s">
        <v>265</v>
      </c>
      <c r="R26" s="44" t="str">
        <f>VLOOKUP(Рецепты[[#This Row],[Состав]],Ингредиенты[],9,0)</f>
        <v>Да</v>
      </c>
      <c r="S26" s="52"/>
    </row>
    <row r="27" spans="1:19" x14ac:dyDescent="0.25">
      <c r="A27" s="40" t="s">
        <v>258</v>
      </c>
      <c r="B27" s="40" t="str">
        <f t="shared" si="2"/>
        <v>Сосиски</v>
      </c>
      <c r="C27" s="40" t="str">
        <f t="shared" si="3"/>
        <v>Вареное</v>
      </c>
      <c r="D27" s="40" t="s">
        <v>133</v>
      </c>
      <c r="E27" s="41" t="str">
        <f>VLOOKUP(Рецепты[[#This Row],[Состав]],Ингредиенты[],2,0)</f>
        <v>Специи</v>
      </c>
      <c r="F27" s="62">
        <v>1E-3</v>
      </c>
      <c r="G27" s="42">
        <f>IF(Рецепты[[#This Row],[%]]*1000&gt;0,Рецепты[[#This Row],[%]]*1000,"")</f>
        <v>1</v>
      </c>
      <c r="H27" s="43">
        <f>IFERROR(VLOOKUP(Рецепты[[#This Row],[Состав]],Ингредиенты!A:I,3,0)*Рецепты[[#This Row],[г]],"")</f>
        <v>1.0945454545454545</v>
      </c>
      <c r="I27" s="42">
        <f>СводРецепт!$A$1</f>
        <v>1000</v>
      </c>
      <c r="J27" s="42">
        <f>Рецепты[[#This Row],[%]]*Рецепты[[#This Row],[Масса]]</f>
        <v>1</v>
      </c>
      <c r="K27" s="43">
        <f>Рецепты[[#This Row],[Вес ингр-тов]]*VLOOKUP(Рецепты[[#This Row],[Состав]],Ингредиенты[],3,FALSE)</f>
        <v>1.0945454545454545</v>
      </c>
      <c r="L27" s="41">
        <f>IF(VLOOKUP(Рецепты[[#This Row],[Состав]],Ингредиенты[],4,0)="Основа",VLOOKUP(Рецепты[[#This Row],[Способ]],Способ[],2,0),0%)</f>
        <v>0</v>
      </c>
      <c r="M27" s="41">
        <f>VLOOKUP(Рецепты[[#This Row],[Способ]],Способ[],3,0)</f>
        <v>0.7</v>
      </c>
      <c r="N27" s="43">
        <f>Рецепты[[#This Row],[р]]*100%/(100%-Рецепты[[#This Row],[Потери, %]])+Рецепты[[#This Row],[Маржа]]*(Рецепты[[#This Row],[р]]*100%)/(100%-Рецепты[[#This Row],[Потери, %]])</f>
        <v>1.8607272727272726</v>
      </c>
      <c r="O27" s="43">
        <f>Рецепты[[#This Row],[Цена за 1 кг]]-(Рецепты[[#This Row],[р]]*100%/(100%-Рецепты[[#This Row],[Потери, %]]))</f>
        <v>0.76618181818181808</v>
      </c>
      <c r="P27" s="40" t="s">
        <v>259</v>
      </c>
      <c r="Q27" s="40" t="s">
        <v>266</v>
      </c>
      <c r="R27" s="44" t="str">
        <f>VLOOKUP(Рецепты[[#This Row],[Состав]],Ингредиенты[],9,0)</f>
        <v>Да</v>
      </c>
      <c r="S27" s="52"/>
    </row>
    <row r="28" spans="1:19" x14ac:dyDescent="0.25">
      <c r="A28" s="40" t="s">
        <v>258</v>
      </c>
      <c r="B28" s="40" t="str">
        <f t="shared" si="2"/>
        <v>Сосиски</v>
      </c>
      <c r="C28" s="40" t="str">
        <f t="shared" si="3"/>
        <v>Вареное</v>
      </c>
      <c r="D28" s="40" t="s">
        <v>149</v>
      </c>
      <c r="E28" s="41" t="str">
        <f>VLOOKUP(Рецепты[[#This Row],[Состав]],Ингредиенты[],2,0)</f>
        <v>Специи</v>
      </c>
      <c r="F28" s="62">
        <v>5.0000000000000001E-4</v>
      </c>
      <c r="G28" s="42">
        <f>IF(Рецепты[[#This Row],[%]]*1000&gt;0,Рецепты[[#This Row],[%]]*1000,"")</f>
        <v>0.5</v>
      </c>
      <c r="H28" s="43">
        <f>IFERROR(VLOOKUP(Рецепты[[#This Row],[Состав]],Ингредиенты!A:I,3,0)*Рецепты[[#This Row],[г]],"")</f>
        <v>1.0386363636363636</v>
      </c>
      <c r="I28" s="42">
        <f>СводРецепт!$A$1</f>
        <v>1000</v>
      </c>
      <c r="J28" s="42">
        <f>Рецепты[[#This Row],[%]]*Рецепты[[#This Row],[Масса]]</f>
        <v>0.5</v>
      </c>
      <c r="K28" s="43">
        <f>Рецепты[[#This Row],[Вес ингр-тов]]*VLOOKUP(Рецепты[[#This Row],[Состав]],Ингредиенты[],3,FALSE)</f>
        <v>1.0386363636363636</v>
      </c>
      <c r="L28" s="41">
        <f>IF(VLOOKUP(Рецепты[[#This Row],[Состав]],Ингредиенты[],4,0)="Основа",VLOOKUP(Рецепты[[#This Row],[Способ]],Способ[],2,0),0%)</f>
        <v>0</v>
      </c>
      <c r="M28" s="41">
        <f>VLOOKUP(Рецепты[[#This Row],[Способ]],Способ[],3,0)</f>
        <v>0.7</v>
      </c>
      <c r="N28" s="43">
        <f>Рецепты[[#This Row],[р]]*100%/(100%-Рецепты[[#This Row],[Потери, %]])+Рецепты[[#This Row],[Маржа]]*(Рецепты[[#This Row],[р]]*100%)/(100%-Рецепты[[#This Row],[Потери, %]])</f>
        <v>1.7656818181818181</v>
      </c>
      <c r="O28" s="43">
        <f>Рецепты[[#This Row],[Цена за 1 кг]]-(Рецепты[[#This Row],[р]]*100%/(100%-Рецепты[[#This Row],[Потери, %]]))</f>
        <v>0.72704545454545455</v>
      </c>
      <c r="P28" s="40" t="s">
        <v>259</v>
      </c>
      <c r="Q28" s="40" t="s">
        <v>267</v>
      </c>
      <c r="R28" s="44" t="str">
        <f>VLOOKUP(Рецепты[[#This Row],[Состав]],Ингредиенты[],9,0)</f>
        <v>Да</v>
      </c>
      <c r="S28" s="52"/>
    </row>
    <row r="29" spans="1:19" x14ac:dyDescent="0.25">
      <c r="A29" s="40" t="s">
        <v>258</v>
      </c>
      <c r="B29" s="40" t="str">
        <f t="shared" si="2"/>
        <v>Сосиски</v>
      </c>
      <c r="C29" s="40" t="str">
        <f t="shared" si="3"/>
        <v>Вареное</v>
      </c>
      <c r="D29" s="40" t="s">
        <v>121</v>
      </c>
      <c r="E29" s="41" t="str">
        <f>VLOOKUP(Рецепты[[#This Row],[Состав]],Ингредиенты[],2,0)</f>
        <v>Добавки</v>
      </c>
      <c r="F29" s="62">
        <v>0.15</v>
      </c>
      <c r="G29" s="42">
        <f>IF(Рецепты[[#This Row],[%]]*1000&gt;0,Рецепты[[#This Row],[%]]*1000,"")</f>
        <v>150</v>
      </c>
      <c r="H29" s="43">
        <f>IFERROR(VLOOKUP(Рецепты[[#This Row],[Состав]],Ингредиенты!A:I,3,0)*Рецепты[[#This Row],[г]],"")</f>
        <v>75.900000000000006</v>
      </c>
      <c r="I29" s="42">
        <f>СводРецепт!$A$1</f>
        <v>1000</v>
      </c>
      <c r="J29" s="42">
        <f>Рецепты[[#This Row],[%]]*Рецепты[[#This Row],[Масса]]</f>
        <v>150</v>
      </c>
      <c r="K29" s="43">
        <f>Рецепты[[#This Row],[Вес ингр-тов]]*VLOOKUP(Рецепты[[#This Row],[Состав]],Ингредиенты[],3,FALSE)</f>
        <v>75.900000000000006</v>
      </c>
      <c r="L29" s="41">
        <f>IF(VLOOKUP(Рецепты[[#This Row],[Состав]],Ингредиенты[],4,0)="Основа",VLOOKUP(Рецепты[[#This Row],[Способ]],Способ[],2,0),0%)</f>
        <v>0</v>
      </c>
      <c r="M29" s="41">
        <f>VLOOKUP(Рецепты[[#This Row],[Способ]],Способ[],3,0)</f>
        <v>0.7</v>
      </c>
      <c r="N29" s="43">
        <f>Рецепты[[#This Row],[р]]*100%/(100%-Рецепты[[#This Row],[Потери, %]])+Рецепты[[#This Row],[Маржа]]*(Рецепты[[#This Row],[р]]*100%)/(100%-Рецепты[[#This Row],[Потери, %]])</f>
        <v>129.03</v>
      </c>
      <c r="O29" s="43">
        <f>Рецепты[[#This Row],[Цена за 1 кг]]-(Рецепты[[#This Row],[р]]*100%/(100%-Рецепты[[#This Row],[Потери, %]]))</f>
        <v>53.129999999999995</v>
      </c>
      <c r="P29" s="40" t="s">
        <v>259</v>
      </c>
      <c r="Q29" s="40" t="s">
        <v>268</v>
      </c>
      <c r="R29" s="44" t="str">
        <f>VLOOKUP(Рецепты[[#This Row],[Состав]],Ингредиенты[],9,0)</f>
        <v>Да</v>
      </c>
      <c r="S29" s="52"/>
    </row>
    <row r="30" spans="1:19" x14ac:dyDescent="0.25">
      <c r="A30" s="40" t="s">
        <v>258</v>
      </c>
      <c r="B30" s="40" t="str">
        <f>B29</f>
        <v>Сосиски</v>
      </c>
      <c r="C30" s="40" t="str">
        <f>C29</f>
        <v>Вареное</v>
      </c>
      <c r="D30" s="40" t="s">
        <v>222</v>
      </c>
      <c r="E30" s="41" t="str">
        <f>VLOOKUP(Рецепты[[#This Row],[Состав]],Ингредиенты[],2,0)</f>
        <v>Оболочка</v>
      </c>
      <c r="F30" s="62">
        <v>1E-3</v>
      </c>
      <c r="G30" s="42">
        <f>IF(Рецепты[[#This Row],[%]]*1000&gt;0,Рецепты[[#This Row],[%]]*1000,"")</f>
        <v>1</v>
      </c>
      <c r="H30" s="43">
        <f>IFERROR(VLOOKUP(Рецепты[[#This Row],[Состав]],Ингредиенты!A:I,3,0)*Рецепты[[#This Row],[г]],"")</f>
        <v>15.407180149631303</v>
      </c>
      <c r="I30" s="42">
        <f>СводРецепт!$A$1</f>
        <v>1000</v>
      </c>
      <c r="J30" s="42">
        <f>Рецепты[[#This Row],[%]]*Рецепты[[#This Row],[Масса]]</f>
        <v>1</v>
      </c>
      <c r="K30" s="43">
        <f>Рецепты[[#This Row],[Вес ингр-тов]]*VLOOKUP(Рецепты[[#This Row],[Состав]],Ингредиенты[],3,FALSE)</f>
        <v>15.407180149631303</v>
      </c>
      <c r="L30" s="41">
        <f>IF(VLOOKUP(Рецепты[[#This Row],[Состав]],Ингредиенты[],4,0)="Основа",VLOOKUP(Рецепты[[#This Row],[Способ]],Способ[],2,0),0%)</f>
        <v>0</v>
      </c>
      <c r="M30" s="41">
        <f>VLOOKUP(Рецепты[[#This Row],[Способ]],Способ[],3,0)</f>
        <v>0.7</v>
      </c>
      <c r="N30" s="43">
        <f>Рецепты[[#This Row],[р]]*100%/(100%-Рецепты[[#This Row],[Потери, %]])+Рецепты[[#This Row],[Маржа]]*(Рецепты[[#This Row],[р]]*100%)/(100%-Рецепты[[#This Row],[Потери, %]])</f>
        <v>26.192206254373215</v>
      </c>
      <c r="O30" s="43">
        <f>Рецепты[[#This Row],[Цена за 1 кг]]-(Рецепты[[#This Row],[р]]*100%/(100%-Рецепты[[#This Row],[Потери, %]]))</f>
        <v>10.785026104741911</v>
      </c>
      <c r="P30" s="40" t="s">
        <v>259</v>
      </c>
      <c r="Q30" s="40" t="s">
        <v>269</v>
      </c>
      <c r="R30" s="44" t="str">
        <f>VLOOKUP(Рецепты[[#This Row],[Состав]],Ингредиенты[],9,0)</f>
        <v>Да</v>
      </c>
      <c r="S30" s="52"/>
    </row>
    <row r="31" spans="1:19" x14ac:dyDescent="0.25">
      <c r="A31" s="40" t="s">
        <v>270</v>
      </c>
      <c r="B31" s="40" t="str">
        <f>B30</f>
        <v>Сосиски</v>
      </c>
      <c r="C31" s="40" t="str">
        <f>C29</f>
        <v>Вареное</v>
      </c>
      <c r="D31" s="40" t="s">
        <v>52</v>
      </c>
      <c r="E31" s="41" t="str">
        <f>VLOOKUP(Рецепты[[#This Row],[Состав]],Ингредиенты[],2,0)</f>
        <v>Свинина</v>
      </c>
      <c r="F31" s="62">
        <v>1</v>
      </c>
      <c r="G31" s="42">
        <f>IF(Рецепты[[#This Row],[%]]*1000&gt;0,Рецепты[[#This Row],[%]]*1000,"")</f>
        <v>1000</v>
      </c>
      <c r="H31" s="43">
        <f>IFERROR(VLOOKUP(Рецепты[[#This Row],[Состав]],Ингредиенты!A:I,3,0)*Рецепты[[#This Row],[г]],"")</f>
        <v>369</v>
      </c>
      <c r="I31" s="42">
        <f>СводРецепт!$A$1</f>
        <v>1000</v>
      </c>
      <c r="J31" s="42">
        <f>Рецепты[[#This Row],[%]]*Рецепты[[#This Row],[Масса]]</f>
        <v>1000</v>
      </c>
      <c r="K31" s="43">
        <f>Рецепты[[#This Row],[Вес ингр-тов]]*VLOOKUP(Рецепты[[#This Row],[Состав]],Ингредиенты[],3,FALSE)</f>
        <v>369</v>
      </c>
      <c r="L31" s="41">
        <f>IF(VLOOKUP(Рецепты[[#This Row],[Состав]],Ингредиенты[],4,0)="Основа",VLOOKUP(Рецепты[[#This Row],[Способ]],Способ[],2,0),0%)</f>
        <v>0.15</v>
      </c>
      <c r="M31" s="41">
        <f>VLOOKUP(Рецепты[[#This Row],[Способ]],Способ[],3,0)</f>
        <v>0.7</v>
      </c>
      <c r="N31" s="43">
        <f>Рецепты[[#This Row],[р]]*100%/(100%-Рецепты[[#This Row],[Потери, %]])+Рецепты[[#This Row],[Маржа]]*(Рецепты[[#This Row],[р]]*100%)/(100%-Рецепты[[#This Row],[Потери, %]])</f>
        <v>738</v>
      </c>
      <c r="O31" s="43">
        <f>Рецепты[[#This Row],[Цена за 1 кг]]-(Рецепты[[#This Row],[р]]*100%/(100%-Рецепты[[#This Row],[Потери, %]]))</f>
        <v>303.88235294117646</v>
      </c>
      <c r="P31" t="s">
        <v>271</v>
      </c>
      <c r="Q31" s="40" t="s">
        <v>272</v>
      </c>
      <c r="R31" s="44" t="str">
        <f>VLOOKUP(Рецепты[[#This Row],[Состав]],Ингредиенты[],9,0)</f>
        <v>Нет</v>
      </c>
      <c r="S31" s="52"/>
    </row>
    <row r="32" spans="1:19" x14ac:dyDescent="0.25">
      <c r="A32" s="40" t="s">
        <v>270</v>
      </c>
      <c r="B32" s="40" t="str">
        <f t="shared" si="2"/>
        <v>Сосиски</v>
      </c>
      <c r="C32" s="40" t="str">
        <f t="shared" si="3"/>
        <v>Вареное</v>
      </c>
      <c r="D32" s="40" t="s">
        <v>93</v>
      </c>
      <c r="E32" s="41" t="str">
        <f>VLOOKUP(Рецепты[[#This Row],[Состав]],Ингредиенты[],2,0)</f>
        <v>Добавки</v>
      </c>
      <c r="F32" s="62">
        <v>0.3</v>
      </c>
      <c r="G32" s="42">
        <f>IF(Рецепты[[#This Row],[%]]*1000&gt;0,Рецепты[[#This Row],[%]]*1000,"")</f>
        <v>300</v>
      </c>
      <c r="H32" s="43">
        <f>IFERROR(VLOOKUP(Рецепты[[#This Row],[Состав]],Ингредиенты!A:I,3,0)*Рецепты[[#This Row],[г]],"")</f>
        <v>0.3</v>
      </c>
      <c r="I32" s="42">
        <f>СводРецепт!$A$1</f>
        <v>1000</v>
      </c>
      <c r="J32" s="42">
        <f>Рецепты[[#This Row],[%]]*Рецепты[[#This Row],[Масса]]</f>
        <v>300</v>
      </c>
      <c r="K32" s="43">
        <f>Рецепты[[#This Row],[Вес ингр-тов]]*VLOOKUP(Рецепты[[#This Row],[Состав]],Ингредиенты[],3,FALSE)</f>
        <v>0.3</v>
      </c>
      <c r="L32" s="41">
        <f>IF(VLOOKUP(Рецепты[[#This Row],[Состав]],Ингредиенты[],4,0)="Основа",VLOOKUP(Рецепты[[#This Row],[Способ]],Способ[],2,0),0%)</f>
        <v>0</v>
      </c>
      <c r="M32" s="41">
        <f>VLOOKUP(Рецепты[[#This Row],[Способ]],Способ[],3,0)</f>
        <v>0.7</v>
      </c>
      <c r="N32" s="43">
        <f>Рецепты[[#This Row],[р]]*100%/(100%-Рецепты[[#This Row],[Потери, %]])+Рецепты[[#This Row],[Маржа]]*(Рецепты[[#This Row],[р]]*100%)/(100%-Рецепты[[#This Row],[Потери, %]])</f>
        <v>0.51</v>
      </c>
      <c r="O32" s="43">
        <f>Рецепты[[#This Row],[Цена за 1 кг]]-(Рецепты[[#This Row],[р]]*100%/(100%-Рецепты[[#This Row],[Потери, %]]))</f>
        <v>0.21000000000000002</v>
      </c>
      <c r="P32" t="s">
        <v>271</v>
      </c>
      <c r="Q32" s="40" t="s">
        <v>273</v>
      </c>
      <c r="R32" s="44" t="str">
        <f>VLOOKUP(Рецепты[[#This Row],[Состав]],Ингредиенты[],9,0)</f>
        <v>Да</v>
      </c>
      <c r="S32" s="52"/>
    </row>
    <row r="33" spans="1:19" x14ac:dyDescent="0.25">
      <c r="A33" s="40" t="s">
        <v>270</v>
      </c>
      <c r="B33" s="40" t="str">
        <f t="shared" si="2"/>
        <v>Сосиски</v>
      </c>
      <c r="C33" s="40" t="str">
        <f t="shared" si="3"/>
        <v>Вареное</v>
      </c>
      <c r="D33" s="40" t="s">
        <v>128</v>
      </c>
      <c r="E33" s="41" t="str">
        <f>VLOOKUP(Рецепты[[#This Row],[Состав]],Ингредиенты[],2,0)</f>
        <v>Специи</v>
      </c>
      <c r="F33" s="62">
        <v>0.01</v>
      </c>
      <c r="G33" s="42">
        <f>IF(Рецепты[[#This Row],[%]]*1000&gt;0,Рецепты[[#This Row],[%]]*1000,"")</f>
        <v>10</v>
      </c>
      <c r="H33" s="43">
        <f>IFERROR(VLOOKUP(Рецепты[[#This Row],[Состав]],Ингредиенты!A:I,3,0)*Рецепты[[#This Row],[г]],"")</f>
        <v>0.38500000000000001</v>
      </c>
      <c r="I33" s="42">
        <f>СводРецепт!$A$1</f>
        <v>1000</v>
      </c>
      <c r="J33" s="42">
        <f>Рецепты[[#This Row],[%]]*Рецепты[[#This Row],[Масса]]</f>
        <v>10</v>
      </c>
      <c r="K33" s="43">
        <f>Рецепты[[#This Row],[Вес ингр-тов]]*VLOOKUP(Рецепты[[#This Row],[Состав]],Ингредиенты[],3,FALSE)</f>
        <v>0.38500000000000001</v>
      </c>
      <c r="L33" s="41">
        <f>IF(VLOOKUP(Рецепты[[#This Row],[Состав]],Ингредиенты[],4,0)="Основа",VLOOKUP(Рецепты[[#This Row],[Способ]],Способ[],2,0),0%)</f>
        <v>0</v>
      </c>
      <c r="M33" s="41">
        <f>VLOOKUP(Рецепты[[#This Row],[Способ]],Способ[],3,0)</f>
        <v>0.7</v>
      </c>
      <c r="N33" s="43">
        <f>Рецепты[[#This Row],[р]]*100%/(100%-Рецепты[[#This Row],[Потери, %]])+Рецепты[[#This Row],[Маржа]]*(Рецепты[[#This Row],[р]]*100%)/(100%-Рецепты[[#This Row],[Потери, %]])</f>
        <v>0.65449999999999997</v>
      </c>
      <c r="O33" s="43">
        <f>Рецепты[[#This Row],[Цена за 1 кг]]-(Рецепты[[#This Row],[р]]*100%/(100%-Рецепты[[#This Row],[Потери, %]]))</f>
        <v>0.26949999999999996</v>
      </c>
      <c r="P33" t="s">
        <v>271</v>
      </c>
      <c r="Q33" s="40" t="s">
        <v>274</v>
      </c>
      <c r="R33" s="44" t="str">
        <f>VLOOKUP(Рецепты[[#This Row],[Состав]],Ингредиенты[],9,0)</f>
        <v>Да</v>
      </c>
      <c r="S33" s="52"/>
    </row>
    <row r="34" spans="1:19" x14ac:dyDescent="0.25">
      <c r="A34" s="40" t="s">
        <v>270</v>
      </c>
      <c r="B34" s="40" t="str">
        <f t="shared" si="2"/>
        <v>Сосиски</v>
      </c>
      <c r="C34" s="40" t="str">
        <f t="shared" si="3"/>
        <v>Вареное</v>
      </c>
      <c r="D34" s="40" t="s">
        <v>125</v>
      </c>
      <c r="E34" s="41" t="str">
        <f>VLOOKUP(Рецепты[[#This Row],[Состав]],Ингредиенты[],2,0)</f>
        <v>Специи</v>
      </c>
      <c r="F34" s="62">
        <v>0.01</v>
      </c>
      <c r="G34" s="42">
        <f>IF(Рецепты[[#This Row],[%]]*1000&gt;0,Рецепты[[#This Row],[%]]*1000,"")</f>
        <v>10</v>
      </c>
      <c r="H34" s="43">
        <f>IFERROR(VLOOKUP(Рецепты[[#This Row],[Состав]],Ингредиенты!A:I,3,0)*Рецепты[[#This Row],[г]],"")</f>
        <v>1.28</v>
      </c>
      <c r="I34" s="42">
        <f>СводРецепт!$A$1</f>
        <v>1000</v>
      </c>
      <c r="J34" s="42">
        <f>Рецепты[[#This Row],[%]]*Рецепты[[#This Row],[Масса]]</f>
        <v>10</v>
      </c>
      <c r="K34" s="43">
        <f>Рецепты[[#This Row],[Вес ингр-тов]]*VLOOKUP(Рецепты[[#This Row],[Состав]],Ингредиенты[],3,FALSE)</f>
        <v>1.28</v>
      </c>
      <c r="L34" s="41">
        <f>IF(VLOOKUP(Рецепты[[#This Row],[Состав]],Ингредиенты[],4,0)="Основа",VLOOKUP(Рецепты[[#This Row],[Способ]],Способ[],2,0),0%)</f>
        <v>0</v>
      </c>
      <c r="M34" s="41">
        <f>VLOOKUP(Рецепты[[#This Row],[Способ]],Способ[],3,0)</f>
        <v>0.7</v>
      </c>
      <c r="N34" s="43">
        <f>Рецепты[[#This Row],[р]]*100%/(100%-Рецепты[[#This Row],[Потери, %]])+Рецепты[[#This Row],[Маржа]]*(Рецепты[[#This Row],[р]]*100%)/(100%-Рецепты[[#This Row],[Потери, %]])</f>
        <v>2.1760000000000002</v>
      </c>
      <c r="O34" s="43">
        <f>Рецепты[[#This Row],[Цена за 1 кг]]-(Рецепты[[#This Row],[р]]*100%/(100%-Рецепты[[#This Row],[Потери, %]]))</f>
        <v>0.89600000000000013</v>
      </c>
      <c r="P34" t="s">
        <v>271</v>
      </c>
      <c r="Q34" s="40" t="s">
        <v>275</v>
      </c>
      <c r="R34" s="44" t="str">
        <f>VLOOKUP(Рецепты[[#This Row],[Состав]],Ингредиенты[],9,0)</f>
        <v>Да</v>
      </c>
      <c r="S34" s="52"/>
    </row>
    <row r="35" spans="1:19" x14ac:dyDescent="0.25">
      <c r="A35" s="40" t="s">
        <v>270</v>
      </c>
      <c r="B35" s="40" t="str">
        <f t="shared" si="2"/>
        <v>Сосиски</v>
      </c>
      <c r="C35" s="40" t="str">
        <f t="shared" si="3"/>
        <v>Вареное</v>
      </c>
      <c r="D35" s="40" t="s">
        <v>131</v>
      </c>
      <c r="E35" s="41" t="str">
        <f>VLOOKUP(Рецепты[[#This Row],[Состав]],Ингредиенты[],2,0)</f>
        <v>Специи</v>
      </c>
      <c r="F35" s="62">
        <v>2E-3</v>
      </c>
      <c r="G35" s="42">
        <f>IF(Рецепты[[#This Row],[%]]*1000&gt;0,Рецепты[[#This Row],[%]]*1000,"")</f>
        <v>2</v>
      </c>
      <c r="H35" s="43">
        <f>IFERROR(VLOOKUP(Рецепты[[#This Row],[Состав]],Ингредиенты!A:I,3,0)*Рецепты[[#This Row],[г]],"")</f>
        <v>0.16176470588235295</v>
      </c>
      <c r="I35" s="42">
        <f>СводРецепт!$A$1</f>
        <v>1000</v>
      </c>
      <c r="J35" s="42">
        <f>Рецепты[[#This Row],[%]]*Рецепты[[#This Row],[Масса]]</f>
        <v>2</v>
      </c>
      <c r="K35" s="43">
        <f>Рецепты[[#This Row],[Вес ингр-тов]]*VLOOKUP(Рецепты[[#This Row],[Состав]],Ингредиенты[],3,FALSE)</f>
        <v>0.16176470588235295</v>
      </c>
      <c r="L35" s="41">
        <f>IF(VLOOKUP(Рецепты[[#This Row],[Состав]],Ингредиенты[],4,0)="Основа",VLOOKUP(Рецепты[[#This Row],[Способ]],Способ[],2,0),0%)</f>
        <v>0</v>
      </c>
      <c r="M35" s="41">
        <f>VLOOKUP(Рецепты[[#This Row],[Способ]],Способ[],3,0)</f>
        <v>0.7</v>
      </c>
      <c r="N35" s="43">
        <f>Рецепты[[#This Row],[р]]*100%/(100%-Рецепты[[#This Row],[Потери, %]])+Рецепты[[#This Row],[Маржа]]*(Рецепты[[#This Row],[р]]*100%)/(100%-Рецепты[[#This Row],[Потери, %]])</f>
        <v>0.27500000000000002</v>
      </c>
      <c r="O35" s="43">
        <f>Рецепты[[#This Row],[Цена за 1 кг]]-(Рецепты[[#This Row],[р]]*100%/(100%-Рецепты[[#This Row],[Потери, %]]))</f>
        <v>0.11323529411764707</v>
      </c>
      <c r="P35" t="s">
        <v>271</v>
      </c>
      <c r="Q35" s="40" t="s">
        <v>276</v>
      </c>
      <c r="R35" s="44" t="str">
        <f>VLOOKUP(Рецепты[[#This Row],[Состав]],Ингредиенты[],9,0)</f>
        <v>Да</v>
      </c>
      <c r="S35" s="52"/>
    </row>
    <row r="36" spans="1:19" x14ac:dyDescent="0.25">
      <c r="A36" s="40" t="s">
        <v>270</v>
      </c>
      <c r="B36" s="40" t="str">
        <f t="shared" si="2"/>
        <v>Сосиски</v>
      </c>
      <c r="C36" s="40" t="str">
        <f t="shared" si="3"/>
        <v>Вареное</v>
      </c>
      <c r="D36" s="40" t="s">
        <v>133</v>
      </c>
      <c r="E36" s="41" t="str">
        <f>VLOOKUP(Рецепты[[#This Row],[Состав]],Ингредиенты[],2,0)</f>
        <v>Специи</v>
      </c>
      <c r="F36" s="62">
        <v>1.2999999999999999E-3</v>
      </c>
      <c r="G36" s="42">
        <f>IF(Рецепты[[#This Row],[%]]*1000&gt;0,Рецепты[[#This Row],[%]]*1000,"")</f>
        <v>1.3</v>
      </c>
      <c r="H36" s="43">
        <f>IFERROR(VLOOKUP(Рецепты[[#This Row],[Состав]],Ингредиенты!A:I,3,0)*Рецепты[[#This Row],[г]],"")</f>
        <v>1.4229090909090909</v>
      </c>
      <c r="I36" s="42">
        <f>СводРецепт!$A$1</f>
        <v>1000</v>
      </c>
      <c r="J36" s="42">
        <f>Рецепты[[#This Row],[%]]*Рецепты[[#This Row],[Масса]]</f>
        <v>1.3</v>
      </c>
      <c r="K36" s="43">
        <f>Рецепты[[#This Row],[Вес ингр-тов]]*VLOOKUP(Рецепты[[#This Row],[Состав]],Ингредиенты[],3,FALSE)</f>
        <v>1.4229090909090909</v>
      </c>
      <c r="L36" s="41">
        <f>IF(VLOOKUP(Рецепты[[#This Row],[Состав]],Ингредиенты[],4,0)="Основа",VLOOKUP(Рецепты[[#This Row],[Способ]],Способ[],2,0),0%)</f>
        <v>0</v>
      </c>
      <c r="M36" s="41">
        <f>VLOOKUP(Рецепты[[#This Row],[Способ]],Способ[],3,0)</f>
        <v>0.7</v>
      </c>
      <c r="N36" s="43">
        <f>Рецепты[[#This Row],[р]]*100%/(100%-Рецепты[[#This Row],[Потери, %]])+Рецепты[[#This Row],[Маржа]]*(Рецепты[[#This Row],[р]]*100%)/(100%-Рецепты[[#This Row],[Потери, %]])</f>
        <v>2.4189454545454545</v>
      </c>
      <c r="O36" s="43">
        <f>Рецепты[[#This Row],[Цена за 1 кг]]-(Рецепты[[#This Row],[р]]*100%/(100%-Рецепты[[#This Row],[Потери, %]]))</f>
        <v>0.99603636363636361</v>
      </c>
      <c r="P36" t="s">
        <v>271</v>
      </c>
      <c r="Q36" s="40" t="s">
        <v>277</v>
      </c>
      <c r="R36" s="44" t="str">
        <f>VLOOKUP(Рецепты[[#This Row],[Состав]],Ингредиенты[],9,0)</f>
        <v>Да</v>
      </c>
      <c r="S36" s="52"/>
    </row>
    <row r="37" spans="1:19" x14ac:dyDescent="0.25">
      <c r="A37" s="40" t="s">
        <v>270</v>
      </c>
      <c r="B37" s="40" t="str">
        <f t="shared" si="2"/>
        <v>Сосиски</v>
      </c>
      <c r="C37" s="40" t="str">
        <f t="shared" si="3"/>
        <v>Вареное</v>
      </c>
      <c r="D37" s="40" t="s">
        <v>155</v>
      </c>
      <c r="E37" s="41" t="str">
        <f>VLOOKUP(Рецепты[[#This Row],[Состав]],Ингредиенты[],2,0)</f>
        <v>Специи</v>
      </c>
      <c r="F37" s="62">
        <v>1.2999999999999999E-3</v>
      </c>
      <c r="G37" s="42">
        <f>IF(Рецепты[[#This Row],[%]]*1000&gt;0,Рецепты[[#This Row],[%]]*1000,"")</f>
        <v>1.3</v>
      </c>
      <c r="H37" s="43">
        <f>IFERROR(VLOOKUP(Рецепты[[#This Row],[Состав]],Ингредиенты!A:I,3,0)*Рецепты[[#This Row],[г]],"")</f>
        <v>0.65288888888888896</v>
      </c>
      <c r="I37" s="42">
        <f>СводРецепт!$A$1</f>
        <v>1000</v>
      </c>
      <c r="J37" s="42">
        <f>Рецепты[[#This Row],[%]]*Рецепты[[#This Row],[Масса]]</f>
        <v>1.3</v>
      </c>
      <c r="K37" s="43">
        <f>Рецепты[[#This Row],[Вес ингр-тов]]*VLOOKUP(Рецепты[[#This Row],[Состав]],Ингредиенты[],3,FALSE)</f>
        <v>0.65288888888888896</v>
      </c>
      <c r="L37" s="41">
        <f>IF(VLOOKUP(Рецепты[[#This Row],[Состав]],Ингредиенты[],4,0)="Основа",VLOOKUP(Рецепты[[#This Row],[Способ]],Способ[],2,0),0%)</f>
        <v>0</v>
      </c>
      <c r="M37" s="41">
        <f>VLOOKUP(Рецепты[[#This Row],[Способ]],Способ[],3,0)</f>
        <v>0.7</v>
      </c>
      <c r="N37" s="43">
        <f>Рецепты[[#This Row],[р]]*100%/(100%-Рецепты[[#This Row],[Потери, %]])+Рецепты[[#This Row],[Маржа]]*(Рецепты[[#This Row],[р]]*100%)/(100%-Рецепты[[#This Row],[Потери, %]])</f>
        <v>1.1099111111111113</v>
      </c>
      <c r="O37" s="43">
        <f>Рецепты[[#This Row],[Цена за 1 кг]]-(Рецепты[[#This Row],[р]]*100%/(100%-Рецепты[[#This Row],[Потери, %]]))</f>
        <v>0.45702222222222233</v>
      </c>
      <c r="P37" t="s">
        <v>271</v>
      </c>
      <c r="Q37" s="40" t="s">
        <v>278</v>
      </c>
      <c r="R37" s="44" t="str">
        <f>VLOOKUP(Рецепты[[#This Row],[Состав]],Ингредиенты[],9,0)</f>
        <v>Да</v>
      </c>
      <c r="S37" s="52"/>
    </row>
    <row r="38" spans="1:19" x14ac:dyDescent="0.25">
      <c r="A38" s="40" t="s">
        <v>270</v>
      </c>
      <c r="B38" s="40" t="str">
        <f t="shared" si="2"/>
        <v>Сосиски</v>
      </c>
      <c r="C38" s="40" t="str">
        <f t="shared" si="3"/>
        <v>Вареное</v>
      </c>
      <c r="D38" s="40" t="s">
        <v>157</v>
      </c>
      <c r="E38" s="41" t="str">
        <f>VLOOKUP(Рецепты[[#This Row],[Состав]],Ингредиенты[],2,0)</f>
        <v>Специи</v>
      </c>
      <c r="F38" s="62">
        <v>3.0000000000000001E-3</v>
      </c>
      <c r="G38" s="42">
        <f>IF(Рецепты[[#This Row],[%]]*1000&gt;0,Рецепты[[#This Row],[%]]*1000,"")</f>
        <v>3</v>
      </c>
      <c r="H38" s="43">
        <f>IFERROR(VLOOKUP(Рецепты[[#This Row],[Состав]],Ингредиенты!A:I,3,0)*Рецепты[[#This Row],[г]],"")</f>
        <v>2.2439999999999998</v>
      </c>
      <c r="I38" s="42">
        <f>СводРецепт!$A$1</f>
        <v>1000</v>
      </c>
      <c r="J38" s="42">
        <f>Рецепты[[#This Row],[%]]*Рецепты[[#This Row],[Масса]]</f>
        <v>3</v>
      </c>
      <c r="K38" s="43">
        <f>Рецепты[[#This Row],[Вес ингр-тов]]*VLOOKUP(Рецепты[[#This Row],[Состав]],Ингредиенты[],3,FALSE)</f>
        <v>2.2439999999999998</v>
      </c>
      <c r="L38" s="41">
        <f>IF(VLOOKUP(Рецепты[[#This Row],[Состав]],Ингредиенты[],4,0)="Основа",VLOOKUP(Рецепты[[#This Row],[Способ]],Способ[],2,0),0%)</f>
        <v>0</v>
      </c>
      <c r="M38" s="41">
        <f>VLOOKUP(Рецепты[[#This Row],[Способ]],Способ[],3,0)</f>
        <v>0.7</v>
      </c>
      <c r="N38" s="43">
        <f>Рецепты[[#This Row],[р]]*100%/(100%-Рецепты[[#This Row],[Потери, %]])+Рецепты[[#This Row],[Маржа]]*(Рецепты[[#This Row],[р]]*100%)/(100%-Рецепты[[#This Row],[Потери, %]])</f>
        <v>3.8147999999999995</v>
      </c>
      <c r="O38" s="43">
        <f>Рецепты[[#This Row],[Цена за 1 кг]]-(Рецепты[[#This Row],[р]]*100%/(100%-Рецепты[[#This Row],[Потери, %]]))</f>
        <v>1.5707999999999998</v>
      </c>
      <c r="P38" t="s">
        <v>271</v>
      </c>
      <c r="Q38" s="40" t="s">
        <v>279</v>
      </c>
      <c r="R38" s="44" t="str">
        <f>VLOOKUP(Рецепты[[#This Row],[Состав]],Ингредиенты[],9,0)</f>
        <v>Да</v>
      </c>
      <c r="S38" s="52"/>
    </row>
    <row r="39" spans="1:19" x14ac:dyDescent="0.25">
      <c r="A39" s="40" t="s">
        <v>270</v>
      </c>
      <c r="B39" s="40" t="str">
        <f t="shared" si="2"/>
        <v>Сосиски</v>
      </c>
      <c r="C39" s="40" t="str">
        <f>C38</f>
        <v>Вареное</v>
      </c>
      <c r="D39" s="40" t="s">
        <v>151</v>
      </c>
      <c r="E39" s="41" t="str">
        <f>VLOOKUP(Рецепты[[#This Row],[Состав]],Ингредиенты[],2,0)</f>
        <v>Специи</v>
      </c>
      <c r="F39" s="62">
        <v>5.9999999999999995E-4</v>
      </c>
      <c r="G39" s="42">
        <f>IF(Рецепты[[#This Row],[%]]*1000&gt;0,Рецепты[[#This Row],[%]]*1000,"")</f>
        <v>0.6</v>
      </c>
      <c r="H39" s="43">
        <f>IFERROR(VLOOKUP(Рецепты[[#This Row],[Состав]],Ингредиенты!A:I,3,0)*Рецепты[[#This Row],[г]],"")</f>
        <v>0.52699999999999991</v>
      </c>
      <c r="I39" s="42">
        <f>СводРецепт!$A$1</f>
        <v>1000</v>
      </c>
      <c r="J39" s="42">
        <f>Рецепты[[#This Row],[%]]*Рецепты[[#This Row],[Масса]]</f>
        <v>0.6</v>
      </c>
      <c r="K39" s="43">
        <f>Рецепты[[#This Row],[Вес ингр-тов]]*VLOOKUP(Рецепты[[#This Row],[Состав]],Ингредиенты[],3,FALSE)</f>
        <v>0.52699999999999991</v>
      </c>
      <c r="L39" s="41">
        <f>IF(VLOOKUP(Рецепты[[#This Row],[Состав]],Ингредиенты[],4,0)="Основа",VLOOKUP(Рецепты[[#This Row],[Способ]],Способ[],2,0),0%)</f>
        <v>0</v>
      </c>
      <c r="M39" s="41">
        <f>VLOOKUP(Рецепты[[#This Row],[Способ]],Способ[],3,0)</f>
        <v>0.7</v>
      </c>
      <c r="N39" s="43">
        <f>Рецепты[[#This Row],[р]]*100%/(100%-Рецепты[[#This Row],[Потери, %]])+Рецепты[[#This Row],[Маржа]]*(Рецепты[[#This Row],[р]]*100%)/(100%-Рецепты[[#This Row],[Потери, %]])</f>
        <v>0.89589999999999981</v>
      </c>
      <c r="O39" s="43">
        <f>Рецепты[[#This Row],[Цена за 1 кг]]-(Рецепты[[#This Row],[р]]*100%/(100%-Рецепты[[#This Row],[Потери, %]]))</f>
        <v>0.36889999999999989</v>
      </c>
      <c r="P39" t="s">
        <v>271</v>
      </c>
      <c r="Q39" s="40" t="s">
        <v>280</v>
      </c>
      <c r="R39" s="44" t="str">
        <f>VLOOKUP(Рецепты[[#This Row],[Состав]],Ингредиенты[],9,0)</f>
        <v>Да</v>
      </c>
      <c r="S39" s="52"/>
    </row>
    <row r="40" spans="1:19" x14ac:dyDescent="0.25">
      <c r="A40" s="40" t="s">
        <v>270</v>
      </c>
      <c r="B40" s="40" t="str">
        <f t="shared" si="2"/>
        <v>Сосиски</v>
      </c>
      <c r="C40" s="40" t="str">
        <f t="shared" si="3"/>
        <v>Вареное</v>
      </c>
      <c r="D40" s="40" t="s">
        <v>220</v>
      </c>
      <c r="E40" s="41" t="str">
        <f>VLOOKUP(Рецепты[[#This Row],[Состав]],Ингредиенты[],2,0)</f>
        <v>Оболочка</v>
      </c>
      <c r="F40" s="62">
        <v>1E-3</v>
      </c>
      <c r="G40" s="42">
        <f>IF(Рецепты[[#This Row],[%]]*1000&gt;0,Рецепты[[#This Row],[%]]*1000,"")</f>
        <v>1</v>
      </c>
      <c r="H40" s="43">
        <f>IFERROR(VLOOKUP(Рецепты[[#This Row],[Состав]],Ингредиенты!A:I,3,0)*Рецепты[[#This Row],[г]],"")</f>
        <v>39.348206474190725</v>
      </c>
      <c r="I40" s="42">
        <f>СводРецепт!$A$1</f>
        <v>1000</v>
      </c>
      <c r="J40" s="42">
        <f>Рецепты[[#This Row],[%]]*Рецепты[[#This Row],[Масса]]</f>
        <v>1</v>
      </c>
      <c r="K40" s="43">
        <f>Рецепты[[#This Row],[Вес ингр-тов]]*VLOOKUP(Рецепты[[#This Row],[Состав]],Ингредиенты[],3,FALSE)</f>
        <v>39.348206474190725</v>
      </c>
      <c r="L40" s="41">
        <f>IF(VLOOKUP(Рецепты[[#This Row],[Состав]],Ингредиенты[],4,0)="Основа",VLOOKUP(Рецепты[[#This Row],[Способ]],Способ[],2,0),0%)</f>
        <v>0</v>
      </c>
      <c r="M40" s="41">
        <f>VLOOKUP(Рецепты[[#This Row],[Способ]],Способ[],3,0)</f>
        <v>0.7</v>
      </c>
      <c r="N40" s="43">
        <f>Рецепты[[#This Row],[р]]*100%/(100%-Рецепты[[#This Row],[Потери, %]])+Рецепты[[#This Row],[Маржа]]*(Рецепты[[#This Row],[р]]*100%)/(100%-Рецепты[[#This Row],[Потери, %]])</f>
        <v>66.891951006124231</v>
      </c>
      <c r="O40" s="43">
        <f>Рецепты[[#This Row],[Цена за 1 кг]]-(Рецепты[[#This Row],[р]]*100%/(100%-Рецепты[[#This Row],[Потери, %]]))</f>
        <v>27.543744531933505</v>
      </c>
      <c r="P40" t="s">
        <v>271</v>
      </c>
      <c r="Q40" s="40" t="s">
        <v>281</v>
      </c>
      <c r="R40" s="44" t="str">
        <f>VLOOKUP(Рецепты[[#This Row],[Состав]],Ингредиенты[],9,0)</f>
        <v>Нет</v>
      </c>
      <c r="S40" s="52"/>
    </row>
    <row r="41" spans="1:19" x14ac:dyDescent="0.25">
      <c r="A41" s="40" t="s">
        <v>282</v>
      </c>
      <c r="B41" s="40" t="s">
        <v>17</v>
      </c>
      <c r="C41" s="40" t="s">
        <v>5</v>
      </c>
      <c r="D41" s="40" t="s">
        <v>67</v>
      </c>
      <c r="E41" s="41" t="str">
        <f>VLOOKUP(Рецепты[[#This Row],[Состав]],Ингредиенты[],2,0)</f>
        <v>Птица</v>
      </c>
      <c r="F41" s="62">
        <v>1</v>
      </c>
      <c r="G41" s="42">
        <f>IF(Рецепты[[#This Row],[%]]*1000&gt;0,Рецепты[[#This Row],[%]]*1000,"")</f>
        <v>1000</v>
      </c>
      <c r="H41" s="43">
        <f>IFERROR(VLOOKUP(Рецепты[[#This Row],[Состав]],Ингредиенты!A:I,3,0)*Рецепты[[#This Row],[г]],"")</f>
        <v>200</v>
      </c>
      <c r="I41" s="42">
        <f>СводРецепт!$A$1</f>
        <v>1000</v>
      </c>
      <c r="J41" s="42">
        <f>Рецепты[[#This Row],[%]]*Рецепты[[#This Row],[Масса]]</f>
        <v>1000</v>
      </c>
      <c r="K41" s="43">
        <f>Рецепты[[#This Row],[Вес ингр-тов]]*VLOOKUP(Рецепты[[#This Row],[Состав]],Ингредиенты[],3,FALSE)</f>
        <v>200</v>
      </c>
      <c r="L41" s="41">
        <f>IF(VLOOKUP(Рецепты[[#This Row],[Состав]],Ингредиенты[],4,0)="Основа",VLOOKUP(Рецепты[[#This Row],[Способ]],Способ[],2,0),0%)</f>
        <v>0.15</v>
      </c>
      <c r="M41" s="41">
        <f>VLOOKUP(Рецепты[[#This Row],[Способ]],Способ[],3,0)</f>
        <v>0.9</v>
      </c>
      <c r="N41" s="43">
        <f>Рецепты[[#This Row],[р]]*100%/(100%-Рецепты[[#This Row],[Потери, %]])+Рецепты[[#This Row],[Маржа]]*(Рецепты[[#This Row],[р]]*100%)/(100%-Рецепты[[#This Row],[Потери, %]])</f>
        <v>447.05882352941182</v>
      </c>
      <c r="O41" s="43">
        <f>Рецепты[[#This Row],[Цена за 1 кг]]-(Рецепты[[#This Row],[р]]*100%/(100%-Рецепты[[#This Row],[Потери, %]]))</f>
        <v>211.76470588235298</v>
      </c>
      <c r="P41" s="40" t="s">
        <v>283</v>
      </c>
      <c r="Q41" s="40" t="s">
        <v>284</v>
      </c>
      <c r="R41" s="44" t="str">
        <f>VLOOKUP(Рецепты[[#This Row],[Состав]],Ингредиенты[],9,0)</f>
        <v>Да</v>
      </c>
      <c r="S41" s="52"/>
    </row>
    <row r="42" spans="1:19" x14ac:dyDescent="0.25">
      <c r="A42" s="40" t="s">
        <v>282</v>
      </c>
      <c r="B42" s="40" t="str">
        <f t="shared" ref="B42:B53" si="4">B41</f>
        <v>Цельное</v>
      </c>
      <c r="C42" s="40" t="str">
        <f t="shared" ref="C42:C53" si="5">C41</f>
        <v>ГК</v>
      </c>
      <c r="D42" s="40" t="s">
        <v>93</v>
      </c>
      <c r="E42" s="41" t="str">
        <f>VLOOKUP(Рецепты[[#This Row],[Состав]],Ингредиенты[],2,0)</f>
        <v>Добавки</v>
      </c>
      <c r="F42" s="62">
        <v>0.1</v>
      </c>
      <c r="G42" s="42">
        <f>IF(Рецепты[[#This Row],[%]]*1000&gt;0,Рецепты[[#This Row],[%]]*1000,"")</f>
        <v>100</v>
      </c>
      <c r="H42" s="43">
        <f>IFERROR(VLOOKUP(Рецепты[[#This Row],[Состав]],Ингредиенты!A:I,3,0)*Рецепты[[#This Row],[г]],"")</f>
        <v>0.1</v>
      </c>
      <c r="I42" s="42">
        <f>СводРецепт!$A$1</f>
        <v>1000</v>
      </c>
      <c r="J42" s="42">
        <f>Рецепты[[#This Row],[%]]*Рецепты[[#This Row],[Масса]]</f>
        <v>100</v>
      </c>
      <c r="K42" s="43">
        <f>Рецепты[[#This Row],[Вес ингр-тов]]*VLOOKUP(Рецепты[[#This Row],[Состав]],Ингредиенты[],3,FALSE)</f>
        <v>0.1</v>
      </c>
      <c r="L42" s="41">
        <f>IF(VLOOKUP(Рецепты[[#This Row],[Состав]],Ингредиенты[],4,0)="Основа",VLOOKUP(Рецепты[[#This Row],[Способ]],Способ[],2,0),0%)</f>
        <v>0</v>
      </c>
      <c r="M42" s="41">
        <f>VLOOKUP(Рецепты[[#This Row],[Способ]],Способ[],3,0)</f>
        <v>0.9</v>
      </c>
      <c r="N42" s="43">
        <f>Рецепты[[#This Row],[р]]*100%/(100%-Рецепты[[#This Row],[Потери, %]])+Рецепты[[#This Row],[Маржа]]*(Рецепты[[#This Row],[р]]*100%)/(100%-Рецепты[[#This Row],[Потери, %]])</f>
        <v>0.19</v>
      </c>
      <c r="O42" s="43">
        <f>Рецепты[[#This Row],[Цена за 1 кг]]-(Рецепты[[#This Row],[р]]*100%/(100%-Рецепты[[#This Row],[Потери, %]]))</f>
        <v>0.09</v>
      </c>
      <c r="P42" s="40" t="s">
        <v>285</v>
      </c>
      <c r="Q42" s="40" t="s">
        <v>286</v>
      </c>
      <c r="R42" s="44" t="str">
        <f>VLOOKUP(Рецепты[[#This Row],[Состав]],Ингредиенты[],9,0)</f>
        <v>Да</v>
      </c>
      <c r="S42" s="52"/>
    </row>
    <row r="43" spans="1:19" x14ac:dyDescent="0.25">
      <c r="A43" s="40" t="s">
        <v>282</v>
      </c>
      <c r="B43" s="40" t="str">
        <f t="shared" si="4"/>
        <v>Цельное</v>
      </c>
      <c r="C43" s="40" t="str">
        <f t="shared" si="5"/>
        <v>ГК</v>
      </c>
      <c r="D43" s="40" t="s">
        <v>128</v>
      </c>
      <c r="E43" s="41" t="str">
        <f>VLOOKUP(Рецепты[[#This Row],[Состав]],Ингредиенты[],2,0)</f>
        <v>Специи</v>
      </c>
      <c r="F43" s="62">
        <v>8.9999999999999993E-3</v>
      </c>
      <c r="G43" s="42">
        <f>IF(Рецепты[[#This Row],[%]]*1000&gt;0,Рецепты[[#This Row],[%]]*1000,"")</f>
        <v>9</v>
      </c>
      <c r="H43" s="43">
        <f>IFERROR(VLOOKUP(Рецепты[[#This Row],[Состав]],Ингредиенты!A:I,3,0)*Рецепты[[#This Row],[г]],"")</f>
        <v>0.34649999999999997</v>
      </c>
      <c r="I43" s="42">
        <f>СводРецепт!$A$1</f>
        <v>1000</v>
      </c>
      <c r="J43" s="42">
        <f>Рецепты[[#This Row],[%]]*Рецепты[[#This Row],[Масса]]</f>
        <v>9</v>
      </c>
      <c r="K43" s="43">
        <f>Рецепты[[#This Row],[Вес ингр-тов]]*VLOOKUP(Рецепты[[#This Row],[Состав]],Ингредиенты[],3,FALSE)</f>
        <v>0.34649999999999997</v>
      </c>
      <c r="L43" s="41">
        <f>IF(VLOOKUP(Рецепты[[#This Row],[Состав]],Ингредиенты[],4,0)="Основа",VLOOKUP(Рецепты[[#This Row],[Способ]],Способ[],2,0),0%)</f>
        <v>0</v>
      </c>
      <c r="M43" s="41">
        <f>VLOOKUP(Рецепты[[#This Row],[Способ]],Способ[],3,0)</f>
        <v>0.9</v>
      </c>
      <c r="N43" s="43">
        <f>Рецепты[[#This Row],[р]]*100%/(100%-Рецепты[[#This Row],[Потери, %]])+Рецепты[[#This Row],[Маржа]]*(Рецепты[[#This Row],[р]]*100%)/(100%-Рецепты[[#This Row],[Потери, %]])</f>
        <v>0.65834999999999999</v>
      </c>
      <c r="O43" s="43">
        <f>Рецепты[[#This Row],[Цена за 1 кг]]-(Рецепты[[#This Row],[р]]*100%/(100%-Рецепты[[#This Row],[Потери, %]]))</f>
        <v>0.31185000000000002</v>
      </c>
      <c r="P43" s="40" t="s">
        <v>285</v>
      </c>
      <c r="Q43" s="40" t="s">
        <v>287</v>
      </c>
      <c r="R43" s="44" t="str">
        <f>VLOOKUP(Рецепты[[#This Row],[Состав]],Ингредиенты[],9,0)</f>
        <v>Да</v>
      </c>
      <c r="S43" s="52"/>
    </row>
    <row r="44" spans="1:19" x14ac:dyDescent="0.25">
      <c r="A44" s="40" t="s">
        <v>282</v>
      </c>
      <c r="B44" s="40" t="str">
        <f t="shared" si="4"/>
        <v>Цельное</v>
      </c>
      <c r="C44" s="40" t="str">
        <f t="shared" si="5"/>
        <v>ГК</v>
      </c>
      <c r="D44" s="40" t="s">
        <v>125</v>
      </c>
      <c r="E44" s="41" t="str">
        <f>VLOOKUP(Рецепты[[#This Row],[Состав]],Ингредиенты[],2,0)</f>
        <v>Специи</v>
      </c>
      <c r="F44" s="62">
        <v>8.9999999999999993E-3</v>
      </c>
      <c r="G44" s="42">
        <f>IF(Рецепты[[#This Row],[%]]*1000&gt;0,Рецепты[[#This Row],[%]]*1000,"")</f>
        <v>9</v>
      </c>
      <c r="H44" s="43">
        <f>IFERROR(VLOOKUP(Рецепты[[#This Row],[Состав]],Ингредиенты!A:I,3,0)*Рецепты[[#This Row],[г]],"")</f>
        <v>1.1520000000000001</v>
      </c>
      <c r="I44" s="42">
        <f>СводРецепт!$A$1</f>
        <v>1000</v>
      </c>
      <c r="J44" s="42">
        <f>Рецепты[[#This Row],[%]]*Рецепты[[#This Row],[Масса]]</f>
        <v>9</v>
      </c>
      <c r="K44" s="43">
        <f>Рецепты[[#This Row],[Вес ингр-тов]]*VLOOKUP(Рецепты[[#This Row],[Состав]],Ингредиенты[],3,FALSE)</f>
        <v>1.1520000000000001</v>
      </c>
      <c r="L44" s="41">
        <f>IF(VLOOKUP(Рецепты[[#This Row],[Состав]],Ингредиенты[],4,0)="Основа",VLOOKUP(Рецепты[[#This Row],[Способ]],Способ[],2,0),0%)</f>
        <v>0</v>
      </c>
      <c r="M44" s="41">
        <f>VLOOKUP(Рецепты[[#This Row],[Способ]],Способ[],3,0)</f>
        <v>0.9</v>
      </c>
      <c r="N44" s="43">
        <f>Рецепты[[#This Row],[р]]*100%/(100%-Рецепты[[#This Row],[Потери, %]])+Рецепты[[#This Row],[Маржа]]*(Рецепты[[#This Row],[р]]*100%)/(100%-Рецепты[[#This Row],[Потери, %]])</f>
        <v>2.1888000000000005</v>
      </c>
      <c r="O44" s="43">
        <f>Рецепты[[#This Row],[Цена за 1 кг]]-(Рецепты[[#This Row],[р]]*100%/(100%-Рецепты[[#This Row],[Потери, %]]))</f>
        <v>1.0368000000000004</v>
      </c>
      <c r="P44" s="40" t="s">
        <v>285</v>
      </c>
      <c r="Q44" s="40" t="s">
        <v>288</v>
      </c>
      <c r="R44" s="44" t="str">
        <f>VLOOKUP(Рецепты[[#This Row],[Состав]],Ингредиенты[],9,0)</f>
        <v>Да</v>
      </c>
      <c r="S44" s="52"/>
    </row>
    <row r="45" spans="1:19" x14ac:dyDescent="0.25">
      <c r="A45" s="40" t="s">
        <v>282</v>
      </c>
      <c r="B45" s="40" t="str">
        <f t="shared" si="4"/>
        <v>Цельное</v>
      </c>
      <c r="C45" s="40" t="str">
        <f t="shared" si="5"/>
        <v>ГК</v>
      </c>
      <c r="D45" s="40" t="s">
        <v>131</v>
      </c>
      <c r="E45" s="41" t="str">
        <f>VLOOKUP(Рецепты[[#This Row],[Состав]],Ингредиенты[],2,0)</f>
        <v>Специи</v>
      </c>
      <c r="F45" s="62">
        <v>3.0000000000000001E-3</v>
      </c>
      <c r="G45" s="42">
        <f>IF(Рецепты[[#This Row],[%]]*1000&gt;0,Рецепты[[#This Row],[%]]*1000,"")</f>
        <v>3</v>
      </c>
      <c r="H45" s="43">
        <f>IFERROR(VLOOKUP(Рецепты[[#This Row],[Состав]],Ингредиенты!A:I,3,0)*Рецепты[[#This Row],[г]],"")</f>
        <v>0.24264705882352944</v>
      </c>
      <c r="I45" s="42">
        <f>СводРецепт!$A$1</f>
        <v>1000</v>
      </c>
      <c r="J45" s="42">
        <f>Рецепты[[#This Row],[%]]*Рецепты[[#This Row],[Масса]]</f>
        <v>3</v>
      </c>
      <c r="K45" s="43">
        <f>Рецепты[[#This Row],[Вес ингр-тов]]*VLOOKUP(Рецепты[[#This Row],[Состав]],Ингредиенты[],3,FALSE)</f>
        <v>0.24264705882352944</v>
      </c>
      <c r="L45" s="41">
        <f>IF(VLOOKUP(Рецепты[[#This Row],[Состав]],Ингредиенты[],4,0)="Основа",VLOOKUP(Рецепты[[#This Row],[Способ]],Способ[],2,0),0%)</f>
        <v>0</v>
      </c>
      <c r="M45" s="41">
        <f>VLOOKUP(Рецепты[[#This Row],[Способ]],Способ[],3,0)</f>
        <v>0.9</v>
      </c>
      <c r="N45" s="43">
        <f>Рецепты[[#This Row],[р]]*100%/(100%-Рецепты[[#This Row],[Потери, %]])+Рецепты[[#This Row],[Маржа]]*(Рецепты[[#This Row],[р]]*100%)/(100%-Рецепты[[#This Row],[Потери, %]])</f>
        <v>0.46102941176470591</v>
      </c>
      <c r="O45" s="43">
        <f>Рецепты[[#This Row],[Цена за 1 кг]]-(Рецепты[[#This Row],[р]]*100%/(100%-Рецепты[[#This Row],[Потери, %]]))</f>
        <v>0.21838235294117647</v>
      </c>
      <c r="P45" s="40" t="s">
        <v>285</v>
      </c>
      <c r="Q45" s="40" t="s">
        <v>289</v>
      </c>
      <c r="R45" s="44" t="str">
        <f>VLOOKUP(Рецепты[[#This Row],[Состав]],Ингредиенты[],9,0)</f>
        <v>Да</v>
      </c>
      <c r="S45" s="52"/>
    </row>
    <row r="46" spans="1:19" x14ac:dyDescent="0.25">
      <c r="A46" s="20" t="s">
        <v>290</v>
      </c>
      <c r="B46" s="40" t="str">
        <f t="shared" si="4"/>
        <v>Цельное</v>
      </c>
      <c r="C46" s="40" t="str">
        <f t="shared" si="5"/>
        <v>ГК</v>
      </c>
      <c r="D46" s="40" t="s">
        <v>54</v>
      </c>
      <c r="E46" s="41" t="str">
        <f>VLOOKUP(Рецепты[[#This Row],[Состав]],Ингредиенты[],2,0)</f>
        <v>Свинина</v>
      </c>
      <c r="F46" s="62">
        <v>1</v>
      </c>
      <c r="G46" s="42">
        <f>IF(Рецепты[[#This Row],[%]]*1000&gt;0,Рецепты[[#This Row],[%]]*1000,"")</f>
        <v>1000</v>
      </c>
      <c r="H46" s="43">
        <f>IFERROR(VLOOKUP(Рецепты[[#This Row],[Состав]],Ингредиенты!A:I,3,0)*Рецепты[[#This Row],[г]],"")</f>
        <v>429.99</v>
      </c>
      <c r="I46" s="42">
        <f>СводРецепт!$A$1</f>
        <v>1000</v>
      </c>
      <c r="J46" s="42">
        <f>Рецепты[[#This Row],[%]]*Рецепты[[#This Row],[Масса]]</f>
        <v>1000</v>
      </c>
      <c r="K46" s="43">
        <f>Рецепты[[#This Row],[Вес ингр-тов]]*VLOOKUP(Рецепты[[#This Row],[Состав]],Ингредиенты[],3,FALSE)</f>
        <v>429.99</v>
      </c>
      <c r="L46" s="41">
        <f>IF(VLOOKUP(Рецепты[[#This Row],[Состав]],Ингредиенты[],4,0)="Основа",VLOOKUP(Рецепты[[#This Row],[Способ]],Способ[],2,0),0%)</f>
        <v>0.15</v>
      </c>
      <c r="M46" s="41">
        <f>VLOOKUP(Рецепты[[#This Row],[Способ]],Способ[],3,0)</f>
        <v>0.9</v>
      </c>
      <c r="N46" s="43">
        <f>Рецепты[[#This Row],[р]]*100%/(100%-Рецепты[[#This Row],[Потери, %]])+Рецепты[[#This Row],[Маржа]]*(Рецепты[[#This Row],[р]]*100%)/(100%-Рецепты[[#This Row],[Потери, %]])</f>
        <v>961.15411764705891</v>
      </c>
      <c r="O46" s="43">
        <f>Рецепты[[#This Row],[Цена за 1 кг]]-(Рецепты[[#This Row],[р]]*100%/(100%-Рецепты[[#This Row],[Потери, %]]))</f>
        <v>455.28352941176479</v>
      </c>
      <c r="P46" s="40" t="s">
        <v>291</v>
      </c>
      <c r="Q46" s="40" t="s">
        <v>292</v>
      </c>
      <c r="R46" s="44" t="str">
        <f>VLOOKUP(Рецепты[[#This Row],[Состав]],Ингредиенты[],9,0)</f>
        <v>Нет</v>
      </c>
      <c r="S46" s="52"/>
    </row>
    <row r="47" spans="1:19" x14ac:dyDescent="0.25">
      <c r="A47" s="20" t="s">
        <v>290</v>
      </c>
      <c r="B47" s="40" t="str">
        <f t="shared" si="4"/>
        <v>Цельное</v>
      </c>
      <c r="C47" s="40" t="str">
        <f t="shared" si="5"/>
        <v>ГК</v>
      </c>
      <c r="D47" s="40" t="s">
        <v>93</v>
      </c>
      <c r="E47" s="41" t="str">
        <f>VLOOKUP(Рецепты[[#This Row],[Состав]],Ингредиенты[],2,0)</f>
        <v>Добавки</v>
      </c>
      <c r="F47" s="62">
        <v>0.1</v>
      </c>
      <c r="G47" s="42">
        <f>IF(Рецепты[[#This Row],[%]]*1000&gt;0,Рецепты[[#This Row],[%]]*1000,"")</f>
        <v>100</v>
      </c>
      <c r="H47" s="43">
        <f>IFERROR(VLOOKUP(Рецепты[[#This Row],[Состав]],Ингредиенты!A:I,3,0)*Рецепты[[#This Row],[г]],"")</f>
        <v>0.1</v>
      </c>
      <c r="I47" s="42">
        <f>СводРецепт!$A$1</f>
        <v>1000</v>
      </c>
      <c r="J47" s="42">
        <f>Рецепты[[#This Row],[%]]*Рецепты[[#This Row],[Масса]]</f>
        <v>100</v>
      </c>
      <c r="K47" s="43">
        <f>Рецепты[[#This Row],[Вес ингр-тов]]*VLOOKUP(Рецепты[[#This Row],[Состав]],Ингредиенты[],3,FALSE)</f>
        <v>0.1</v>
      </c>
      <c r="L47" s="41">
        <f>IF(VLOOKUP(Рецепты[[#This Row],[Состав]],Ингредиенты[],4,0)="Основа",VLOOKUP(Рецепты[[#This Row],[Способ]],Способ[],2,0),0%)</f>
        <v>0</v>
      </c>
      <c r="M47" s="41">
        <f>VLOOKUP(Рецепты[[#This Row],[Способ]],Способ[],3,0)</f>
        <v>0.9</v>
      </c>
      <c r="N47" s="43">
        <f>Рецепты[[#This Row],[р]]*100%/(100%-Рецепты[[#This Row],[Потери, %]])+Рецепты[[#This Row],[Маржа]]*(Рецепты[[#This Row],[р]]*100%)/(100%-Рецепты[[#This Row],[Потери, %]])</f>
        <v>0.19</v>
      </c>
      <c r="O47" s="43">
        <f>Рецепты[[#This Row],[Цена за 1 кг]]-(Рецепты[[#This Row],[р]]*100%/(100%-Рецепты[[#This Row],[Потери, %]]))</f>
        <v>0.09</v>
      </c>
      <c r="P47" s="40" t="s">
        <v>291</v>
      </c>
      <c r="Q47" s="40" t="s">
        <v>293</v>
      </c>
      <c r="R47" s="44" t="str">
        <f>VLOOKUP(Рецепты[[#This Row],[Состав]],Ингредиенты[],9,0)</f>
        <v>Да</v>
      </c>
      <c r="S47" s="52"/>
    </row>
    <row r="48" spans="1:19" x14ac:dyDescent="0.25">
      <c r="A48" s="20" t="s">
        <v>290</v>
      </c>
      <c r="B48" s="40" t="str">
        <f t="shared" si="4"/>
        <v>Цельное</v>
      </c>
      <c r="C48" s="40" t="str">
        <f t="shared" si="5"/>
        <v>ГК</v>
      </c>
      <c r="D48" s="40" t="s">
        <v>157</v>
      </c>
      <c r="E48" s="41" t="str">
        <f>VLOOKUP(Рецепты[[#This Row],[Состав]],Ингредиенты[],2,0)</f>
        <v>Специи</v>
      </c>
      <c r="F48" s="62">
        <v>2E-3</v>
      </c>
      <c r="G48" s="42">
        <f>IF(Рецепты[[#This Row],[%]]*1000&gt;0,Рецепты[[#This Row],[%]]*1000,"")</f>
        <v>2</v>
      </c>
      <c r="H48" s="43">
        <f>IFERROR(VLOOKUP(Рецепты[[#This Row],[Состав]],Ингредиенты!A:I,3,0)*Рецепты[[#This Row],[г]],"")</f>
        <v>1.496</v>
      </c>
      <c r="I48" s="42">
        <f>СводРецепт!$A$1</f>
        <v>1000</v>
      </c>
      <c r="J48" s="42">
        <f>Рецепты[[#This Row],[%]]*Рецепты[[#This Row],[Масса]]</f>
        <v>2</v>
      </c>
      <c r="K48" s="43">
        <f>Рецепты[[#This Row],[Вес ингр-тов]]*VLOOKUP(Рецепты[[#This Row],[Состав]],Ингредиенты[],3,FALSE)</f>
        <v>1.496</v>
      </c>
      <c r="L48" s="41">
        <f>IF(VLOOKUP(Рецепты[[#This Row],[Состав]],Ингредиенты[],4,0)="Основа",VLOOKUP(Рецепты[[#This Row],[Способ]],Способ[],2,0),0%)</f>
        <v>0</v>
      </c>
      <c r="M48" s="41">
        <f>VLOOKUP(Рецепты[[#This Row],[Способ]],Способ[],3,0)</f>
        <v>0.9</v>
      </c>
      <c r="N48" s="43">
        <f>Рецепты[[#This Row],[р]]*100%/(100%-Рецепты[[#This Row],[Потери, %]])+Рецепты[[#This Row],[Маржа]]*(Рецепты[[#This Row],[р]]*100%)/(100%-Рецепты[[#This Row],[Потери, %]])</f>
        <v>2.8424</v>
      </c>
      <c r="O48" s="43">
        <f>Рецепты[[#This Row],[Цена за 1 кг]]-(Рецепты[[#This Row],[р]]*100%/(100%-Рецепты[[#This Row],[Потери, %]]))</f>
        <v>1.3464</v>
      </c>
      <c r="P48" s="40" t="s">
        <v>291</v>
      </c>
      <c r="Q48" s="40" t="s">
        <v>294</v>
      </c>
      <c r="R48" s="44" t="str">
        <f>VLOOKUP(Рецепты[[#This Row],[Состав]],Ингредиенты[],9,0)</f>
        <v>Да</v>
      </c>
      <c r="S48" s="52"/>
    </row>
    <row r="49" spans="1:19" x14ac:dyDescent="0.25">
      <c r="A49" s="20" t="s">
        <v>290</v>
      </c>
      <c r="B49" s="40" t="str">
        <f t="shared" si="4"/>
        <v>Цельное</v>
      </c>
      <c r="C49" s="40" t="str">
        <f t="shared" si="5"/>
        <v>ГК</v>
      </c>
      <c r="D49" s="40" t="s">
        <v>128</v>
      </c>
      <c r="E49" s="41" t="str">
        <f>VLOOKUP(Рецепты[[#This Row],[Состав]],Ингредиенты[],2,0)</f>
        <v>Специи</v>
      </c>
      <c r="F49" s="62">
        <v>0.01</v>
      </c>
      <c r="G49" s="42">
        <f>IF(Рецепты[[#This Row],[%]]*1000&gt;0,Рецепты[[#This Row],[%]]*1000,"")</f>
        <v>10</v>
      </c>
      <c r="H49" s="43">
        <f>IFERROR(VLOOKUP(Рецепты[[#This Row],[Состав]],Ингредиенты!A:I,3,0)*Рецепты[[#This Row],[г]],"")</f>
        <v>0.38500000000000001</v>
      </c>
      <c r="I49" s="42">
        <f>СводРецепт!$A$1</f>
        <v>1000</v>
      </c>
      <c r="J49" s="42">
        <f>Рецепты[[#This Row],[%]]*Рецепты[[#This Row],[Масса]]</f>
        <v>10</v>
      </c>
      <c r="K49" s="43">
        <f>Рецепты[[#This Row],[Вес ингр-тов]]*VLOOKUP(Рецепты[[#This Row],[Состав]],Ингредиенты[],3,FALSE)</f>
        <v>0.38500000000000001</v>
      </c>
      <c r="L49" s="41">
        <f>IF(VLOOKUP(Рецепты[[#This Row],[Состав]],Ингредиенты[],4,0)="Основа",VLOOKUP(Рецепты[[#This Row],[Способ]],Способ[],2,0),0%)</f>
        <v>0</v>
      </c>
      <c r="M49" s="41">
        <f>VLOOKUP(Рецепты[[#This Row],[Способ]],Способ[],3,0)</f>
        <v>0.9</v>
      </c>
      <c r="N49" s="43">
        <f>Рецепты[[#This Row],[р]]*100%/(100%-Рецепты[[#This Row],[Потери, %]])+Рецепты[[#This Row],[Маржа]]*(Рецепты[[#This Row],[р]]*100%)/(100%-Рецепты[[#This Row],[Потери, %]])</f>
        <v>0.73150000000000004</v>
      </c>
      <c r="O49" s="43">
        <f>Рецепты[[#This Row],[Цена за 1 кг]]-(Рецепты[[#This Row],[р]]*100%/(100%-Рецепты[[#This Row],[Потери, %]]))</f>
        <v>0.34650000000000003</v>
      </c>
      <c r="P49" s="40" t="s">
        <v>291</v>
      </c>
      <c r="Q49" s="40" t="s">
        <v>295</v>
      </c>
      <c r="R49" s="44" t="str">
        <f>VLOOKUP(Рецепты[[#This Row],[Состав]],Ингредиенты[],9,0)</f>
        <v>Да</v>
      </c>
      <c r="S49" s="52"/>
    </row>
    <row r="50" spans="1:19" x14ac:dyDescent="0.25">
      <c r="A50" s="20" t="s">
        <v>290</v>
      </c>
      <c r="B50" s="40" t="str">
        <f t="shared" si="4"/>
        <v>Цельное</v>
      </c>
      <c r="C50" s="40" t="str">
        <f t="shared" si="5"/>
        <v>ГК</v>
      </c>
      <c r="D50" s="40" t="s">
        <v>125</v>
      </c>
      <c r="E50" s="41" t="str">
        <f>VLOOKUP(Рецепты[[#This Row],[Состав]],Ингредиенты[],2,0)</f>
        <v>Специи</v>
      </c>
      <c r="F50" s="62">
        <v>0.01</v>
      </c>
      <c r="G50" s="42">
        <f>IF(Рецепты[[#This Row],[%]]*1000&gt;0,Рецепты[[#This Row],[%]]*1000,"")</f>
        <v>10</v>
      </c>
      <c r="H50" s="43">
        <f>IFERROR(VLOOKUP(Рецепты[[#This Row],[Состав]],Ингредиенты!A:I,3,0)*Рецепты[[#This Row],[г]],"")</f>
        <v>1.28</v>
      </c>
      <c r="I50" s="42">
        <f>СводРецепт!$A$1</f>
        <v>1000</v>
      </c>
      <c r="J50" s="42">
        <f>Рецепты[[#This Row],[%]]*Рецепты[[#This Row],[Масса]]</f>
        <v>10</v>
      </c>
      <c r="K50" s="43">
        <f>Рецепты[[#This Row],[Вес ингр-тов]]*VLOOKUP(Рецепты[[#This Row],[Состав]],Ингредиенты[],3,FALSE)</f>
        <v>1.28</v>
      </c>
      <c r="L50" s="41">
        <f>IF(VLOOKUP(Рецепты[[#This Row],[Состав]],Ингредиенты[],4,0)="Основа",VLOOKUP(Рецепты[[#This Row],[Способ]],Способ[],2,0),0%)</f>
        <v>0</v>
      </c>
      <c r="M50" s="41">
        <f>VLOOKUP(Рецепты[[#This Row],[Способ]],Способ[],3,0)</f>
        <v>0.9</v>
      </c>
      <c r="N50" s="43">
        <f>Рецепты[[#This Row],[р]]*100%/(100%-Рецепты[[#This Row],[Потери, %]])+Рецепты[[#This Row],[Маржа]]*(Рецепты[[#This Row],[р]]*100%)/(100%-Рецепты[[#This Row],[Потери, %]])</f>
        <v>2.4320000000000004</v>
      </c>
      <c r="O50" s="43">
        <f>Рецепты[[#This Row],[Цена за 1 кг]]-(Рецепты[[#This Row],[р]]*100%/(100%-Рецепты[[#This Row],[Потери, %]]))</f>
        <v>1.1520000000000004</v>
      </c>
      <c r="P50" s="40" t="s">
        <v>291</v>
      </c>
      <c r="Q50" s="40" t="s">
        <v>296</v>
      </c>
      <c r="R50" s="44" t="str">
        <f>VLOOKUP(Рецепты[[#This Row],[Состав]],Ингредиенты[],9,0)</f>
        <v>Да</v>
      </c>
      <c r="S50" s="52"/>
    </row>
    <row r="51" spans="1:19" x14ac:dyDescent="0.25">
      <c r="A51" s="20" t="s">
        <v>290</v>
      </c>
      <c r="B51" s="40" t="str">
        <f t="shared" si="4"/>
        <v>Цельное</v>
      </c>
      <c r="C51" s="40" t="str">
        <f t="shared" si="5"/>
        <v>ГК</v>
      </c>
      <c r="D51" s="40" t="s">
        <v>131</v>
      </c>
      <c r="E51" s="41" t="str">
        <f>VLOOKUP(Рецепты[[#This Row],[Состав]],Ингредиенты[],2,0)</f>
        <v>Специи</v>
      </c>
      <c r="F51" s="62">
        <v>2E-3</v>
      </c>
      <c r="G51" s="42">
        <f>IF(Рецепты[[#This Row],[%]]*1000&gt;0,Рецепты[[#This Row],[%]]*1000,"")</f>
        <v>2</v>
      </c>
      <c r="H51" s="43">
        <f>IFERROR(VLOOKUP(Рецепты[[#This Row],[Состав]],Ингредиенты!A:I,3,0)*Рецепты[[#This Row],[г]],"")</f>
        <v>0.16176470588235295</v>
      </c>
      <c r="I51" s="42">
        <f>СводРецепт!$A$1</f>
        <v>1000</v>
      </c>
      <c r="J51" s="42">
        <f>Рецепты[[#This Row],[%]]*Рецепты[[#This Row],[Масса]]</f>
        <v>2</v>
      </c>
      <c r="K51" s="43">
        <f>Рецепты[[#This Row],[Вес ингр-тов]]*VLOOKUP(Рецепты[[#This Row],[Состав]],Ингредиенты[],3,FALSE)</f>
        <v>0.16176470588235295</v>
      </c>
      <c r="L51" s="41">
        <f>IF(VLOOKUP(Рецепты[[#This Row],[Состав]],Ингредиенты[],4,0)="Основа",VLOOKUP(Рецепты[[#This Row],[Способ]],Способ[],2,0),0%)</f>
        <v>0</v>
      </c>
      <c r="M51" s="41">
        <f>VLOOKUP(Рецепты[[#This Row],[Способ]],Способ[],3,0)</f>
        <v>0.9</v>
      </c>
      <c r="N51" s="43">
        <f>Рецепты[[#This Row],[р]]*100%/(100%-Рецепты[[#This Row],[Потери, %]])+Рецепты[[#This Row],[Маржа]]*(Рецепты[[#This Row],[р]]*100%)/(100%-Рецепты[[#This Row],[Потери, %]])</f>
        <v>0.30735294117647061</v>
      </c>
      <c r="O51" s="43">
        <f>Рецепты[[#This Row],[Цена за 1 кг]]-(Рецепты[[#This Row],[р]]*100%/(100%-Рецепты[[#This Row],[Потери, %]]))</f>
        <v>0.14558823529411766</v>
      </c>
      <c r="P51" s="40" t="s">
        <v>291</v>
      </c>
      <c r="Q51" s="40" t="s">
        <v>297</v>
      </c>
      <c r="R51" s="44" t="str">
        <f>VLOOKUP(Рецепты[[#This Row],[Состав]],Ингредиенты[],9,0)</f>
        <v>Да</v>
      </c>
      <c r="S51" s="52"/>
    </row>
    <row r="52" spans="1:19" x14ac:dyDescent="0.25">
      <c r="A52" s="20" t="s">
        <v>290</v>
      </c>
      <c r="B52" s="40" t="str">
        <f t="shared" si="4"/>
        <v>Цельное</v>
      </c>
      <c r="C52" s="40" t="str">
        <f t="shared" si="5"/>
        <v>ГК</v>
      </c>
      <c r="D52" s="40" t="s">
        <v>159</v>
      </c>
      <c r="E52" s="41" t="str">
        <f>VLOOKUP(Рецепты[[#This Row],[Состав]],Ингредиенты[],2,0)</f>
        <v>Специи</v>
      </c>
      <c r="F52" s="62">
        <v>5.0000000000000001E-4</v>
      </c>
      <c r="G52" s="42">
        <f>IF(Рецепты[[#This Row],[%]]*1000&gt;0,Рецепты[[#This Row],[%]]*1000,"")</f>
        <v>0.5</v>
      </c>
      <c r="H52" s="43">
        <f>IFERROR(VLOOKUP(Рецепты[[#This Row],[Состав]],Ингредиенты!A:I,3,0)*Рецепты[[#This Row],[г]],"")</f>
        <v>0.85099999999999998</v>
      </c>
      <c r="I52" s="42">
        <f>СводРецепт!$A$1</f>
        <v>1000</v>
      </c>
      <c r="J52" s="42">
        <f>Рецепты[[#This Row],[%]]*Рецепты[[#This Row],[Масса]]</f>
        <v>0.5</v>
      </c>
      <c r="K52" s="43">
        <f>Рецепты[[#This Row],[Вес ингр-тов]]*VLOOKUP(Рецепты[[#This Row],[Состав]],Ингредиенты[],3,FALSE)</f>
        <v>0.85099999999999998</v>
      </c>
      <c r="L52" s="41">
        <f>IF(VLOOKUP(Рецепты[[#This Row],[Состав]],Ингредиенты[],4,0)="Основа",VLOOKUP(Рецепты[[#This Row],[Способ]],Способ[],2,0),0%)</f>
        <v>0</v>
      </c>
      <c r="M52" s="41">
        <f>VLOOKUP(Рецепты[[#This Row],[Способ]],Способ[],3,0)</f>
        <v>0.9</v>
      </c>
      <c r="N52" s="43">
        <f>Рецепты[[#This Row],[р]]*100%/(100%-Рецепты[[#This Row],[Потери, %]])+Рецепты[[#This Row],[Маржа]]*(Рецепты[[#This Row],[р]]*100%)/(100%-Рецепты[[#This Row],[Потери, %]])</f>
        <v>1.6169</v>
      </c>
      <c r="O52" s="43">
        <f>Рецепты[[#This Row],[Цена за 1 кг]]-(Рецепты[[#This Row],[р]]*100%/(100%-Рецепты[[#This Row],[Потери, %]]))</f>
        <v>0.76590000000000003</v>
      </c>
      <c r="P52" s="40" t="s">
        <v>291</v>
      </c>
      <c r="Q52" s="40" t="s">
        <v>298</v>
      </c>
      <c r="R52" s="44" t="str">
        <f>VLOOKUP(Рецепты[[#This Row],[Состав]],Ингредиенты[],9,0)</f>
        <v>Да</v>
      </c>
      <c r="S52" s="52"/>
    </row>
    <row r="53" spans="1:19" x14ac:dyDescent="0.25">
      <c r="A53" s="20" t="s">
        <v>290</v>
      </c>
      <c r="B53" s="40" t="str">
        <f t="shared" si="4"/>
        <v>Цельное</v>
      </c>
      <c r="C53" s="40" t="str">
        <f t="shared" si="5"/>
        <v>ГК</v>
      </c>
      <c r="D53" s="40" t="s">
        <v>161</v>
      </c>
      <c r="E53" s="41" t="str">
        <f>VLOOKUP(Рецепты[[#This Row],[Состав]],Ингредиенты[],2,0)</f>
        <v>Специи</v>
      </c>
      <c r="F53" s="62">
        <v>1E-3</v>
      </c>
      <c r="G53" s="42">
        <f>IF(Рецепты[[#This Row],[%]]*1000&gt;0,Рецепты[[#This Row],[%]]*1000,"")</f>
        <v>1</v>
      </c>
      <c r="H53" s="43">
        <f>IFERROR(VLOOKUP(Рецепты[[#This Row],[Состав]],Ингредиенты!A:I,3,0)*Рецепты[[#This Row],[г]],"")</f>
        <v>0.55500000000000005</v>
      </c>
      <c r="I53" s="42">
        <f>СводРецепт!$A$1</f>
        <v>1000</v>
      </c>
      <c r="J53" s="42">
        <f>Рецепты[[#This Row],[%]]*Рецепты[[#This Row],[Масса]]</f>
        <v>1</v>
      </c>
      <c r="K53" s="43">
        <f>Рецепты[[#This Row],[Вес ингр-тов]]*VLOOKUP(Рецепты[[#This Row],[Состав]],Ингредиенты[],3,FALSE)</f>
        <v>0.55500000000000005</v>
      </c>
      <c r="L53" s="41">
        <f>IF(VLOOKUP(Рецепты[[#This Row],[Состав]],Ингредиенты[],4,0)="Основа",VLOOKUP(Рецепты[[#This Row],[Способ]],Способ[],2,0),0%)</f>
        <v>0</v>
      </c>
      <c r="M53" s="41">
        <f>VLOOKUP(Рецепты[[#This Row],[Способ]],Способ[],3,0)</f>
        <v>0.9</v>
      </c>
      <c r="N53" s="43">
        <f>Рецепты[[#This Row],[р]]*100%/(100%-Рецепты[[#This Row],[Потери, %]])+Рецепты[[#This Row],[Маржа]]*(Рецепты[[#This Row],[р]]*100%)/(100%-Рецепты[[#This Row],[Потери, %]])</f>
        <v>1.0545</v>
      </c>
      <c r="O53" s="43">
        <f>Рецепты[[#This Row],[Цена за 1 кг]]-(Рецепты[[#This Row],[р]]*100%/(100%-Рецепты[[#This Row],[Потери, %]]))</f>
        <v>0.49949999999999994</v>
      </c>
      <c r="P53" s="40" t="s">
        <v>291</v>
      </c>
      <c r="Q53" s="40" t="s">
        <v>299</v>
      </c>
      <c r="R53" s="44" t="str">
        <f>VLOOKUP(Рецепты[[#This Row],[Состав]],Ингредиенты[],9,0)</f>
        <v>Да</v>
      </c>
      <c r="S53" s="52"/>
    </row>
    <row r="54" spans="1:19" x14ac:dyDescent="0.25">
      <c r="A54" s="40" t="s">
        <v>300</v>
      </c>
      <c r="B54" s="40" t="s">
        <v>13</v>
      </c>
      <c r="C54" s="40" t="s">
        <v>6</v>
      </c>
      <c r="D54" s="40" t="s">
        <v>72</v>
      </c>
      <c r="E54" s="41" t="str">
        <f>VLOOKUP(Рецепты[[#This Row],[Состав]],Ингредиенты[],2,0)</f>
        <v>Рыба</v>
      </c>
      <c r="F54" s="62">
        <v>1</v>
      </c>
      <c r="G54" s="42">
        <f>IF(Рецепты[[#This Row],[%]]*1000&gt;0,Рецепты[[#This Row],[%]]*1000,"")</f>
        <v>1000</v>
      </c>
      <c r="H54" s="43">
        <f>IFERROR(VLOOKUP(Рецепты[[#This Row],[Состав]],Ингредиенты!A:I,3,0)*Рецепты[[#This Row],[г]],"")</f>
        <v>425</v>
      </c>
      <c r="I54" s="42">
        <f>СводРецепт!$A$1</f>
        <v>1000</v>
      </c>
      <c r="J54" s="42">
        <f>Рецепты[[#This Row],[%]]*Рецепты[[#This Row],[Масса]]</f>
        <v>1000</v>
      </c>
      <c r="K54" s="43">
        <f>Рецепты[[#This Row],[Вес ингр-тов]]*VLOOKUP(Рецепты[[#This Row],[Состав]],Ингредиенты[],3,FALSE)</f>
        <v>425</v>
      </c>
      <c r="L54" s="41">
        <f>IF(VLOOKUP(Рецепты[[#This Row],[Состав]],Ингредиенты[],4,0)="Основа",VLOOKUP(Рецепты[[#This Row],[Способ]],Способ[],2,0),0%)</f>
        <v>0.15</v>
      </c>
      <c r="M54" s="41">
        <f>VLOOKUP(Рецепты[[#This Row],[Способ]],Способ[],3,0)</f>
        <v>1</v>
      </c>
      <c r="N54" s="43">
        <f>Рецепты[[#This Row],[р]]*100%/(100%-Рецепты[[#This Row],[Потери, %]])+Рецепты[[#This Row],[Маржа]]*(Рецепты[[#This Row],[р]]*100%)/(100%-Рецепты[[#This Row],[Потери, %]])</f>
        <v>1000</v>
      </c>
      <c r="O54" s="43">
        <f>Рецепты[[#This Row],[Цена за 1 кг]]-(Рецепты[[#This Row],[р]]*100%/(100%-Рецепты[[#This Row],[Потери, %]]))</f>
        <v>500</v>
      </c>
      <c r="P54" s="76" t="s">
        <v>660</v>
      </c>
      <c r="Q54" s="40"/>
      <c r="R54" s="44" t="str">
        <f>VLOOKUP(Рецепты[[#This Row],[Состав]],Ингредиенты[],9,0)</f>
        <v>Нет</v>
      </c>
      <c r="S54" s="52"/>
    </row>
    <row r="55" spans="1:19" x14ac:dyDescent="0.25">
      <c r="A55" s="40" t="s">
        <v>300</v>
      </c>
      <c r="B55" s="40" t="str">
        <f t="shared" ref="B55:B68" si="6">B54</f>
        <v>Рыба</v>
      </c>
      <c r="C55" s="40" t="str">
        <f t="shared" ref="C55:C68" si="7">C54</f>
        <v>ХК</v>
      </c>
      <c r="D55" s="40" t="s">
        <v>93</v>
      </c>
      <c r="E55" s="41" t="str">
        <f>VLOOKUP(Рецепты[[#This Row],[Состав]],Ингредиенты[],2,0)</f>
        <v>Добавки</v>
      </c>
      <c r="F55" s="62">
        <v>1</v>
      </c>
      <c r="G55" s="42">
        <f>IF(Рецепты[[#This Row],[%]]*1000&gt;0,Рецепты[[#This Row],[%]]*1000,"")</f>
        <v>1000</v>
      </c>
      <c r="H55" s="43">
        <f>IFERROR(VLOOKUP(Рецепты[[#This Row],[Состав]],Ингредиенты!A:I,3,0)*Рецепты[[#This Row],[г]],"")</f>
        <v>1</v>
      </c>
      <c r="I55" s="42">
        <f>СводРецепт!$A$1</f>
        <v>1000</v>
      </c>
      <c r="J55" s="42">
        <f>Рецепты[[#This Row],[%]]*Рецепты[[#This Row],[Масса]]</f>
        <v>1000</v>
      </c>
      <c r="K55" s="43">
        <f>Рецепты[[#This Row],[Вес ингр-тов]]*VLOOKUP(Рецепты[[#This Row],[Состав]],Ингредиенты[],3,FALSE)</f>
        <v>1</v>
      </c>
      <c r="L55" s="41">
        <f>IF(VLOOKUP(Рецепты[[#This Row],[Состав]],Ингредиенты[],4,0)="Основа",VLOOKUP(Рецепты[[#This Row],[Способ]],Способ[],2,0),0%)</f>
        <v>0</v>
      </c>
      <c r="M55" s="41">
        <f>VLOOKUP(Рецепты[[#This Row],[Способ]],Способ[],3,0)</f>
        <v>1</v>
      </c>
      <c r="N55" s="43">
        <f>Рецепты[[#This Row],[р]]*100%/(100%-Рецепты[[#This Row],[Потери, %]])+Рецепты[[#This Row],[Маржа]]*(Рецепты[[#This Row],[р]]*100%)/(100%-Рецепты[[#This Row],[Потери, %]])</f>
        <v>2</v>
      </c>
      <c r="O55" s="43">
        <f>Рецепты[[#This Row],[Цена за 1 кг]]-(Рецепты[[#This Row],[р]]*100%/(100%-Рецепты[[#This Row],[Потери, %]]))</f>
        <v>1</v>
      </c>
      <c r="P55" s="76" t="s">
        <v>660</v>
      </c>
      <c r="Q55" s="40"/>
      <c r="R55" s="44" t="str">
        <f>VLOOKUP(Рецепты[[#This Row],[Состав]],Ингредиенты[],9,0)</f>
        <v>Да</v>
      </c>
      <c r="S55" s="52"/>
    </row>
    <row r="56" spans="1:19" x14ac:dyDescent="0.25">
      <c r="A56" s="40" t="s">
        <v>300</v>
      </c>
      <c r="B56" s="40" t="str">
        <f t="shared" si="6"/>
        <v>Рыба</v>
      </c>
      <c r="C56" s="40" t="str">
        <f t="shared" si="7"/>
        <v>ХК</v>
      </c>
      <c r="D56" s="40" t="s">
        <v>128</v>
      </c>
      <c r="E56" s="41" t="str">
        <f>VLOOKUP(Рецепты[[#This Row],[Состав]],Ингредиенты[],2,0)</f>
        <v>Специи</v>
      </c>
      <c r="F56" s="62">
        <v>0.2</v>
      </c>
      <c r="G56" s="42">
        <f>IF(Рецепты[[#This Row],[%]]*1000&gt;0,Рецепты[[#This Row],[%]]*1000,"")</f>
        <v>200</v>
      </c>
      <c r="H56" s="43">
        <f>IFERROR(VLOOKUP(Рецепты[[#This Row],[Состав]],Ингредиенты!A:I,3,0)*Рецепты[[#This Row],[г]],"")</f>
        <v>7.7</v>
      </c>
      <c r="I56" s="42">
        <f>СводРецепт!$A$1</f>
        <v>1000</v>
      </c>
      <c r="J56" s="42">
        <f>Рецепты[[#This Row],[%]]*Рецепты[[#This Row],[Масса]]</f>
        <v>200</v>
      </c>
      <c r="K56" s="43">
        <f>Рецепты[[#This Row],[Вес ингр-тов]]*VLOOKUP(Рецепты[[#This Row],[Состав]],Ингредиенты[],3,FALSE)</f>
        <v>7.7</v>
      </c>
      <c r="L56" s="41">
        <f>IF(VLOOKUP(Рецепты[[#This Row],[Состав]],Ингредиенты[],4,0)="Основа",VLOOKUP(Рецепты[[#This Row],[Способ]],Способ[],2,0),0%)</f>
        <v>0</v>
      </c>
      <c r="M56" s="41">
        <f>VLOOKUP(Рецепты[[#This Row],[Способ]],Способ[],3,0)</f>
        <v>1</v>
      </c>
      <c r="N56" s="43">
        <f>Рецепты[[#This Row],[р]]*100%/(100%-Рецепты[[#This Row],[Потери, %]])+Рецепты[[#This Row],[Маржа]]*(Рецепты[[#This Row],[р]]*100%)/(100%-Рецепты[[#This Row],[Потери, %]])</f>
        <v>15.4</v>
      </c>
      <c r="O56" s="43">
        <f>Рецепты[[#This Row],[Цена за 1 кг]]-(Рецепты[[#This Row],[р]]*100%/(100%-Рецепты[[#This Row],[Потери, %]]))</f>
        <v>7.7</v>
      </c>
      <c r="P56" s="76" t="s">
        <v>660</v>
      </c>
      <c r="Q56" s="40"/>
      <c r="R56" s="44" t="str">
        <f>VLOOKUP(Рецепты[[#This Row],[Состав]],Ингредиенты[],9,0)</f>
        <v>Да</v>
      </c>
      <c r="S56" s="52"/>
    </row>
    <row r="57" spans="1:19" x14ac:dyDescent="0.25">
      <c r="A57" s="40" t="s">
        <v>301</v>
      </c>
      <c r="B57" s="40" t="str">
        <f t="shared" si="6"/>
        <v>Рыба</v>
      </c>
      <c r="C57" s="40" t="str">
        <f t="shared" si="7"/>
        <v>ХК</v>
      </c>
      <c r="D57" s="40" t="s">
        <v>77</v>
      </c>
      <c r="E57" s="41" t="str">
        <f>VLOOKUP(Рецепты[[#This Row],[Состав]],Ингредиенты[],2,0)</f>
        <v>Рыба</v>
      </c>
      <c r="F57" s="62">
        <v>1</v>
      </c>
      <c r="G57" s="42">
        <f>IF(Рецепты[[#This Row],[%]]*1000&gt;0,Рецепты[[#This Row],[%]]*1000,"")</f>
        <v>1000</v>
      </c>
      <c r="H57" s="43">
        <f>IFERROR(VLOOKUP(Рецепты[[#This Row],[Состав]],Ингредиенты!A:I,3,0)*Рецепты[[#This Row],[г]],"")</f>
        <v>250</v>
      </c>
      <c r="I57" s="42">
        <f>СводРецепт!$A$1</f>
        <v>1000</v>
      </c>
      <c r="J57" s="42">
        <f>Рецепты[[#This Row],[%]]*Рецепты[[#This Row],[Масса]]</f>
        <v>1000</v>
      </c>
      <c r="K57" s="43">
        <f>Рецепты[[#This Row],[Вес ингр-тов]]*VLOOKUP(Рецепты[[#This Row],[Состав]],Ингредиенты[],3,FALSE)</f>
        <v>250</v>
      </c>
      <c r="L57" s="41">
        <f>IF(VLOOKUP(Рецепты[[#This Row],[Состав]],Ингредиенты[],4,0)="Основа",VLOOKUP(Рецепты[[#This Row],[Способ]],Способ[],2,0),0%)</f>
        <v>0.15</v>
      </c>
      <c r="M57" s="41">
        <f>VLOOKUP(Рецепты[[#This Row],[Способ]],Способ[],3,0)</f>
        <v>1</v>
      </c>
      <c r="N57" s="43">
        <f>Рецепты[[#This Row],[р]]*100%/(100%-Рецепты[[#This Row],[Потери, %]])+Рецепты[[#This Row],[Маржа]]*(Рецепты[[#This Row],[р]]*100%)/(100%-Рецепты[[#This Row],[Потери, %]])</f>
        <v>588.23529411764707</v>
      </c>
      <c r="O57" s="43">
        <f>Рецепты[[#This Row],[Цена за 1 кг]]-(Рецепты[[#This Row],[р]]*100%/(100%-Рецепты[[#This Row],[Потери, %]]))</f>
        <v>294.11764705882354</v>
      </c>
      <c r="P57" s="40" t="s">
        <v>302</v>
      </c>
      <c r="Q57" s="40" t="s">
        <v>303</v>
      </c>
      <c r="R57" s="44" t="str">
        <f>VLOOKUP(Рецепты[[#This Row],[Состав]],Ингредиенты[],9,0)</f>
        <v>Да</v>
      </c>
      <c r="S57" s="52"/>
    </row>
    <row r="58" spans="1:19" x14ac:dyDescent="0.25">
      <c r="A58" s="40" t="s">
        <v>301</v>
      </c>
      <c r="B58" s="40" t="str">
        <f t="shared" si="6"/>
        <v>Рыба</v>
      </c>
      <c r="C58" s="40" t="str">
        <f t="shared" si="7"/>
        <v>ХК</v>
      </c>
      <c r="D58" s="40" t="s">
        <v>128</v>
      </c>
      <c r="E58" s="41" t="str">
        <f>VLOOKUP(Рецепты[[#This Row],[Состав]],Ингредиенты[],2,0)</f>
        <v>Специи</v>
      </c>
      <c r="F58" s="62">
        <v>0.05</v>
      </c>
      <c r="G58" s="42">
        <f>IF(Рецепты[[#This Row],[%]]*1000&gt;0,Рецепты[[#This Row],[%]]*1000,"")</f>
        <v>50</v>
      </c>
      <c r="H58" s="43">
        <f>IFERROR(VLOOKUP(Рецепты[[#This Row],[Состав]],Ингредиенты!A:I,3,0)*Рецепты[[#This Row],[г]],"")</f>
        <v>1.925</v>
      </c>
      <c r="I58" s="42">
        <f>СводРецепт!$A$1</f>
        <v>1000</v>
      </c>
      <c r="J58" s="42">
        <f>Рецепты[[#This Row],[%]]*Рецепты[[#This Row],[Масса]]</f>
        <v>50</v>
      </c>
      <c r="K58" s="43">
        <f>Рецепты[[#This Row],[Вес ингр-тов]]*VLOOKUP(Рецепты[[#This Row],[Состав]],Ингредиенты[],3,FALSE)</f>
        <v>1.925</v>
      </c>
      <c r="L58" s="41">
        <f>IF(VLOOKUP(Рецепты[[#This Row],[Состав]],Ингредиенты[],4,0)="Основа",VLOOKUP(Рецепты[[#This Row],[Способ]],Способ[],2,0),0%)</f>
        <v>0</v>
      </c>
      <c r="M58" s="41">
        <f>VLOOKUP(Рецепты[[#This Row],[Способ]],Способ[],3,0)</f>
        <v>1</v>
      </c>
      <c r="N58" s="43">
        <f>Рецепты[[#This Row],[р]]*100%/(100%-Рецепты[[#This Row],[Потери, %]])+Рецепты[[#This Row],[Маржа]]*(Рецепты[[#This Row],[р]]*100%)/(100%-Рецепты[[#This Row],[Потери, %]])</f>
        <v>3.85</v>
      </c>
      <c r="O58" s="43">
        <f>Рецепты[[#This Row],[Цена за 1 кг]]-(Рецепты[[#This Row],[р]]*100%/(100%-Рецепты[[#This Row],[Потери, %]]))</f>
        <v>1.925</v>
      </c>
      <c r="P58" s="40" t="s">
        <v>302</v>
      </c>
      <c r="Q58" s="40" t="s">
        <v>304</v>
      </c>
      <c r="R58" s="44" t="str">
        <f>VLOOKUP(Рецепты[[#This Row],[Состав]],Ингредиенты[],9,0)</f>
        <v>Да</v>
      </c>
      <c r="S58" s="52"/>
    </row>
    <row r="59" spans="1:19" x14ac:dyDescent="0.25">
      <c r="A59" s="40" t="s">
        <v>301</v>
      </c>
      <c r="B59" s="40" t="str">
        <f t="shared" si="6"/>
        <v>Рыба</v>
      </c>
      <c r="C59" s="40" t="str">
        <f t="shared" si="7"/>
        <v>ХК</v>
      </c>
      <c r="D59" s="40" t="s">
        <v>131</v>
      </c>
      <c r="E59" s="41" t="str">
        <f>VLOOKUP(Рецепты[[#This Row],[Состав]],Ингредиенты[],2,0)</f>
        <v>Специи</v>
      </c>
      <c r="F59" s="62">
        <v>0.01</v>
      </c>
      <c r="G59" s="42">
        <f>IF(Рецепты[[#This Row],[%]]*1000&gt;0,Рецепты[[#This Row],[%]]*1000,"")</f>
        <v>10</v>
      </c>
      <c r="H59" s="43">
        <f>IFERROR(VLOOKUP(Рецепты[[#This Row],[Состав]],Ингредиенты!A:I,3,0)*Рецепты[[#This Row],[г]],"")</f>
        <v>0.80882352941176472</v>
      </c>
      <c r="I59" s="42">
        <f>СводРецепт!$A$1</f>
        <v>1000</v>
      </c>
      <c r="J59" s="42">
        <f>Рецепты[[#This Row],[%]]*Рецепты[[#This Row],[Масса]]</f>
        <v>10</v>
      </c>
      <c r="K59" s="43">
        <f>Рецепты[[#This Row],[Вес ингр-тов]]*VLOOKUP(Рецепты[[#This Row],[Состав]],Ингредиенты[],3,FALSE)</f>
        <v>0.80882352941176472</v>
      </c>
      <c r="L59" s="41">
        <f>IF(VLOOKUP(Рецепты[[#This Row],[Состав]],Ингредиенты[],4,0)="Основа",VLOOKUP(Рецепты[[#This Row],[Способ]],Способ[],2,0),0%)</f>
        <v>0</v>
      </c>
      <c r="M59" s="41">
        <f>VLOOKUP(Рецепты[[#This Row],[Способ]],Способ[],3,0)</f>
        <v>1</v>
      </c>
      <c r="N59" s="43">
        <f>Рецепты[[#This Row],[р]]*100%/(100%-Рецепты[[#This Row],[Потери, %]])+Рецепты[[#This Row],[Маржа]]*(Рецепты[[#This Row],[р]]*100%)/(100%-Рецепты[[#This Row],[Потери, %]])</f>
        <v>1.6176470588235294</v>
      </c>
      <c r="O59" s="43">
        <f>Рецепты[[#This Row],[Цена за 1 кг]]-(Рецепты[[#This Row],[р]]*100%/(100%-Рецепты[[#This Row],[Потери, %]]))</f>
        <v>0.80882352941176472</v>
      </c>
      <c r="P59" s="40" t="s">
        <v>302</v>
      </c>
      <c r="Q59" s="40" t="s">
        <v>305</v>
      </c>
      <c r="R59" s="44" t="str">
        <f>VLOOKUP(Рецепты[[#This Row],[Состав]],Ингредиенты[],9,0)</f>
        <v>Да</v>
      </c>
      <c r="S59" s="52"/>
    </row>
    <row r="60" spans="1:19" x14ac:dyDescent="0.25">
      <c r="A60" s="40" t="s">
        <v>301</v>
      </c>
      <c r="B60" s="40" t="str">
        <f t="shared" si="6"/>
        <v>Рыба</v>
      </c>
      <c r="C60" s="40" t="str">
        <f t="shared" si="7"/>
        <v>ХК</v>
      </c>
      <c r="D60" s="40" t="s">
        <v>139</v>
      </c>
      <c r="E60" s="41" t="str">
        <f>VLOOKUP(Рецепты[[#This Row],[Состав]],Ингредиенты[],2,0)</f>
        <v>Специи</v>
      </c>
      <c r="F60" s="62">
        <v>1E-3</v>
      </c>
      <c r="G60" s="42">
        <f>IF(Рецепты[[#This Row],[%]]*1000&gt;0,Рецепты[[#This Row],[%]]*1000,"")</f>
        <v>1</v>
      </c>
      <c r="H60" s="43">
        <f>IFERROR(VLOOKUP(Рецепты[[#This Row],[Состав]],Ингредиенты!A:I,3,0)*Рецепты[[#This Row],[г]],"")</f>
        <v>0.77636363636363637</v>
      </c>
      <c r="I60" s="42">
        <f>СводРецепт!$A$1</f>
        <v>1000</v>
      </c>
      <c r="J60" s="42">
        <f>Рецепты[[#This Row],[%]]*Рецепты[[#This Row],[Масса]]</f>
        <v>1</v>
      </c>
      <c r="K60" s="43">
        <f>Рецепты[[#This Row],[Вес ингр-тов]]*VLOOKUP(Рецепты[[#This Row],[Состав]],Ингредиенты[],3,FALSE)</f>
        <v>0.77636363636363637</v>
      </c>
      <c r="L60" s="41">
        <f>IF(VLOOKUP(Рецепты[[#This Row],[Состав]],Ингредиенты[],4,0)="Основа",VLOOKUP(Рецепты[[#This Row],[Способ]],Способ[],2,0),0%)</f>
        <v>0</v>
      </c>
      <c r="M60" s="41">
        <f>VLOOKUP(Рецепты[[#This Row],[Способ]],Способ[],3,0)</f>
        <v>1</v>
      </c>
      <c r="N60" s="43">
        <f>Рецепты[[#This Row],[р]]*100%/(100%-Рецепты[[#This Row],[Потери, %]])+Рецепты[[#This Row],[Маржа]]*(Рецепты[[#This Row],[р]]*100%)/(100%-Рецепты[[#This Row],[Потери, %]])</f>
        <v>1.5527272727272727</v>
      </c>
      <c r="O60" s="43">
        <f>Рецепты[[#This Row],[Цена за 1 кг]]-(Рецепты[[#This Row],[р]]*100%/(100%-Рецепты[[#This Row],[Потери, %]]))</f>
        <v>0.77636363636363637</v>
      </c>
      <c r="P60" s="40" t="s">
        <v>302</v>
      </c>
      <c r="Q60" s="40" t="s">
        <v>306</v>
      </c>
      <c r="R60" s="44" t="str">
        <f>VLOOKUP(Рецепты[[#This Row],[Состав]],Ингредиенты[],9,0)</f>
        <v>Нет</v>
      </c>
      <c r="S60" s="52"/>
    </row>
    <row r="61" spans="1:19" x14ac:dyDescent="0.25">
      <c r="A61" s="40" t="s">
        <v>301</v>
      </c>
      <c r="B61" s="40" t="str">
        <f t="shared" si="6"/>
        <v>Рыба</v>
      </c>
      <c r="C61" s="40" t="str">
        <f t="shared" si="7"/>
        <v>ХК</v>
      </c>
      <c r="D61" s="40" t="s">
        <v>145</v>
      </c>
      <c r="E61" s="41" t="str">
        <f>VLOOKUP(Рецепты[[#This Row],[Состав]],Ингредиенты[],2,0)</f>
        <v>Специи</v>
      </c>
      <c r="F61" s="62">
        <v>3.0000000000000001E-3</v>
      </c>
      <c r="G61" s="42">
        <f>IF(Рецепты[[#This Row],[%]]*1000&gt;0,Рецепты[[#This Row],[%]]*1000,"")</f>
        <v>3</v>
      </c>
      <c r="H61" s="43">
        <f>IFERROR(VLOOKUP(Рецепты[[#This Row],[Состав]],Ингредиенты!A:I,3,0)*Рецепты[[#This Row],[г]],"")</f>
        <v>2.3454545454545457</v>
      </c>
      <c r="I61" s="42">
        <f>СводРецепт!$A$1</f>
        <v>1000</v>
      </c>
      <c r="J61" s="42">
        <f>Рецепты[[#This Row],[%]]*Рецепты[[#This Row],[Масса]]</f>
        <v>3</v>
      </c>
      <c r="K61" s="43">
        <f>Рецепты[[#This Row],[Вес ингр-тов]]*VLOOKUP(Рецепты[[#This Row],[Состав]],Ингредиенты[],3,FALSE)</f>
        <v>2.3454545454545457</v>
      </c>
      <c r="L61" s="41">
        <f>IF(VLOOKUP(Рецепты[[#This Row],[Состав]],Ингредиенты[],4,0)="Основа",VLOOKUP(Рецепты[[#This Row],[Способ]],Способ[],2,0),0%)</f>
        <v>0</v>
      </c>
      <c r="M61" s="41">
        <f>VLOOKUP(Рецепты[[#This Row],[Способ]],Способ[],3,0)</f>
        <v>1</v>
      </c>
      <c r="N61" s="43">
        <f>Рецепты[[#This Row],[р]]*100%/(100%-Рецепты[[#This Row],[Потери, %]])+Рецепты[[#This Row],[Маржа]]*(Рецепты[[#This Row],[р]]*100%)/(100%-Рецепты[[#This Row],[Потери, %]])</f>
        <v>4.6909090909090914</v>
      </c>
      <c r="O61" s="43">
        <f>Рецепты[[#This Row],[Цена за 1 кг]]-(Рецепты[[#This Row],[р]]*100%/(100%-Рецепты[[#This Row],[Потери, %]]))</f>
        <v>2.3454545454545457</v>
      </c>
      <c r="P61" s="40" t="s">
        <v>302</v>
      </c>
      <c r="Q61" s="40" t="s">
        <v>307</v>
      </c>
      <c r="R61" s="44" t="str">
        <f>VLOOKUP(Рецепты[[#This Row],[Состав]],Ингредиенты[],9,0)</f>
        <v>Нет</v>
      </c>
      <c r="S61" s="52"/>
    </row>
    <row r="62" spans="1:19" x14ac:dyDescent="0.25">
      <c r="A62" s="40" t="s">
        <v>301</v>
      </c>
      <c r="B62" s="40" t="str">
        <f t="shared" si="6"/>
        <v>Рыба</v>
      </c>
      <c r="C62" s="40" t="str">
        <f t="shared" si="7"/>
        <v>ХК</v>
      </c>
      <c r="D62" s="40" t="s">
        <v>151</v>
      </c>
      <c r="E62" s="41" t="str">
        <f>VLOOKUP(Рецепты[[#This Row],[Состав]],Ингредиенты[],2,0)</f>
        <v>Специи</v>
      </c>
      <c r="F62" s="62">
        <v>2E-3</v>
      </c>
      <c r="G62" s="42">
        <f>IF(Рецепты[[#This Row],[%]]*1000&gt;0,Рецепты[[#This Row],[%]]*1000,"")</f>
        <v>2</v>
      </c>
      <c r="H62" s="43">
        <f>IFERROR(VLOOKUP(Рецепты[[#This Row],[Состав]],Ингредиенты!A:I,3,0)*Рецепты[[#This Row],[г]],"")</f>
        <v>1.7566666666666666</v>
      </c>
      <c r="I62" s="42">
        <f>СводРецепт!$A$1</f>
        <v>1000</v>
      </c>
      <c r="J62" s="42">
        <f>Рецепты[[#This Row],[%]]*Рецепты[[#This Row],[Масса]]</f>
        <v>2</v>
      </c>
      <c r="K62" s="43">
        <f>Рецепты[[#This Row],[Вес ингр-тов]]*VLOOKUP(Рецепты[[#This Row],[Состав]],Ингредиенты[],3,FALSE)</f>
        <v>1.7566666666666666</v>
      </c>
      <c r="L62" s="41">
        <f>IF(VLOOKUP(Рецепты[[#This Row],[Состав]],Ингредиенты[],4,0)="Основа",VLOOKUP(Рецепты[[#This Row],[Способ]],Способ[],2,0),0%)</f>
        <v>0</v>
      </c>
      <c r="M62" s="41">
        <f>VLOOKUP(Рецепты[[#This Row],[Способ]],Способ[],3,0)</f>
        <v>1</v>
      </c>
      <c r="N62" s="43">
        <f>Рецепты[[#This Row],[р]]*100%/(100%-Рецепты[[#This Row],[Потери, %]])+Рецепты[[#This Row],[Маржа]]*(Рецепты[[#This Row],[р]]*100%)/(100%-Рецепты[[#This Row],[Потери, %]])</f>
        <v>3.5133333333333332</v>
      </c>
      <c r="O62" s="43">
        <f>Рецепты[[#This Row],[Цена за 1 кг]]-(Рецепты[[#This Row],[р]]*100%/(100%-Рецепты[[#This Row],[Потери, %]]))</f>
        <v>1.7566666666666666</v>
      </c>
      <c r="P62" s="40" t="s">
        <v>302</v>
      </c>
      <c r="Q62" s="40" t="s">
        <v>308</v>
      </c>
      <c r="R62" s="44" t="str">
        <f>VLOOKUP(Рецепты[[#This Row],[Состав]],Ингредиенты[],9,0)</f>
        <v>Да</v>
      </c>
      <c r="S62" s="52"/>
    </row>
    <row r="63" spans="1:19" x14ac:dyDescent="0.25">
      <c r="A63" s="40" t="s">
        <v>301</v>
      </c>
      <c r="B63" s="40" t="str">
        <f t="shared" si="6"/>
        <v>Рыба</v>
      </c>
      <c r="C63" s="40" t="str">
        <f t="shared" si="7"/>
        <v>ХК</v>
      </c>
      <c r="D63" s="40" t="s">
        <v>169</v>
      </c>
      <c r="E63" s="41" t="str">
        <f>VLOOKUP(Рецепты[[#This Row],[Состав]],Ингредиенты[],2,0)</f>
        <v>Специи</v>
      </c>
      <c r="F63" s="62">
        <v>1E-4</v>
      </c>
      <c r="G63" s="42">
        <f>IF(Рецепты[[#This Row],[%]]*1000&gt;0,Рецепты[[#This Row],[%]]*1000,"")</f>
        <v>0.1</v>
      </c>
      <c r="H63" s="43">
        <f>IFERROR(VLOOKUP(Рецепты[[#This Row],[Состав]],Ингредиенты!A:I,3,0)*Рецепты[[#This Row],[г]],"")</f>
        <v>0.39400000000000002</v>
      </c>
      <c r="I63" s="42">
        <f>СводРецепт!$A$1</f>
        <v>1000</v>
      </c>
      <c r="J63" s="42">
        <f>Рецепты[[#This Row],[%]]*Рецепты[[#This Row],[Масса]]</f>
        <v>0.1</v>
      </c>
      <c r="K63" s="43">
        <f>Рецепты[[#This Row],[Вес ингр-тов]]*VLOOKUP(Рецепты[[#This Row],[Состав]],Ингредиенты[],3,FALSE)</f>
        <v>0.39400000000000002</v>
      </c>
      <c r="L63" s="41">
        <f>IF(VLOOKUP(Рецепты[[#This Row],[Состав]],Ингредиенты[],4,0)="Основа",VLOOKUP(Рецепты[[#This Row],[Способ]],Способ[],2,0),0%)</f>
        <v>0</v>
      </c>
      <c r="M63" s="41">
        <f>VLOOKUP(Рецепты[[#This Row],[Способ]],Способ[],3,0)</f>
        <v>1</v>
      </c>
      <c r="N63" s="43">
        <f>Рецепты[[#This Row],[р]]*100%/(100%-Рецепты[[#This Row],[Потери, %]])+Рецепты[[#This Row],[Маржа]]*(Рецепты[[#This Row],[р]]*100%)/(100%-Рецепты[[#This Row],[Потери, %]])</f>
        <v>0.78800000000000003</v>
      </c>
      <c r="O63" s="43">
        <f>Рецепты[[#This Row],[Цена за 1 кг]]-(Рецепты[[#This Row],[р]]*100%/(100%-Рецепты[[#This Row],[Потери, %]]))</f>
        <v>0.39400000000000002</v>
      </c>
      <c r="P63" s="40" t="s">
        <v>302</v>
      </c>
      <c r="Q63" s="40" t="s">
        <v>309</v>
      </c>
      <c r="R63" s="44" t="str">
        <f>VLOOKUP(Рецепты[[#This Row],[Состав]],Ингредиенты[],9,0)</f>
        <v>Нет</v>
      </c>
      <c r="S63" s="52"/>
    </row>
    <row r="64" spans="1:19" x14ac:dyDescent="0.25">
      <c r="A64" s="40" t="s">
        <v>301</v>
      </c>
      <c r="B64" s="40" t="str">
        <f t="shared" si="6"/>
        <v>Рыба</v>
      </c>
      <c r="C64" s="40" t="str">
        <f t="shared" si="7"/>
        <v>ХК</v>
      </c>
      <c r="D64" s="40" t="s">
        <v>155</v>
      </c>
      <c r="E64" s="41" t="str">
        <f>VLOOKUP(Рецепты[[#This Row],[Состав]],Ингредиенты[],2,0)</f>
        <v>Специи</v>
      </c>
      <c r="F64" s="62">
        <v>3.0000000000000001E-3</v>
      </c>
      <c r="G64" s="42">
        <f>IF(Рецепты[[#This Row],[%]]*1000&gt;0,Рецепты[[#This Row],[%]]*1000,"")</f>
        <v>3</v>
      </c>
      <c r="H64" s="43">
        <f>IFERROR(VLOOKUP(Рецепты[[#This Row],[Состав]],Ингредиенты!A:I,3,0)*Рецепты[[#This Row],[г]],"")</f>
        <v>1.5066666666666668</v>
      </c>
      <c r="I64" s="42">
        <f>СводРецепт!$A$1</f>
        <v>1000</v>
      </c>
      <c r="J64" s="42">
        <f>Рецепты[[#This Row],[%]]*Рецепты[[#This Row],[Масса]]</f>
        <v>3</v>
      </c>
      <c r="K64" s="43">
        <f>Рецепты[[#This Row],[Вес ингр-тов]]*VLOOKUP(Рецепты[[#This Row],[Состав]],Ингредиенты[],3,FALSE)</f>
        <v>1.5066666666666668</v>
      </c>
      <c r="L64" s="41">
        <f>IF(VLOOKUP(Рецепты[[#This Row],[Состав]],Ингредиенты[],4,0)="Основа",VLOOKUP(Рецепты[[#This Row],[Способ]],Способ[],2,0),0%)</f>
        <v>0</v>
      </c>
      <c r="M64" s="41">
        <f>VLOOKUP(Рецепты[[#This Row],[Способ]],Способ[],3,0)</f>
        <v>1</v>
      </c>
      <c r="N64" s="43">
        <f>Рецепты[[#This Row],[р]]*100%/(100%-Рецепты[[#This Row],[Потери, %]])+Рецепты[[#This Row],[Маржа]]*(Рецепты[[#This Row],[р]]*100%)/(100%-Рецепты[[#This Row],[Потери, %]])</f>
        <v>3.0133333333333336</v>
      </c>
      <c r="O64" s="43">
        <f>Рецепты[[#This Row],[Цена за 1 кг]]-(Рецепты[[#This Row],[р]]*100%/(100%-Рецепты[[#This Row],[Потери, %]]))</f>
        <v>1.5066666666666668</v>
      </c>
      <c r="P64" s="40" t="s">
        <v>302</v>
      </c>
      <c r="Q64" s="40" t="s">
        <v>310</v>
      </c>
      <c r="R64" s="44" t="str">
        <f>VLOOKUP(Рецепты[[#This Row],[Состав]],Ингредиенты[],9,0)</f>
        <v>Да</v>
      </c>
      <c r="S64" s="52"/>
    </row>
    <row r="65" spans="1:19" x14ac:dyDescent="0.25">
      <c r="A65" s="40" t="s">
        <v>311</v>
      </c>
      <c r="B65" s="40" t="str">
        <f t="shared" si="6"/>
        <v>Рыба</v>
      </c>
      <c r="C65" s="40" t="str">
        <f t="shared" si="7"/>
        <v>ХК</v>
      </c>
      <c r="D65" s="40" t="s">
        <v>73</v>
      </c>
      <c r="E65" s="41" t="str">
        <f>VLOOKUP(Рецепты[[#This Row],[Состав]],Ингредиенты[],2,0)</f>
        <v>Рыба</v>
      </c>
      <c r="F65" s="62">
        <v>1</v>
      </c>
      <c r="G65" s="42">
        <f>IF(Рецепты[[#This Row],[%]]*1000&gt;0,Рецепты[[#This Row],[%]]*1000,"")</f>
        <v>1000</v>
      </c>
      <c r="H65" s="43">
        <f>IFERROR(VLOOKUP(Рецепты[[#This Row],[Состав]],Ингредиенты!A:I,3,0)*Рецепты[[#This Row],[г]],"")</f>
        <v>378.55714285714288</v>
      </c>
      <c r="I65" s="42">
        <f>СводРецепт!$A$1</f>
        <v>1000</v>
      </c>
      <c r="J65" s="42">
        <f>Рецепты[[#This Row],[%]]*Рецепты[[#This Row],[Масса]]</f>
        <v>1000</v>
      </c>
      <c r="K65" s="43">
        <f>Рецепты[[#This Row],[Вес ингр-тов]]*VLOOKUP(Рецепты[[#This Row],[Состав]],Ингредиенты[],3,FALSE)</f>
        <v>378.55714285714288</v>
      </c>
      <c r="L65" s="41">
        <f>IF(VLOOKUP(Рецепты[[#This Row],[Состав]],Ингредиенты[],4,0)="Основа",VLOOKUP(Рецепты[[#This Row],[Способ]],Способ[],2,0),0%)</f>
        <v>0.15</v>
      </c>
      <c r="M65" s="41">
        <f>VLOOKUP(Рецепты[[#This Row],[Способ]],Способ[],3,0)</f>
        <v>1</v>
      </c>
      <c r="N65" s="43">
        <f>Рецепты[[#This Row],[р]]*100%/(100%-Рецепты[[#This Row],[Потери, %]])+Рецепты[[#This Row],[Маржа]]*(Рецепты[[#This Row],[р]]*100%)/(100%-Рецепты[[#This Row],[Потери, %]])</f>
        <v>890.72268907563034</v>
      </c>
      <c r="O65" s="43">
        <f>Рецепты[[#This Row],[Цена за 1 кг]]-(Рецепты[[#This Row],[р]]*100%/(100%-Рецепты[[#This Row],[Потери, %]]))</f>
        <v>445.36134453781517</v>
      </c>
      <c r="P65" s="40" t="s">
        <v>312</v>
      </c>
      <c r="Q65" s="40" t="s">
        <v>313</v>
      </c>
      <c r="R65" s="44" t="str">
        <f>VLOOKUP(Рецепты[[#This Row],[Состав]],Ингредиенты[],9,0)</f>
        <v>Нет</v>
      </c>
      <c r="S65" s="52"/>
    </row>
    <row r="66" spans="1:19" x14ac:dyDescent="0.25">
      <c r="A66" s="40" t="s">
        <v>311</v>
      </c>
      <c r="B66" s="40" t="str">
        <f t="shared" si="6"/>
        <v>Рыба</v>
      </c>
      <c r="C66" s="40" t="str">
        <f t="shared" si="7"/>
        <v>ХК</v>
      </c>
      <c r="D66" s="40" t="s">
        <v>93</v>
      </c>
      <c r="E66" s="41" t="str">
        <f>VLOOKUP(Рецепты[[#This Row],[Состав]],Ингредиенты[],2,0)</f>
        <v>Добавки</v>
      </c>
      <c r="F66" s="62">
        <v>1</v>
      </c>
      <c r="G66" s="42">
        <f>IF(Рецепты[[#This Row],[%]]*1000&gt;0,Рецепты[[#This Row],[%]]*1000,"")</f>
        <v>1000</v>
      </c>
      <c r="H66" s="43">
        <f>IFERROR(VLOOKUP(Рецепты[[#This Row],[Состав]],Ингредиенты!A:I,3,0)*Рецепты[[#This Row],[г]],"")</f>
        <v>1</v>
      </c>
      <c r="I66" s="42">
        <f>СводРецепт!$A$1</f>
        <v>1000</v>
      </c>
      <c r="J66" s="42">
        <f>Рецепты[[#This Row],[%]]*Рецепты[[#This Row],[Масса]]</f>
        <v>1000</v>
      </c>
      <c r="K66" s="43">
        <f>Рецепты[[#This Row],[Вес ингр-тов]]*VLOOKUP(Рецепты[[#This Row],[Состав]],Ингредиенты[],3,FALSE)</f>
        <v>1</v>
      </c>
      <c r="L66" s="41">
        <f>IF(VLOOKUP(Рецепты[[#This Row],[Состав]],Ингредиенты[],4,0)="Основа",VLOOKUP(Рецепты[[#This Row],[Способ]],Способ[],2,0),0%)</f>
        <v>0</v>
      </c>
      <c r="M66" s="41">
        <f>VLOOKUP(Рецепты[[#This Row],[Способ]],Способ[],3,0)</f>
        <v>1</v>
      </c>
      <c r="N66" s="43">
        <f>Рецепты[[#This Row],[р]]*100%/(100%-Рецепты[[#This Row],[Потери, %]])+Рецепты[[#This Row],[Маржа]]*(Рецепты[[#This Row],[р]]*100%)/(100%-Рецепты[[#This Row],[Потери, %]])</f>
        <v>2</v>
      </c>
      <c r="O66" s="43">
        <f>Рецепты[[#This Row],[Цена за 1 кг]]-(Рецепты[[#This Row],[р]]*100%/(100%-Рецепты[[#This Row],[Потери, %]]))</f>
        <v>1</v>
      </c>
      <c r="P66" s="40" t="s">
        <v>312</v>
      </c>
      <c r="Q66" s="40" t="s">
        <v>314</v>
      </c>
      <c r="R66" s="44" t="str">
        <f>VLOOKUP(Рецепты[[#This Row],[Состав]],Ингредиенты[],9,0)</f>
        <v>Да</v>
      </c>
      <c r="S66" s="52"/>
    </row>
    <row r="67" spans="1:19" x14ac:dyDescent="0.25">
      <c r="A67" s="40" t="s">
        <v>311</v>
      </c>
      <c r="B67" s="40" t="str">
        <f t="shared" si="6"/>
        <v>Рыба</v>
      </c>
      <c r="C67" s="40" t="str">
        <f t="shared" si="7"/>
        <v>ХК</v>
      </c>
      <c r="D67" s="40" t="s">
        <v>128</v>
      </c>
      <c r="E67" s="41" t="str">
        <f>VLOOKUP(Рецепты[[#This Row],[Состав]],Ингредиенты[],2,0)</f>
        <v>Специи</v>
      </c>
      <c r="F67" s="62">
        <v>0.25</v>
      </c>
      <c r="G67" s="42">
        <f>IF(Рецепты[[#This Row],[%]]*1000&gt;0,Рецепты[[#This Row],[%]]*1000,"")</f>
        <v>250</v>
      </c>
      <c r="H67" s="43">
        <f>IFERROR(VLOOKUP(Рецепты[[#This Row],[Состав]],Ингредиенты!A:I,3,0)*Рецепты[[#This Row],[г]],"")</f>
        <v>9.625</v>
      </c>
      <c r="I67" s="42">
        <f>СводРецепт!$A$1</f>
        <v>1000</v>
      </c>
      <c r="J67" s="42">
        <f>Рецепты[[#This Row],[%]]*Рецепты[[#This Row],[Масса]]</f>
        <v>250</v>
      </c>
      <c r="K67" s="43">
        <f>Рецепты[[#This Row],[Вес ингр-тов]]*VLOOKUP(Рецепты[[#This Row],[Состав]],Ингредиенты[],3,FALSE)</f>
        <v>9.625</v>
      </c>
      <c r="L67" s="41">
        <f>IF(VLOOKUP(Рецепты[[#This Row],[Состав]],Ингредиенты[],4,0)="Основа",VLOOKUP(Рецепты[[#This Row],[Способ]],Способ[],2,0),0%)</f>
        <v>0</v>
      </c>
      <c r="M67" s="41">
        <f>VLOOKUP(Рецепты[[#This Row],[Способ]],Способ[],3,0)</f>
        <v>1</v>
      </c>
      <c r="N67" s="43">
        <f>Рецепты[[#This Row],[р]]*100%/(100%-Рецепты[[#This Row],[Потери, %]])+Рецепты[[#This Row],[Маржа]]*(Рецепты[[#This Row],[р]]*100%)/(100%-Рецепты[[#This Row],[Потери, %]])</f>
        <v>19.25</v>
      </c>
      <c r="O67" s="43">
        <f>Рецепты[[#This Row],[Цена за 1 кг]]-(Рецепты[[#This Row],[р]]*100%/(100%-Рецепты[[#This Row],[Потери, %]]))</f>
        <v>9.625</v>
      </c>
      <c r="P67" s="40" t="s">
        <v>312</v>
      </c>
      <c r="Q67" s="40" t="s">
        <v>315</v>
      </c>
      <c r="R67" s="44" t="str">
        <f>VLOOKUP(Рецепты[[#This Row],[Состав]],Ингредиенты[],9,0)</f>
        <v>Да</v>
      </c>
      <c r="S67" s="52"/>
    </row>
    <row r="68" spans="1:19" x14ac:dyDescent="0.25">
      <c r="A68" s="40" t="s">
        <v>311</v>
      </c>
      <c r="B68" s="40" t="str">
        <f t="shared" si="6"/>
        <v>Рыба</v>
      </c>
      <c r="C68" s="40" t="str">
        <f t="shared" si="7"/>
        <v>ХК</v>
      </c>
      <c r="D68" s="40" t="s">
        <v>131</v>
      </c>
      <c r="E68" s="41" t="str">
        <f>VLOOKUP(Рецепты[[#This Row],[Состав]],Ингредиенты[],2,0)</f>
        <v>Специи</v>
      </c>
      <c r="F68" s="62">
        <v>2E-3</v>
      </c>
      <c r="G68" s="42">
        <f>IF(Рецепты[[#This Row],[%]]*1000&gt;0,Рецепты[[#This Row],[%]]*1000,"")</f>
        <v>2</v>
      </c>
      <c r="H68" s="43">
        <f>IFERROR(VLOOKUP(Рецепты[[#This Row],[Состав]],Ингредиенты!A:I,3,0)*Рецепты[[#This Row],[г]],"")</f>
        <v>0.16176470588235295</v>
      </c>
      <c r="I68" s="42">
        <f>СводРецепт!$A$1</f>
        <v>1000</v>
      </c>
      <c r="J68" s="42">
        <f>Рецепты[[#This Row],[%]]*Рецепты[[#This Row],[Масса]]</f>
        <v>2</v>
      </c>
      <c r="K68" s="43">
        <f>Рецепты[[#This Row],[Вес ингр-тов]]*VLOOKUP(Рецепты[[#This Row],[Состав]],Ингредиенты[],3,FALSE)</f>
        <v>0.16176470588235295</v>
      </c>
      <c r="L68" s="41">
        <f>IF(VLOOKUP(Рецепты[[#This Row],[Состав]],Ингредиенты[],4,0)="Основа",VLOOKUP(Рецепты[[#This Row],[Способ]],Способ[],2,0),0%)</f>
        <v>0</v>
      </c>
      <c r="M68" s="41">
        <f>VLOOKUP(Рецепты[[#This Row],[Способ]],Способ[],3,0)</f>
        <v>1</v>
      </c>
      <c r="N68" s="43">
        <f>Рецепты[[#This Row],[р]]*100%/(100%-Рецепты[[#This Row],[Потери, %]])+Рецепты[[#This Row],[Маржа]]*(Рецепты[[#This Row],[р]]*100%)/(100%-Рецепты[[#This Row],[Потери, %]])</f>
        <v>0.3235294117647059</v>
      </c>
      <c r="O68" s="43">
        <f>Рецепты[[#This Row],[Цена за 1 кг]]-(Рецепты[[#This Row],[р]]*100%/(100%-Рецепты[[#This Row],[Потери, %]]))</f>
        <v>0.16176470588235295</v>
      </c>
      <c r="P68" s="40" t="s">
        <v>312</v>
      </c>
      <c r="Q68" s="40" t="s">
        <v>316</v>
      </c>
      <c r="R68" s="44" t="str">
        <f>VLOOKUP(Рецепты[[#This Row],[Состав]],Ингредиенты[],9,0)</f>
        <v>Да</v>
      </c>
      <c r="S68" s="52"/>
    </row>
    <row r="69" spans="1:19" x14ac:dyDescent="0.25">
      <c r="A69" s="40" t="s">
        <v>317</v>
      </c>
      <c r="B69" s="40" t="s">
        <v>8</v>
      </c>
      <c r="C69" s="40" t="s">
        <v>22</v>
      </c>
      <c r="D69" s="40" t="s">
        <v>12</v>
      </c>
      <c r="E69" s="41" t="str">
        <f>VLOOKUP(Рецепты[[#This Row],[Состав]],Ингредиенты[],2,0)</f>
        <v>Говядина</v>
      </c>
      <c r="F69" s="62">
        <v>0.75</v>
      </c>
      <c r="G69" s="42">
        <f>IF(Рецепты[[#This Row],[%]]*1000&gt;0,Рецепты[[#This Row],[%]]*1000,"")</f>
        <v>750</v>
      </c>
      <c r="H69" s="43">
        <f>IFERROR(VLOOKUP(Рецепты[[#This Row],[Состав]],Ингредиенты!A:I,3,0)*Рецепты[[#This Row],[г]],"")</f>
        <v>532.49250000000006</v>
      </c>
      <c r="I69" s="42">
        <f>СводРецепт!$A$1</f>
        <v>1000</v>
      </c>
      <c r="J69" s="42">
        <f>Рецепты[[#This Row],[%]]*Рецепты[[#This Row],[Масса]]</f>
        <v>750</v>
      </c>
      <c r="K69" s="43">
        <f>Рецепты[[#This Row],[Вес ингр-тов]]*VLOOKUP(Рецепты[[#This Row],[Состав]],Ингредиенты[],3,FALSE)</f>
        <v>532.49250000000006</v>
      </c>
      <c r="L69" s="41">
        <f>IF(VLOOKUP(Рецепты[[#This Row],[Состав]],Ингредиенты[],4,0)="Основа",VLOOKUP(Рецепты[[#This Row],[Способ]],Способ[],2,0),0%)</f>
        <v>0.35</v>
      </c>
      <c r="M69" s="41">
        <f>VLOOKUP(Рецепты[[#This Row],[Способ]],Способ[],3,0)</f>
        <v>2</v>
      </c>
      <c r="N69" s="43">
        <f>Рецепты[[#This Row],[р]]*100%/(100%-Рецепты[[#This Row],[Потери, %]])+Рецепты[[#This Row],[Маржа]]*(Рецепты[[#This Row],[р]]*100%)/(100%-Рецепты[[#This Row],[Потери, %]])</f>
        <v>2457.6576923076927</v>
      </c>
      <c r="O69" s="43">
        <f>Рецепты[[#This Row],[Цена за 1 кг]]-(Рецепты[[#This Row],[р]]*100%/(100%-Рецепты[[#This Row],[Потери, %]]))</f>
        <v>1638.438461538462</v>
      </c>
      <c r="P69" s="40" t="s">
        <v>639</v>
      </c>
      <c r="Q69" s="40" t="s">
        <v>318</v>
      </c>
      <c r="R69" s="44" t="str">
        <f>VLOOKUP(Рецепты[[#This Row],[Состав]],Ингредиенты[],9,0)</f>
        <v>Да</v>
      </c>
      <c r="S69" s="52"/>
    </row>
    <row r="70" spans="1:19" x14ac:dyDescent="0.25">
      <c r="A70" s="40" t="s">
        <v>317</v>
      </c>
      <c r="B70" s="40" t="str">
        <f t="shared" ref="B70:B82" si="8">B69</f>
        <v>Колбаса</v>
      </c>
      <c r="C70" s="40" t="str">
        <f t="shared" ref="C70:C82" si="9">C69</f>
        <v>Сырокопченое</v>
      </c>
      <c r="D70" s="40" t="s">
        <v>65</v>
      </c>
      <c r="E70" s="41" t="str">
        <f>VLOOKUP(Рецепты[[#This Row],[Состав]],Ингредиенты[],2,0)</f>
        <v>Говядина</v>
      </c>
      <c r="F70" s="62">
        <v>0.25</v>
      </c>
      <c r="G70" s="42">
        <f>IF(Рецепты[[#This Row],[%]]*1000&gt;0,Рецепты[[#This Row],[%]]*1000,"")</f>
        <v>250</v>
      </c>
      <c r="H70" s="43">
        <f>IFERROR(VLOOKUP(Рецепты[[#This Row],[Состав]],Ингредиенты!A:I,3,0)*Рецепты[[#This Row],[г]],"")</f>
        <v>62.5</v>
      </c>
      <c r="I70" s="42">
        <f>СводРецепт!$A$1</f>
        <v>1000</v>
      </c>
      <c r="J70" s="42">
        <f>Рецепты[[#This Row],[%]]*Рецепты[[#This Row],[Масса]]</f>
        <v>250</v>
      </c>
      <c r="K70" s="43">
        <f>Рецепты[[#This Row],[Вес ингр-тов]]*VLOOKUP(Рецепты[[#This Row],[Состав]],Ингредиенты[],3,FALSE)</f>
        <v>62.5</v>
      </c>
      <c r="L70" s="41">
        <f>IF(VLOOKUP(Рецепты[[#This Row],[Состав]],Ингредиенты[],4,0)="Основа",VLOOKUP(Рецепты[[#This Row],[Способ]],Способ[],2,0),0%)</f>
        <v>0.35</v>
      </c>
      <c r="M70" s="41">
        <f>VLOOKUP(Рецепты[[#This Row],[Способ]],Способ[],3,0)</f>
        <v>2</v>
      </c>
      <c r="N70" s="43">
        <f>Рецепты[[#This Row],[р]]*100%/(100%-Рецепты[[#This Row],[Потери, %]])+Рецепты[[#This Row],[Маржа]]*(Рецепты[[#This Row],[р]]*100%)/(100%-Рецепты[[#This Row],[Потери, %]])</f>
        <v>288.46153846153845</v>
      </c>
      <c r="O70" s="43">
        <f>Рецепты[[#This Row],[Цена за 1 кг]]-(Рецепты[[#This Row],[р]]*100%/(100%-Рецепты[[#This Row],[Потери, %]]))</f>
        <v>192.30769230769232</v>
      </c>
      <c r="P70" s="40" t="s">
        <v>639</v>
      </c>
      <c r="Q70" s="40" t="s">
        <v>319</v>
      </c>
      <c r="R70" s="44" t="str">
        <f>VLOOKUP(Рецепты[[#This Row],[Состав]],Ингредиенты[],9,0)</f>
        <v>Нет</v>
      </c>
      <c r="S70" s="52"/>
    </row>
    <row r="71" spans="1:19" x14ac:dyDescent="0.25">
      <c r="A71" s="40" t="s">
        <v>317</v>
      </c>
      <c r="B71" s="40" t="str">
        <f t="shared" si="8"/>
        <v>Колбаса</v>
      </c>
      <c r="C71" s="40" t="str">
        <f t="shared" si="9"/>
        <v>Сырокопченое</v>
      </c>
      <c r="D71" s="40" t="s">
        <v>125</v>
      </c>
      <c r="E71" s="41" t="str">
        <f>VLOOKUP(Рецепты[[#This Row],[Состав]],Ингредиенты[],2,0)</f>
        <v>Специи</v>
      </c>
      <c r="F71" s="62">
        <v>2.8000000000000001E-2</v>
      </c>
      <c r="G71" s="42">
        <f>IF(Рецепты[[#This Row],[%]]*1000&gt;0,Рецепты[[#This Row],[%]]*1000,"")</f>
        <v>28</v>
      </c>
      <c r="H71" s="43">
        <f>IFERROR(VLOOKUP(Рецепты[[#This Row],[Состав]],Ингредиенты!A:I,3,0)*Рецепты[[#This Row],[г]],"")</f>
        <v>3.5840000000000001</v>
      </c>
      <c r="I71" s="42">
        <f>СводРецепт!$A$1</f>
        <v>1000</v>
      </c>
      <c r="J71" s="42">
        <f>Рецепты[[#This Row],[%]]*Рецепты[[#This Row],[Масса]]</f>
        <v>28</v>
      </c>
      <c r="K71" s="43">
        <f>Рецепты[[#This Row],[Вес ингр-тов]]*VLOOKUP(Рецепты[[#This Row],[Состав]],Ингредиенты[],3,FALSE)</f>
        <v>3.5840000000000001</v>
      </c>
      <c r="L71" s="41">
        <f>IF(VLOOKUP(Рецепты[[#This Row],[Состав]],Ингредиенты[],4,0)="Основа",VLOOKUP(Рецепты[[#This Row],[Способ]],Способ[],2,0),0%)</f>
        <v>0</v>
      </c>
      <c r="M71" s="41">
        <f>VLOOKUP(Рецепты[[#This Row],[Способ]],Способ[],3,0)</f>
        <v>2</v>
      </c>
      <c r="N71" s="43">
        <f>Рецепты[[#This Row],[р]]*100%/(100%-Рецепты[[#This Row],[Потери, %]])+Рецепты[[#This Row],[Маржа]]*(Рецепты[[#This Row],[р]]*100%)/(100%-Рецепты[[#This Row],[Потери, %]])</f>
        <v>10.752000000000001</v>
      </c>
      <c r="O71" s="43">
        <f>Рецепты[[#This Row],[Цена за 1 кг]]-(Рецепты[[#This Row],[р]]*100%/(100%-Рецепты[[#This Row],[Потери, %]]))</f>
        <v>7.168000000000001</v>
      </c>
      <c r="P71" s="40" t="s">
        <v>639</v>
      </c>
      <c r="Q71" s="40" t="s">
        <v>320</v>
      </c>
      <c r="R71" s="44" t="str">
        <f>VLOOKUP(Рецепты[[#This Row],[Состав]],Ингредиенты[],9,0)</f>
        <v>Да</v>
      </c>
      <c r="S71" s="52"/>
    </row>
    <row r="72" spans="1:19" x14ac:dyDescent="0.25">
      <c r="A72" s="40" t="s">
        <v>317</v>
      </c>
      <c r="B72" s="40" t="str">
        <f t="shared" si="8"/>
        <v>Колбаса</v>
      </c>
      <c r="C72" s="40" t="str">
        <f t="shared" si="9"/>
        <v>Сырокопченое</v>
      </c>
      <c r="D72" s="40" t="s">
        <v>131</v>
      </c>
      <c r="E72" s="41" t="str">
        <f>VLOOKUP(Рецепты[[#This Row],[Состав]],Ингредиенты[],2,0)</f>
        <v>Специи</v>
      </c>
      <c r="F72" s="62">
        <v>1E-3</v>
      </c>
      <c r="G72" s="42">
        <f>IF(Рецепты[[#This Row],[%]]*1000&gt;0,Рецепты[[#This Row],[%]]*1000,"")</f>
        <v>1</v>
      </c>
      <c r="H72" s="43">
        <f>IFERROR(VLOOKUP(Рецепты[[#This Row],[Состав]],Ингредиенты!A:I,3,0)*Рецепты[[#This Row],[г]],"")</f>
        <v>8.0882352941176475E-2</v>
      </c>
      <c r="I72" s="42">
        <f>СводРецепт!$A$1</f>
        <v>1000</v>
      </c>
      <c r="J72" s="42">
        <f>Рецепты[[#This Row],[%]]*Рецепты[[#This Row],[Масса]]</f>
        <v>1</v>
      </c>
      <c r="K72" s="43">
        <f>Рецепты[[#This Row],[Вес ингр-тов]]*VLOOKUP(Рецепты[[#This Row],[Состав]],Ингредиенты[],3,FALSE)</f>
        <v>8.0882352941176475E-2</v>
      </c>
      <c r="L72" s="41">
        <f>IF(VLOOKUP(Рецепты[[#This Row],[Состав]],Ингредиенты[],4,0)="Основа",VLOOKUP(Рецепты[[#This Row],[Способ]],Способ[],2,0),0%)</f>
        <v>0</v>
      </c>
      <c r="M72" s="41">
        <f>VLOOKUP(Рецепты[[#This Row],[Способ]],Способ[],3,0)</f>
        <v>2</v>
      </c>
      <c r="N72" s="43">
        <f>Рецепты[[#This Row],[р]]*100%/(100%-Рецепты[[#This Row],[Потери, %]])+Рецепты[[#This Row],[Маржа]]*(Рецепты[[#This Row],[р]]*100%)/(100%-Рецепты[[#This Row],[Потери, %]])</f>
        <v>0.24264705882352944</v>
      </c>
      <c r="O72" s="43">
        <f>Рецепты[[#This Row],[Цена за 1 кг]]-(Рецепты[[#This Row],[р]]*100%/(100%-Рецепты[[#This Row],[Потери, %]]))</f>
        <v>0.16176470588235298</v>
      </c>
      <c r="P72" s="40" t="s">
        <v>639</v>
      </c>
      <c r="Q72" s="40" t="s">
        <v>321</v>
      </c>
      <c r="R72" s="44" t="str">
        <f>VLOOKUP(Рецепты[[#This Row],[Состав]],Ингредиенты[],9,0)</f>
        <v>Да</v>
      </c>
      <c r="S72" s="52"/>
    </row>
    <row r="73" spans="1:19" x14ac:dyDescent="0.25">
      <c r="A73" s="40" t="s">
        <v>317</v>
      </c>
      <c r="B73" s="40" t="str">
        <f t="shared" si="8"/>
        <v>Колбаса</v>
      </c>
      <c r="C73" s="40" t="str">
        <f t="shared" si="9"/>
        <v>Сырокопченое</v>
      </c>
      <c r="D73" s="40" t="s">
        <v>133</v>
      </c>
      <c r="E73" s="41" t="str">
        <f>VLOOKUP(Рецепты[[#This Row],[Состав]],Ингредиенты[],2,0)</f>
        <v>Специи</v>
      </c>
      <c r="F73" s="62">
        <v>2E-3</v>
      </c>
      <c r="G73" s="42">
        <f>IF(Рецепты[[#This Row],[%]]*1000&gt;0,Рецепты[[#This Row],[%]]*1000,"")</f>
        <v>2</v>
      </c>
      <c r="H73" s="43">
        <f>IFERROR(VLOOKUP(Рецепты[[#This Row],[Состав]],Ингредиенты!A:I,3,0)*Рецепты[[#This Row],[г]],"")</f>
        <v>2.189090909090909</v>
      </c>
      <c r="I73" s="42">
        <f>СводРецепт!$A$1</f>
        <v>1000</v>
      </c>
      <c r="J73" s="42">
        <f>Рецепты[[#This Row],[%]]*Рецепты[[#This Row],[Масса]]</f>
        <v>2</v>
      </c>
      <c r="K73" s="43">
        <f>Рецепты[[#This Row],[Вес ингр-тов]]*VLOOKUP(Рецепты[[#This Row],[Состав]],Ингредиенты[],3,FALSE)</f>
        <v>2.189090909090909</v>
      </c>
      <c r="L73" s="41">
        <f>IF(VLOOKUP(Рецепты[[#This Row],[Состав]],Ингредиенты[],4,0)="Основа",VLOOKUP(Рецепты[[#This Row],[Способ]],Способ[],2,0),0%)</f>
        <v>0</v>
      </c>
      <c r="M73" s="41">
        <f>VLOOKUP(Рецепты[[#This Row],[Способ]],Способ[],3,0)</f>
        <v>2</v>
      </c>
      <c r="N73" s="43">
        <f>Рецепты[[#This Row],[р]]*100%/(100%-Рецепты[[#This Row],[Потери, %]])+Рецепты[[#This Row],[Маржа]]*(Рецепты[[#This Row],[р]]*100%)/(100%-Рецепты[[#This Row],[Потери, %]])</f>
        <v>6.5672727272727265</v>
      </c>
      <c r="O73" s="43">
        <f>Рецепты[[#This Row],[Цена за 1 кг]]-(Рецепты[[#This Row],[р]]*100%/(100%-Рецепты[[#This Row],[Потери, %]]))</f>
        <v>4.3781818181818171</v>
      </c>
      <c r="P73" s="40" t="s">
        <v>639</v>
      </c>
      <c r="Q73" s="40" t="s">
        <v>322</v>
      </c>
      <c r="R73" s="44" t="str">
        <f>VLOOKUP(Рецепты[[#This Row],[Состав]],Ингредиенты[],9,0)</f>
        <v>Да</v>
      </c>
      <c r="S73" s="52"/>
    </row>
    <row r="74" spans="1:19" x14ac:dyDescent="0.25">
      <c r="A74" s="40" t="s">
        <v>317</v>
      </c>
      <c r="B74" s="40" t="str">
        <f t="shared" si="8"/>
        <v>Колбаса</v>
      </c>
      <c r="C74" s="40" t="str">
        <f t="shared" si="9"/>
        <v>Сырокопченое</v>
      </c>
      <c r="D74" s="40" t="s">
        <v>151</v>
      </c>
      <c r="E74" s="41" t="str">
        <f>VLOOKUP(Рецепты[[#This Row],[Состав]],Ингредиенты[],2,0)</f>
        <v>Специи</v>
      </c>
      <c r="F74" s="62">
        <v>1E-3</v>
      </c>
      <c r="G74" s="42">
        <f>IF(Рецепты[[#This Row],[%]]*1000&gt;0,Рецепты[[#This Row],[%]]*1000,"")</f>
        <v>1</v>
      </c>
      <c r="H74" s="43">
        <f>IFERROR(VLOOKUP(Рецепты[[#This Row],[Состав]],Ингредиенты!A:I,3,0)*Рецепты[[#This Row],[г]],"")</f>
        <v>0.8783333333333333</v>
      </c>
      <c r="I74" s="42">
        <f>СводРецепт!$A$1</f>
        <v>1000</v>
      </c>
      <c r="J74" s="42">
        <f>Рецепты[[#This Row],[%]]*Рецепты[[#This Row],[Масса]]</f>
        <v>1</v>
      </c>
      <c r="K74" s="43">
        <f>Рецепты[[#This Row],[Вес ингр-тов]]*VLOOKUP(Рецепты[[#This Row],[Состав]],Ингредиенты[],3,FALSE)</f>
        <v>0.8783333333333333</v>
      </c>
      <c r="L74" s="41">
        <f>IF(VLOOKUP(Рецепты[[#This Row],[Состав]],Ингредиенты[],4,0)="Основа",VLOOKUP(Рецепты[[#This Row],[Способ]],Способ[],2,0),0%)</f>
        <v>0</v>
      </c>
      <c r="M74" s="41">
        <f>VLOOKUP(Рецепты[[#This Row],[Способ]],Способ[],3,0)</f>
        <v>2</v>
      </c>
      <c r="N74" s="43">
        <f>Рецепты[[#This Row],[р]]*100%/(100%-Рецепты[[#This Row],[Потери, %]])+Рецепты[[#This Row],[Маржа]]*(Рецепты[[#This Row],[р]]*100%)/(100%-Рецепты[[#This Row],[Потери, %]])</f>
        <v>2.6349999999999998</v>
      </c>
      <c r="O74" s="43">
        <f>Рецепты[[#This Row],[Цена за 1 кг]]-(Рецепты[[#This Row],[р]]*100%/(100%-Рецепты[[#This Row],[Потери, %]]))</f>
        <v>1.7566666666666664</v>
      </c>
      <c r="P74" s="40" t="s">
        <v>639</v>
      </c>
      <c r="Q74" s="40" t="s">
        <v>323</v>
      </c>
      <c r="R74" s="44" t="str">
        <f>VLOOKUP(Рецепты[[#This Row],[Состав]],Ингредиенты[],9,0)</f>
        <v>Да</v>
      </c>
      <c r="S74" s="52"/>
    </row>
    <row r="75" spans="1:19" x14ac:dyDescent="0.25">
      <c r="A75" s="40" t="s">
        <v>317</v>
      </c>
      <c r="B75" s="40" t="str">
        <f>B74</f>
        <v>Колбаса</v>
      </c>
      <c r="C75" s="40" t="str">
        <f>C74</f>
        <v>Сырокопченое</v>
      </c>
      <c r="D75" s="40" t="s">
        <v>225</v>
      </c>
      <c r="E75" s="41" t="str">
        <f>VLOOKUP(Рецепты[[#This Row],[Состав]],Ингредиенты[],2,0)</f>
        <v>Оболочка</v>
      </c>
      <c r="F75" s="62">
        <v>1E-3</v>
      </c>
      <c r="G75" s="42">
        <f>IF(Рецепты[[#This Row],[%]]*1000&gt;0,Рецепты[[#This Row],[%]]*1000,"")</f>
        <v>1</v>
      </c>
      <c r="H75" s="43">
        <f>IFERROR(VLOOKUP(Рецепты[[#This Row],[Состав]],Ингредиенты!A:I,3,0)*Рецепты[[#This Row],[г]],"")</f>
        <v>32.760032760032757</v>
      </c>
      <c r="I75" s="42">
        <f>СводРецепт!$A$1</f>
        <v>1000</v>
      </c>
      <c r="J75" s="42">
        <f>Рецепты[[#This Row],[%]]*Рецепты[[#This Row],[Масса]]</f>
        <v>1</v>
      </c>
      <c r="K75" s="43">
        <f>Рецепты[[#This Row],[Вес ингр-тов]]*VLOOKUP(Рецепты[[#This Row],[Состав]],Ингредиенты[],3,FALSE)</f>
        <v>32.760032760032757</v>
      </c>
      <c r="L75" s="41">
        <f>IF(VLOOKUP(Рецепты[[#This Row],[Состав]],Ингредиенты[],4,0)="Основа",VLOOKUP(Рецепты[[#This Row],[Способ]],Способ[],2,0),0%)</f>
        <v>0</v>
      </c>
      <c r="M75" s="41">
        <f>VLOOKUP(Рецепты[[#This Row],[Способ]],Способ[],3,0)</f>
        <v>2</v>
      </c>
      <c r="N75" s="43">
        <f>Рецепты[[#This Row],[р]]*100%/(100%-Рецепты[[#This Row],[Потери, %]])+Рецепты[[#This Row],[Маржа]]*(Рецепты[[#This Row],[р]]*100%)/(100%-Рецепты[[#This Row],[Потери, %]])</f>
        <v>98.280098280098272</v>
      </c>
      <c r="O75" s="43">
        <f>Рецепты[[#This Row],[Цена за 1 кг]]-(Рецепты[[#This Row],[р]]*100%/(100%-Рецепты[[#This Row],[Потери, %]]))</f>
        <v>65.520065520065515</v>
      </c>
      <c r="P75" s="40" t="s">
        <v>639</v>
      </c>
      <c r="Q75" s="40" t="s">
        <v>324</v>
      </c>
      <c r="R75" s="44" t="str">
        <f>VLOOKUP(Рецепты[[#This Row],[Состав]],Ингредиенты[],9,0)</f>
        <v>Да</v>
      </c>
      <c r="S75" s="52"/>
    </row>
    <row r="76" spans="1:19" x14ac:dyDescent="0.25">
      <c r="A76" s="40" t="s">
        <v>325</v>
      </c>
      <c r="B76" s="40" t="str">
        <f>B74</f>
        <v>Колбаса</v>
      </c>
      <c r="C76" s="40" t="str">
        <f>C74</f>
        <v>Сырокопченое</v>
      </c>
      <c r="D76" s="40" t="s">
        <v>12</v>
      </c>
      <c r="E76" s="41" t="str">
        <f>VLOOKUP(Рецепты[[#This Row],[Состав]],Ингредиенты[],2,0)</f>
        <v>Говядина</v>
      </c>
      <c r="F76" s="62">
        <v>0.75</v>
      </c>
      <c r="G76" s="42">
        <f>IF(Рецепты[[#This Row],[%]]*1000&gt;0,Рецепты[[#This Row],[%]]*1000,"")</f>
        <v>750</v>
      </c>
      <c r="H76" s="43">
        <f>IFERROR(VLOOKUP(Рецепты[[#This Row],[Состав]],Ингредиенты!A:I,3,0)*Рецепты[[#This Row],[г]],"")</f>
        <v>532.49250000000006</v>
      </c>
      <c r="I76" s="42">
        <f>СводРецепт!$A$1</f>
        <v>1000</v>
      </c>
      <c r="J76" s="42">
        <f>Рецепты[[#This Row],[%]]*Рецепты[[#This Row],[Масса]]</f>
        <v>750</v>
      </c>
      <c r="K76" s="43">
        <f>Рецепты[[#This Row],[Вес ингр-тов]]*VLOOKUP(Рецепты[[#This Row],[Состав]],Ингредиенты[],3,FALSE)</f>
        <v>532.49250000000006</v>
      </c>
      <c r="L76" s="41">
        <f>IF(VLOOKUP(Рецепты[[#This Row],[Состав]],Ингредиенты[],4,0)="Основа",VLOOKUP(Рецепты[[#This Row],[Способ]],Способ[],2,0),0%)</f>
        <v>0.35</v>
      </c>
      <c r="M76" s="41">
        <f>VLOOKUP(Рецепты[[#This Row],[Способ]],Способ[],3,0)</f>
        <v>2</v>
      </c>
      <c r="N76" s="43">
        <f>Рецепты[[#This Row],[р]]*100%/(100%-Рецепты[[#This Row],[Потери, %]])+Рецепты[[#This Row],[Маржа]]*(Рецепты[[#This Row],[р]]*100%)/(100%-Рецепты[[#This Row],[Потери, %]])</f>
        <v>2457.6576923076927</v>
      </c>
      <c r="O76" s="43">
        <f>Рецепты[[#This Row],[Цена за 1 кг]]-(Рецепты[[#This Row],[р]]*100%/(100%-Рецепты[[#This Row],[Потери, %]]))</f>
        <v>1638.438461538462</v>
      </c>
      <c r="P76" s="40" t="s">
        <v>640</v>
      </c>
      <c r="Q76" s="40" t="s">
        <v>326</v>
      </c>
      <c r="R76" s="44" t="str">
        <f>VLOOKUP(Рецепты[[#This Row],[Состав]],Ингредиенты[],9,0)</f>
        <v>Да</v>
      </c>
      <c r="S76" s="52"/>
    </row>
    <row r="77" spans="1:19" x14ac:dyDescent="0.25">
      <c r="A77" s="40" t="s">
        <v>325</v>
      </c>
      <c r="B77" s="40" t="str">
        <f t="shared" si="8"/>
        <v>Колбаса</v>
      </c>
      <c r="C77" s="40" t="str">
        <f t="shared" si="9"/>
        <v>Сырокопченое</v>
      </c>
      <c r="D77" s="40" t="s">
        <v>60</v>
      </c>
      <c r="E77" s="41" t="str">
        <f>VLOOKUP(Рецепты[[#This Row],[Состав]],Ингредиенты[],2,0)</f>
        <v>Свинина</v>
      </c>
      <c r="F77" s="62">
        <v>0.25</v>
      </c>
      <c r="G77" s="42">
        <f>IF(Рецепты[[#This Row],[%]]*1000&gt;0,Рецепты[[#This Row],[%]]*1000,"")</f>
        <v>250</v>
      </c>
      <c r="H77" s="43">
        <f>IFERROR(VLOOKUP(Рецепты[[#This Row],[Состав]],Ингредиенты!A:I,3,0)*Рецепты[[#This Row],[г]],"")</f>
        <v>75</v>
      </c>
      <c r="I77" s="42">
        <f>СводРецепт!$A$1</f>
        <v>1000</v>
      </c>
      <c r="J77" s="42">
        <f>Рецепты[[#This Row],[%]]*Рецепты[[#This Row],[Масса]]</f>
        <v>250</v>
      </c>
      <c r="K77" s="43">
        <f>Рецепты[[#This Row],[Вес ингр-тов]]*VLOOKUP(Рецепты[[#This Row],[Состав]],Ингредиенты[],3,FALSE)</f>
        <v>75</v>
      </c>
      <c r="L77" s="41">
        <f>IF(VLOOKUP(Рецепты[[#This Row],[Состав]],Ингредиенты[],4,0)="Основа",VLOOKUP(Рецепты[[#This Row],[Способ]],Способ[],2,0),0%)</f>
        <v>0.35</v>
      </c>
      <c r="M77" s="41">
        <f>VLOOKUP(Рецепты[[#This Row],[Способ]],Способ[],3,0)</f>
        <v>2</v>
      </c>
      <c r="N77" s="43">
        <f>Рецепты[[#This Row],[р]]*100%/(100%-Рецепты[[#This Row],[Потери, %]])+Рецепты[[#This Row],[Маржа]]*(Рецепты[[#This Row],[р]]*100%)/(100%-Рецепты[[#This Row],[Потери, %]])</f>
        <v>346.15384615384619</v>
      </c>
      <c r="O77" s="43">
        <f>Рецепты[[#This Row],[Цена за 1 кг]]-(Рецепты[[#This Row],[р]]*100%/(100%-Рецепты[[#This Row],[Потери, %]]))</f>
        <v>230.7692307692308</v>
      </c>
      <c r="P77" s="40" t="s">
        <v>640</v>
      </c>
      <c r="Q77" s="40" t="s">
        <v>327</v>
      </c>
      <c r="R77" s="44" t="str">
        <f>VLOOKUP(Рецепты[[#This Row],[Состав]],Ингредиенты[],9,0)</f>
        <v>Нет</v>
      </c>
      <c r="S77" s="52"/>
    </row>
    <row r="78" spans="1:19" x14ac:dyDescent="0.25">
      <c r="A78" s="40" t="s">
        <v>325</v>
      </c>
      <c r="B78" s="40" t="str">
        <f t="shared" si="8"/>
        <v>Колбаса</v>
      </c>
      <c r="C78" s="40" t="str">
        <f t="shared" si="9"/>
        <v>Сырокопченое</v>
      </c>
      <c r="D78" s="40" t="s">
        <v>125</v>
      </c>
      <c r="E78" s="41" t="str">
        <f>VLOOKUP(Рецепты[[#This Row],[Состав]],Ингредиенты[],2,0)</f>
        <v>Специи</v>
      </c>
      <c r="F78" s="62">
        <v>2.5999999999999999E-2</v>
      </c>
      <c r="G78" s="42">
        <f>IF(Рецепты[[#This Row],[%]]*1000&gt;0,Рецепты[[#This Row],[%]]*1000,"")</f>
        <v>26</v>
      </c>
      <c r="H78" s="43">
        <f>IFERROR(VLOOKUP(Рецепты[[#This Row],[Состав]],Ингредиенты!A:I,3,0)*Рецепты[[#This Row],[г]],"")</f>
        <v>3.3280000000000003</v>
      </c>
      <c r="I78" s="42">
        <f>СводРецепт!$A$1</f>
        <v>1000</v>
      </c>
      <c r="J78" s="42">
        <f>Рецепты[[#This Row],[%]]*Рецепты[[#This Row],[Масса]]</f>
        <v>26</v>
      </c>
      <c r="K78" s="43">
        <f>Рецепты[[#This Row],[Вес ингр-тов]]*VLOOKUP(Рецепты[[#This Row],[Состав]],Ингредиенты[],3,FALSE)</f>
        <v>3.3280000000000003</v>
      </c>
      <c r="L78" s="41">
        <f>IF(VLOOKUP(Рецепты[[#This Row],[Состав]],Ингредиенты[],4,0)="Основа",VLOOKUP(Рецепты[[#This Row],[Способ]],Способ[],2,0),0%)</f>
        <v>0</v>
      </c>
      <c r="M78" s="41">
        <f>VLOOKUP(Рецепты[[#This Row],[Способ]],Способ[],3,0)</f>
        <v>2</v>
      </c>
      <c r="N78" s="43">
        <f>Рецепты[[#This Row],[р]]*100%/(100%-Рецепты[[#This Row],[Потери, %]])+Рецепты[[#This Row],[Маржа]]*(Рецепты[[#This Row],[р]]*100%)/(100%-Рецепты[[#This Row],[Потери, %]])</f>
        <v>9.9840000000000018</v>
      </c>
      <c r="O78" s="43">
        <f>Рецепты[[#This Row],[Цена за 1 кг]]-(Рецепты[[#This Row],[р]]*100%/(100%-Рецепты[[#This Row],[Потери, %]]))</f>
        <v>6.6560000000000015</v>
      </c>
      <c r="P78" s="40" t="s">
        <v>640</v>
      </c>
      <c r="Q78" s="40" t="s">
        <v>328</v>
      </c>
      <c r="R78" s="44" t="str">
        <f>VLOOKUP(Рецепты[[#This Row],[Состав]],Ингредиенты[],9,0)</f>
        <v>Да</v>
      </c>
      <c r="S78" s="52"/>
    </row>
    <row r="79" spans="1:19" x14ac:dyDescent="0.25">
      <c r="A79" s="40" t="s">
        <v>325</v>
      </c>
      <c r="B79" s="40" t="str">
        <f t="shared" si="8"/>
        <v>Колбаса</v>
      </c>
      <c r="C79" s="40" t="str">
        <f t="shared" si="9"/>
        <v>Сырокопченое</v>
      </c>
      <c r="D79" s="40" t="s">
        <v>133</v>
      </c>
      <c r="E79" s="41" t="str">
        <f>VLOOKUP(Рецепты[[#This Row],[Состав]],Ингредиенты[],2,0)</f>
        <v>Специи</v>
      </c>
      <c r="F79" s="62">
        <v>1E-3</v>
      </c>
      <c r="G79" s="42">
        <f>IF(Рецепты[[#This Row],[%]]*1000&gt;0,Рецепты[[#This Row],[%]]*1000,"")</f>
        <v>1</v>
      </c>
      <c r="H79" s="43">
        <f>IFERROR(VLOOKUP(Рецепты[[#This Row],[Состав]],Ингредиенты!A:I,3,0)*Рецепты[[#This Row],[г]],"")</f>
        <v>1.0945454545454545</v>
      </c>
      <c r="I79" s="42">
        <f>СводРецепт!$A$1</f>
        <v>1000</v>
      </c>
      <c r="J79" s="42">
        <f>Рецепты[[#This Row],[%]]*Рецепты[[#This Row],[Масса]]</f>
        <v>1</v>
      </c>
      <c r="K79" s="43">
        <f>Рецепты[[#This Row],[Вес ингр-тов]]*VLOOKUP(Рецепты[[#This Row],[Состав]],Ингредиенты[],3,FALSE)</f>
        <v>1.0945454545454545</v>
      </c>
      <c r="L79" s="41">
        <f>IF(VLOOKUP(Рецепты[[#This Row],[Состав]],Ингредиенты[],4,0)="Основа",VLOOKUP(Рецепты[[#This Row],[Способ]],Способ[],2,0),0%)</f>
        <v>0</v>
      </c>
      <c r="M79" s="41">
        <f>VLOOKUP(Рецепты[[#This Row],[Способ]],Способ[],3,0)</f>
        <v>2</v>
      </c>
      <c r="N79" s="43">
        <f>Рецепты[[#This Row],[р]]*100%/(100%-Рецепты[[#This Row],[Потери, %]])+Рецепты[[#This Row],[Маржа]]*(Рецепты[[#This Row],[р]]*100%)/(100%-Рецепты[[#This Row],[Потери, %]])</f>
        <v>3.2836363636363632</v>
      </c>
      <c r="O79" s="43">
        <f>Рецепты[[#This Row],[Цена за 1 кг]]-(Рецепты[[#This Row],[р]]*100%/(100%-Рецепты[[#This Row],[Потери, %]]))</f>
        <v>2.1890909090909085</v>
      </c>
      <c r="P79" s="40" t="s">
        <v>640</v>
      </c>
      <c r="Q79" s="40" t="s">
        <v>329</v>
      </c>
      <c r="R79" s="44" t="str">
        <f>VLOOKUP(Рецепты[[#This Row],[Состав]],Ингредиенты[],9,0)</f>
        <v>Да</v>
      </c>
      <c r="S79" s="52"/>
    </row>
    <row r="80" spans="1:19" x14ac:dyDescent="0.25">
      <c r="A80" s="40" t="s">
        <v>325</v>
      </c>
      <c r="B80" s="40" t="str">
        <f t="shared" si="8"/>
        <v>Колбаса</v>
      </c>
      <c r="C80" s="40" t="str">
        <f t="shared" si="9"/>
        <v>Сырокопченое</v>
      </c>
      <c r="D80" s="40" t="s">
        <v>141</v>
      </c>
      <c r="E80" s="41" t="str">
        <f>VLOOKUP(Рецепты[[#This Row],[Состав]],Ингредиенты[],2,0)</f>
        <v>Специи</v>
      </c>
      <c r="F80" s="62">
        <v>1E-3</v>
      </c>
      <c r="G80" s="42">
        <f>IF(Рецепты[[#This Row],[%]]*1000&gt;0,Рецепты[[#This Row],[%]]*1000,"")</f>
        <v>1</v>
      </c>
      <c r="H80" s="43">
        <f>IFERROR(VLOOKUP(Рецепты[[#This Row],[Состав]],Ингредиенты!A:I,3,0)*Рецепты[[#This Row],[г]],"")</f>
        <v>1.1399999999999999</v>
      </c>
      <c r="I80" s="42">
        <f>СводРецепт!$A$1</f>
        <v>1000</v>
      </c>
      <c r="J80" s="42">
        <f>Рецепты[[#This Row],[%]]*Рецепты[[#This Row],[Масса]]</f>
        <v>1</v>
      </c>
      <c r="K80" s="43">
        <f>Рецепты[[#This Row],[Вес ингр-тов]]*VLOOKUP(Рецепты[[#This Row],[Состав]],Ингредиенты[],3,FALSE)</f>
        <v>1.1399999999999999</v>
      </c>
      <c r="L80" s="41">
        <f>IF(VLOOKUP(Рецепты[[#This Row],[Состав]],Ингредиенты[],4,0)="Основа",VLOOKUP(Рецепты[[#This Row],[Способ]],Способ[],2,0),0%)</f>
        <v>0</v>
      </c>
      <c r="M80" s="41">
        <f>VLOOKUP(Рецепты[[#This Row],[Способ]],Способ[],3,0)</f>
        <v>2</v>
      </c>
      <c r="N80" s="43">
        <f>Рецепты[[#This Row],[р]]*100%/(100%-Рецепты[[#This Row],[Потери, %]])+Рецепты[[#This Row],[Маржа]]*(Рецепты[[#This Row],[р]]*100%)/(100%-Рецепты[[#This Row],[Потери, %]])</f>
        <v>3.42</v>
      </c>
      <c r="O80" s="43">
        <f>Рецепты[[#This Row],[Цена за 1 кг]]-(Рецепты[[#This Row],[р]]*100%/(100%-Рецепты[[#This Row],[Потери, %]]))</f>
        <v>2.2800000000000002</v>
      </c>
      <c r="P80" s="40" t="s">
        <v>640</v>
      </c>
      <c r="Q80" s="40" t="s">
        <v>330</v>
      </c>
      <c r="R80" s="44" t="str">
        <f>VLOOKUP(Рецепты[[#This Row],[Состав]],Ингредиенты[],9,0)</f>
        <v>Да</v>
      </c>
      <c r="S80" s="52"/>
    </row>
    <row r="81" spans="1:21" x14ac:dyDescent="0.25">
      <c r="A81" s="40" t="s">
        <v>325</v>
      </c>
      <c r="B81" s="40" t="str">
        <f t="shared" si="8"/>
        <v>Колбаса</v>
      </c>
      <c r="C81" s="40" t="str">
        <f t="shared" si="9"/>
        <v>Сырокопченое</v>
      </c>
      <c r="D81" s="40" t="s">
        <v>153</v>
      </c>
      <c r="E81" s="41" t="str">
        <f>VLOOKUP(Рецепты[[#This Row],[Состав]],Ингредиенты[],2,0)</f>
        <v>Специи</v>
      </c>
      <c r="F81" s="62">
        <v>1E-3</v>
      </c>
      <c r="G81" s="42">
        <f>IF(Рецепты[[#This Row],[%]]*1000&gt;0,Рецепты[[#This Row],[%]]*1000,"")</f>
        <v>1</v>
      </c>
      <c r="H81" s="43">
        <f>IFERROR(VLOOKUP(Рецепты[[#This Row],[Состав]],Ингредиенты!A:I,3,0)*Рецепты[[#This Row],[г]],"")</f>
        <v>1.5133333333333334</v>
      </c>
      <c r="I81" s="42">
        <f>СводРецепт!$A$1</f>
        <v>1000</v>
      </c>
      <c r="J81" s="42">
        <f>Рецепты[[#This Row],[%]]*Рецепты[[#This Row],[Масса]]</f>
        <v>1</v>
      </c>
      <c r="K81" s="43">
        <f>Рецепты[[#This Row],[Вес ингр-тов]]*VLOOKUP(Рецепты[[#This Row],[Состав]],Ингредиенты[],3,FALSE)</f>
        <v>1.5133333333333334</v>
      </c>
      <c r="L81" s="41">
        <f>IF(VLOOKUP(Рецепты[[#This Row],[Состав]],Ингредиенты[],4,0)="Основа",VLOOKUP(Рецепты[[#This Row],[Способ]],Способ[],2,0),0%)</f>
        <v>0</v>
      </c>
      <c r="M81" s="41">
        <f>VLOOKUP(Рецепты[[#This Row],[Способ]],Способ[],3,0)</f>
        <v>2</v>
      </c>
      <c r="N81" s="43">
        <f>Рецепты[[#This Row],[р]]*100%/(100%-Рецепты[[#This Row],[Потери, %]])+Рецепты[[#This Row],[Маржа]]*(Рецепты[[#This Row],[р]]*100%)/(100%-Рецепты[[#This Row],[Потери, %]])</f>
        <v>4.54</v>
      </c>
      <c r="O81" s="43">
        <f>Рецепты[[#This Row],[Цена за 1 кг]]-(Рецепты[[#This Row],[р]]*100%/(100%-Рецепты[[#This Row],[Потери, %]]))</f>
        <v>3.0266666666666664</v>
      </c>
      <c r="P81" s="40" t="s">
        <v>640</v>
      </c>
      <c r="Q81" s="40" t="s">
        <v>331</v>
      </c>
      <c r="R81" s="44" t="str">
        <f>VLOOKUP(Рецепты[[#This Row],[Состав]],Ингредиенты[],9,0)</f>
        <v>Да</v>
      </c>
      <c r="S81" s="52"/>
    </row>
    <row r="82" spans="1:21" x14ac:dyDescent="0.25">
      <c r="A82" s="40" t="s">
        <v>325</v>
      </c>
      <c r="B82" s="40" t="str">
        <f t="shared" si="8"/>
        <v>Колбаса</v>
      </c>
      <c r="C82" s="40" t="str">
        <f t="shared" si="9"/>
        <v>Сырокопченое</v>
      </c>
      <c r="D82" s="40" t="s">
        <v>131</v>
      </c>
      <c r="E82" s="41" t="str">
        <f>VLOOKUP(Рецепты[[#This Row],[Состав]],Ингредиенты[],2,0)</f>
        <v>Специи</v>
      </c>
      <c r="F82" s="62">
        <v>2E-3</v>
      </c>
      <c r="G82" s="42">
        <f>IF(Рецепты[[#This Row],[%]]*1000&gt;0,Рецепты[[#This Row],[%]]*1000,"")</f>
        <v>2</v>
      </c>
      <c r="H82" s="43">
        <f>IFERROR(VLOOKUP(Рецепты[[#This Row],[Состав]],Ингредиенты!A:I,3,0)*Рецепты[[#This Row],[г]],"")</f>
        <v>0.16176470588235295</v>
      </c>
      <c r="I82" s="42">
        <f>СводРецепт!$A$1</f>
        <v>1000</v>
      </c>
      <c r="J82" s="42">
        <f>Рецепты[[#This Row],[%]]*Рецепты[[#This Row],[Масса]]</f>
        <v>2</v>
      </c>
      <c r="K82" s="43">
        <f>Рецепты[[#This Row],[Вес ингр-тов]]*VLOOKUP(Рецепты[[#This Row],[Состав]],Ингредиенты[],3,FALSE)</f>
        <v>0.16176470588235295</v>
      </c>
      <c r="L82" s="41">
        <f>IF(VLOOKUP(Рецепты[[#This Row],[Состав]],Ингредиенты[],4,0)="Основа",VLOOKUP(Рецепты[[#This Row],[Способ]],Способ[],2,0),0%)</f>
        <v>0</v>
      </c>
      <c r="M82" s="41">
        <f>VLOOKUP(Рецепты[[#This Row],[Способ]],Способ[],3,0)</f>
        <v>2</v>
      </c>
      <c r="N82" s="43">
        <f>Рецепты[[#This Row],[р]]*100%/(100%-Рецепты[[#This Row],[Потери, %]])+Рецепты[[#This Row],[Маржа]]*(Рецепты[[#This Row],[р]]*100%)/(100%-Рецепты[[#This Row],[Потери, %]])</f>
        <v>0.48529411764705888</v>
      </c>
      <c r="O82" s="43">
        <f>Рецепты[[#This Row],[Цена за 1 кг]]-(Рецепты[[#This Row],[р]]*100%/(100%-Рецепты[[#This Row],[Потери, %]]))</f>
        <v>0.32352941176470595</v>
      </c>
      <c r="P82" s="40" t="s">
        <v>640</v>
      </c>
      <c r="Q82" s="40" t="s">
        <v>332</v>
      </c>
      <c r="R82" s="44" t="str">
        <f>VLOOKUP(Рецепты[[#This Row],[Состав]],Ингредиенты[],9,0)</f>
        <v>Да</v>
      </c>
      <c r="S82" s="52"/>
    </row>
    <row r="83" spans="1:21" x14ac:dyDescent="0.25">
      <c r="A83" s="40" t="s">
        <v>325</v>
      </c>
      <c r="B83" s="40" t="str">
        <f>B82</f>
        <v>Колбаса</v>
      </c>
      <c r="C83" s="40" t="str">
        <f>C82</f>
        <v>Сырокопченое</v>
      </c>
      <c r="D83" s="40" t="s">
        <v>225</v>
      </c>
      <c r="E83" s="41" t="str">
        <f>VLOOKUP(Рецепты[[#This Row],[Состав]],Ингредиенты[],2,0)</f>
        <v>Оболочка</v>
      </c>
      <c r="F83" s="62">
        <v>1E-3</v>
      </c>
      <c r="G83" s="42">
        <f>IF(Рецепты[[#This Row],[%]]*1000&gt;0,Рецепты[[#This Row],[%]]*1000,"")</f>
        <v>1</v>
      </c>
      <c r="H83" s="43">
        <f>IFERROR(VLOOKUP(Рецепты[[#This Row],[Состав]],Ингредиенты!A:I,3,0)*Рецепты[[#This Row],[г]],"")</f>
        <v>32.760032760032757</v>
      </c>
      <c r="I83" s="42">
        <f>СводРецепт!$A$1</f>
        <v>1000</v>
      </c>
      <c r="J83" s="42">
        <f>Рецепты[[#This Row],[%]]*Рецепты[[#This Row],[Масса]]</f>
        <v>1</v>
      </c>
      <c r="K83" s="43">
        <f>Рецепты[[#This Row],[Вес ингр-тов]]*VLOOKUP(Рецепты[[#This Row],[Состав]],Ингредиенты[],3,FALSE)</f>
        <v>32.760032760032757</v>
      </c>
      <c r="L83" s="41">
        <f>IF(VLOOKUP(Рецепты[[#This Row],[Состав]],Ингредиенты[],4,0)="Основа",VLOOKUP(Рецепты[[#This Row],[Способ]],Способ[],2,0),0%)</f>
        <v>0</v>
      </c>
      <c r="M83" s="41">
        <f>VLOOKUP(Рецепты[[#This Row],[Способ]],Способ[],3,0)</f>
        <v>2</v>
      </c>
      <c r="N83" s="43">
        <f>Рецепты[[#This Row],[р]]*100%/(100%-Рецепты[[#This Row],[Потери, %]])+Рецепты[[#This Row],[Маржа]]*(Рецепты[[#This Row],[р]]*100%)/(100%-Рецепты[[#This Row],[Потери, %]])</f>
        <v>98.280098280098272</v>
      </c>
      <c r="O83" s="43">
        <f>Рецепты[[#This Row],[Цена за 1 кг]]-(Рецепты[[#This Row],[р]]*100%/(100%-Рецепты[[#This Row],[Потери, %]]))</f>
        <v>65.520065520065515</v>
      </c>
      <c r="P83" s="40" t="s">
        <v>640</v>
      </c>
      <c r="Q83" s="40" t="s">
        <v>333</v>
      </c>
      <c r="R83" s="44" t="str">
        <f>VLOOKUP(Рецепты[[#This Row],[Состав]],Ингредиенты[],9,0)</f>
        <v>Да</v>
      </c>
      <c r="S83" s="52"/>
    </row>
    <row r="84" spans="1:21" x14ac:dyDescent="0.25">
      <c r="A84" s="40" t="s">
        <v>334</v>
      </c>
      <c r="B84" s="40" t="str">
        <f>B82</f>
        <v>Колбаса</v>
      </c>
      <c r="C84" s="40" t="s">
        <v>27</v>
      </c>
      <c r="D84" s="40" t="s">
        <v>49</v>
      </c>
      <c r="E84" s="41" t="str">
        <f>VLOOKUP(Рецепты[[#This Row],[Состав]],Ингредиенты[],2,0)</f>
        <v>Свинина</v>
      </c>
      <c r="F84" s="62">
        <v>0.8</v>
      </c>
      <c r="G84" s="42">
        <f>IF(Рецепты[[#This Row],[%]]*1000&gt;0,Рецепты[[#This Row],[%]]*1000,"")</f>
        <v>800</v>
      </c>
      <c r="H84" s="43">
        <f>IFERROR(VLOOKUP(Рецепты[[#This Row],[Состав]],Ингредиенты!A:I,3,0)*Рецепты[[#This Row],[г]],"")</f>
        <v>295.2</v>
      </c>
      <c r="I84" s="42">
        <f>СводРецепт!$A$1</f>
        <v>1000</v>
      </c>
      <c r="J84" s="42">
        <f>Рецепты[[#This Row],[%]]*Рецепты[[#This Row],[Масса]]</f>
        <v>800</v>
      </c>
      <c r="K84" s="43">
        <f>Рецепты[[#This Row],[Вес ингр-тов]]*VLOOKUP(Рецепты[[#This Row],[Состав]],Ингредиенты[],3,FALSE)</f>
        <v>295.2</v>
      </c>
      <c r="L84" s="41">
        <f>IF(VLOOKUP(Рецепты[[#This Row],[Состав]],Ингредиенты[],4,0)="Основа",VLOOKUP(Рецепты[[#This Row],[Способ]],Способ[],2,0),0%)</f>
        <v>0.35</v>
      </c>
      <c r="M84" s="41">
        <f>VLOOKUP(Рецепты[[#This Row],[Способ]],Способ[],3,0)</f>
        <v>2</v>
      </c>
      <c r="N84" s="43">
        <f>Рецепты[[#This Row],[р]]*100%/(100%-Рецепты[[#This Row],[Потери, %]])+Рецепты[[#This Row],[Маржа]]*(Рецепты[[#This Row],[р]]*100%)/(100%-Рецепты[[#This Row],[Потери, %]])</f>
        <v>1362.4615384615383</v>
      </c>
      <c r="O84" s="43">
        <f>Рецепты[[#This Row],[Цена за 1 кг]]-(Рецепты[[#This Row],[р]]*100%/(100%-Рецепты[[#This Row],[Потери, %]]))</f>
        <v>908.30769230769215</v>
      </c>
      <c r="P84" s="40" t="s">
        <v>641</v>
      </c>
      <c r="Q84" s="40" t="s">
        <v>335</v>
      </c>
      <c r="R84" s="44" t="str">
        <f>VLOOKUP(Рецепты[[#This Row],[Состав]],Ингредиенты[],9,0)</f>
        <v>Да</v>
      </c>
      <c r="S84" s="52"/>
      <c r="T84" s="37"/>
      <c r="U84" s="37"/>
    </row>
    <row r="85" spans="1:21" x14ac:dyDescent="0.25">
      <c r="A85" s="40" t="s">
        <v>334</v>
      </c>
      <c r="B85" s="40" t="str">
        <f t="shared" ref="B85:B93" si="10">B84</f>
        <v>Колбаса</v>
      </c>
      <c r="C85" s="40" t="str">
        <f t="shared" ref="C85:C93" si="11">C84</f>
        <v>Сыровяленное</v>
      </c>
      <c r="D85" s="40" t="s">
        <v>60</v>
      </c>
      <c r="E85" s="41" t="str">
        <f>VLOOKUP(Рецепты[[#This Row],[Состав]],Ингредиенты[],2,0)</f>
        <v>Свинина</v>
      </c>
      <c r="F85" s="62">
        <v>0.2</v>
      </c>
      <c r="G85" s="42">
        <f>IF(Рецепты[[#This Row],[%]]*1000&gt;0,Рецепты[[#This Row],[%]]*1000,"")</f>
        <v>200</v>
      </c>
      <c r="H85" s="43">
        <f>IFERROR(VLOOKUP(Рецепты[[#This Row],[Состав]],Ингредиенты!A:I,3,0)*Рецепты[[#This Row],[г]],"")</f>
        <v>60</v>
      </c>
      <c r="I85" s="42">
        <f>СводРецепт!$A$1</f>
        <v>1000</v>
      </c>
      <c r="J85" s="42">
        <f>Рецепты[[#This Row],[%]]*Рецепты[[#This Row],[Масса]]</f>
        <v>200</v>
      </c>
      <c r="K85" s="43">
        <f>Рецепты[[#This Row],[Вес ингр-тов]]*VLOOKUP(Рецепты[[#This Row],[Состав]],Ингредиенты[],3,FALSE)</f>
        <v>60</v>
      </c>
      <c r="L85" s="41">
        <f>IF(VLOOKUP(Рецепты[[#This Row],[Состав]],Ингредиенты[],4,0)="Основа",VLOOKUP(Рецепты[[#This Row],[Способ]],Способ[],2,0),0%)</f>
        <v>0.35</v>
      </c>
      <c r="M85" s="41">
        <f>VLOOKUP(Рецепты[[#This Row],[Способ]],Способ[],3,0)</f>
        <v>2</v>
      </c>
      <c r="N85" s="43">
        <f>Рецепты[[#This Row],[р]]*100%/(100%-Рецепты[[#This Row],[Потери, %]])+Рецепты[[#This Row],[Маржа]]*(Рецепты[[#This Row],[р]]*100%)/(100%-Рецепты[[#This Row],[Потери, %]])</f>
        <v>276.92307692307691</v>
      </c>
      <c r="O85" s="43">
        <f>Рецепты[[#This Row],[Цена за 1 кг]]-(Рецепты[[#This Row],[р]]*100%/(100%-Рецепты[[#This Row],[Потери, %]]))</f>
        <v>184.61538461538458</v>
      </c>
      <c r="P85" s="40" t="s">
        <v>641</v>
      </c>
      <c r="Q85" s="40" t="s">
        <v>336</v>
      </c>
      <c r="R85" s="44" t="str">
        <f>VLOOKUP(Рецепты[[#This Row],[Состав]],Ингредиенты[],9,0)</f>
        <v>Нет</v>
      </c>
      <c r="S85" s="52"/>
      <c r="T85" s="37"/>
    </row>
    <row r="86" spans="1:21" x14ac:dyDescent="0.25">
      <c r="A86" s="40" t="s">
        <v>334</v>
      </c>
      <c r="B86" s="40" t="str">
        <f t="shared" si="10"/>
        <v>Колбаса</v>
      </c>
      <c r="C86" s="40" t="str">
        <f t="shared" si="11"/>
        <v>Сыровяленное</v>
      </c>
      <c r="D86" s="40" t="s">
        <v>125</v>
      </c>
      <c r="E86" s="41" t="str">
        <f>VLOOKUP(Рецепты[[#This Row],[Состав]],Ингредиенты[],2,0)</f>
        <v>Специи</v>
      </c>
      <c r="F86" s="62">
        <v>2.5999999999999999E-2</v>
      </c>
      <c r="G86" s="42">
        <f>IF(Рецепты[[#This Row],[%]]*1000&gt;0,Рецепты[[#This Row],[%]]*1000,"")</f>
        <v>26</v>
      </c>
      <c r="H86" s="43">
        <f>IFERROR(VLOOKUP(Рецепты[[#This Row],[Состав]],Ингредиенты!A:I,3,0)*Рецепты[[#This Row],[г]],"")</f>
        <v>3.3280000000000003</v>
      </c>
      <c r="I86" s="42">
        <f>СводРецепт!$A$1</f>
        <v>1000</v>
      </c>
      <c r="J86" s="42">
        <f>Рецепты[[#This Row],[%]]*Рецепты[[#This Row],[Масса]]</f>
        <v>26</v>
      </c>
      <c r="K86" s="43">
        <f>Рецепты[[#This Row],[Вес ингр-тов]]*VLOOKUP(Рецепты[[#This Row],[Состав]],Ингредиенты[],3,FALSE)</f>
        <v>3.3280000000000003</v>
      </c>
      <c r="L86" s="41">
        <f>IF(VLOOKUP(Рецепты[[#This Row],[Состав]],Ингредиенты[],4,0)="Основа",VLOOKUP(Рецепты[[#This Row],[Способ]],Способ[],2,0),0%)</f>
        <v>0</v>
      </c>
      <c r="M86" s="41">
        <f>VLOOKUP(Рецепты[[#This Row],[Способ]],Способ[],3,0)</f>
        <v>2</v>
      </c>
      <c r="N86" s="43">
        <f>Рецепты[[#This Row],[р]]*100%/(100%-Рецепты[[#This Row],[Потери, %]])+Рецепты[[#This Row],[Маржа]]*(Рецепты[[#This Row],[р]]*100%)/(100%-Рецепты[[#This Row],[Потери, %]])</f>
        <v>9.9840000000000018</v>
      </c>
      <c r="O86" s="43">
        <f>Рецепты[[#This Row],[Цена за 1 кг]]-(Рецепты[[#This Row],[р]]*100%/(100%-Рецепты[[#This Row],[Потери, %]]))</f>
        <v>6.6560000000000015</v>
      </c>
      <c r="P86" s="40" t="s">
        <v>641</v>
      </c>
      <c r="Q86" s="40" t="s">
        <v>337</v>
      </c>
      <c r="R86" s="44" t="str">
        <f>VLOOKUP(Рецепты[[#This Row],[Состав]],Ингредиенты[],9,0)</f>
        <v>Да</v>
      </c>
      <c r="S86" s="52"/>
      <c r="T86" s="37"/>
    </row>
    <row r="87" spans="1:21" x14ac:dyDescent="0.25">
      <c r="A87" s="40" t="s">
        <v>334</v>
      </c>
      <c r="B87" s="40" t="str">
        <f t="shared" si="10"/>
        <v>Колбаса</v>
      </c>
      <c r="C87" s="40" t="str">
        <f t="shared" si="11"/>
        <v>Сыровяленное</v>
      </c>
      <c r="D87" s="40" t="s">
        <v>137</v>
      </c>
      <c r="E87" s="41" t="str">
        <f>VLOOKUP(Рецепты[[#This Row],[Состав]],Ингредиенты[],2,0)</f>
        <v>Специи</v>
      </c>
      <c r="F87" s="62">
        <v>2E-3</v>
      </c>
      <c r="G87" s="42">
        <f>IF(Рецепты[[#This Row],[%]]*1000&gt;0,Рецепты[[#This Row],[%]]*1000,"")</f>
        <v>2</v>
      </c>
      <c r="H87" s="43">
        <f>IFERROR(VLOOKUP(Рецепты[[#This Row],[Состав]],Ингредиенты!A:I,3,0)*Рецепты[[#This Row],[г]],"")</f>
        <v>3.992</v>
      </c>
      <c r="I87" s="42">
        <f>СводРецепт!$A$1</f>
        <v>1000</v>
      </c>
      <c r="J87" s="42">
        <f>Рецепты[[#This Row],[%]]*Рецепты[[#This Row],[Масса]]</f>
        <v>2</v>
      </c>
      <c r="K87" s="43">
        <f>Рецепты[[#This Row],[Вес ингр-тов]]*VLOOKUP(Рецепты[[#This Row],[Состав]],Ингредиенты[],3,FALSE)</f>
        <v>3.992</v>
      </c>
      <c r="L87" s="41">
        <f>IF(VLOOKUP(Рецепты[[#This Row],[Состав]],Ингредиенты[],4,0)="Основа",VLOOKUP(Рецепты[[#This Row],[Способ]],Способ[],2,0),0%)</f>
        <v>0</v>
      </c>
      <c r="M87" s="41">
        <f>VLOOKUP(Рецепты[[#This Row],[Способ]],Способ[],3,0)</f>
        <v>2</v>
      </c>
      <c r="N87" s="43">
        <f>Рецепты[[#This Row],[р]]*100%/(100%-Рецепты[[#This Row],[Потери, %]])+Рецепты[[#This Row],[Маржа]]*(Рецепты[[#This Row],[р]]*100%)/(100%-Рецепты[[#This Row],[Потери, %]])</f>
        <v>11.975999999999999</v>
      </c>
      <c r="O87" s="43">
        <f>Рецепты[[#This Row],[Цена за 1 кг]]-(Рецепты[[#This Row],[р]]*100%/(100%-Рецепты[[#This Row],[Потери, %]]))</f>
        <v>7.9839999999999991</v>
      </c>
      <c r="P87" s="40" t="s">
        <v>641</v>
      </c>
      <c r="Q87" s="40" t="s">
        <v>338</v>
      </c>
      <c r="R87" s="44" t="str">
        <f>VLOOKUP(Рецепты[[#This Row],[Состав]],Ингредиенты[],9,0)</f>
        <v>Да</v>
      </c>
      <c r="S87" s="52"/>
      <c r="T87" s="37"/>
    </row>
    <row r="88" spans="1:21" x14ac:dyDescent="0.25">
      <c r="A88" s="40" t="s">
        <v>334</v>
      </c>
      <c r="B88" s="40" t="str">
        <f t="shared" si="10"/>
        <v>Колбаса</v>
      </c>
      <c r="C88" s="40" t="str">
        <f t="shared" si="11"/>
        <v>Сыровяленное</v>
      </c>
      <c r="D88" s="40" t="s">
        <v>151</v>
      </c>
      <c r="E88" s="41" t="str">
        <f>VLOOKUP(Рецепты[[#This Row],[Состав]],Ингредиенты[],2,0)</f>
        <v>Специи</v>
      </c>
      <c r="F88" s="62">
        <v>1E-3</v>
      </c>
      <c r="G88" s="42">
        <f>IF(Рецепты[[#This Row],[%]]*1000&gt;0,Рецепты[[#This Row],[%]]*1000,"")</f>
        <v>1</v>
      </c>
      <c r="H88" s="43">
        <f>IFERROR(VLOOKUP(Рецепты[[#This Row],[Состав]],Ингредиенты!A:I,3,0)*Рецепты[[#This Row],[г]],"")</f>
        <v>0.8783333333333333</v>
      </c>
      <c r="I88" s="42">
        <f>СводРецепт!$A$1</f>
        <v>1000</v>
      </c>
      <c r="J88" s="42">
        <f>Рецепты[[#This Row],[%]]*Рецепты[[#This Row],[Масса]]</f>
        <v>1</v>
      </c>
      <c r="K88" s="43">
        <f>Рецепты[[#This Row],[Вес ингр-тов]]*VLOOKUP(Рецепты[[#This Row],[Состав]],Ингредиенты[],3,FALSE)</f>
        <v>0.8783333333333333</v>
      </c>
      <c r="L88" s="41">
        <f>IF(VLOOKUP(Рецепты[[#This Row],[Состав]],Ингредиенты[],4,0)="Основа",VLOOKUP(Рецепты[[#This Row],[Способ]],Способ[],2,0),0%)</f>
        <v>0</v>
      </c>
      <c r="M88" s="41">
        <f>VLOOKUP(Рецепты[[#This Row],[Способ]],Способ[],3,0)</f>
        <v>2</v>
      </c>
      <c r="N88" s="43">
        <f>Рецепты[[#This Row],[р]]*100%/(100%-Рецепты[[#This Row],[Потери, %]])+Рецепты[[#This Row],[Маржа]]*(Рецепты[[#This Row],[р]]*100%)/(100%-Рецепты[[#This Row],[Потери, %]])</f>
        <v>2.6349999999999998</v>
      </c>
      <c r="O88" s="43">
        <f>Рецепты[[#This Row],[Цена за 1 кг]]-(Рецепты[[#This Row],[р]]*100%/(100%-Рецепты[[#This Row],[Потери, %]]))</f>
        <v>1.7566666666666664</v>
      </c>
      <c r="P88" s="40" t="s">
        <v>641</v>
      </c>
      <c r="Q88" s="40" t="s">
        <v>339</v>
      </c>
      <c r="R88" s="44" t="str">
        <f>VLOOKUP(Рецепты[[#This Row],[Состав]],Ингредиенты[],9,0)</f>
        <v>Да</v>
      </c>
      <c r="S88" s="52"/>
      <c r="T88" s="37"/>
    </row>
    <row r="89" spans="1:21" x14ac:dyDescent="0.25">
      <c r="A89" s="40" t="s">
        <v>334</v>
      </c>
      <c r="B89" s="40" t="str">
        <f t="shared" si="10"/>
        <v>Колбаса</v>
      </c>
      <c r="C89" s="40" t="str">
        <f t="shared" si="11"/>
        <v>Сыровяленное</v>
      </c>
      <c r="D89" s="40" t="s">
        <v>149</v>
      </c>
      <c r="E89" s="41" t="str">
        <f>VLOOKUP(Рецепты[[#This Row],[Состав]],Ингредиенты[],2,0)</f>
        <v>Специи</v>
      </c>
      <c r="F89" s="62">
        <v>1E-3</v>
      </c>
      <c r="G89" s="42">
        <f>IF(Рецепты[[#This Row],[%]]*1000&gt;0,Рецепты[[#This Row],[%]]*1000,"")</f>
        <v>1</v>
      </c>
      <c r="H89" s="43">
        <f>IFERROR(VLOOKUP(Рецепты[[#This Row],[Состав]],Ингредиенты!A:I,3,0)*Рецепты[[#This Row],[г]],"")</f>
        <v>2.0772727272727272</v>
      </c>
      <c r="I89" s="42">
        <f>СводРецепт!$A$1</f>
        <v>1000</v>
      </c>
      <c r="J89" s="42">
        <f>Рецепты[[#This Row],[%]]*Рецепты[[#This Row],[Масса]]</f>
        <v>1</v>
      </c>
      <c r="K89" s="43">
        <f>Рецепты[[#This Row],[Вес ингр-тов]]*VLOOKUP(Рецепты[[#This Row],[Состав]],Ингредиенты[],3,FALSE)</f>
        <v>2.0772727272727272</v>
      </c>
      <c r="L89" s="41">
        <f>IF(VLOOKUP(Рецепты[[#This Row],[Состав]],Ингредиенты[],4,0)="Основа",VLOOKUP(Рецепты[[#This Row],[Способ]],Способ[],2,0),0%)</f>
        <v>0</v>
      </c>
      <c r="M89" s="41">
        <f>VLOOKUP(Рецепты[[#This Row],[Способ]],Способ[],3,0)</f>
        <v>2</v>
      </c>
      <c r="N89" s="43">
        <f>Рецепты[[#This Row],[р]]*100%/(100%-Рецепты[[#This Row],[Потери, %]])+Рецепты[[#This Row],[Маржа]]*(Рецепты[[#This Row],[р]]*100%)/(100%-Рецепты[[#This Row],[Потери, %]])</f>
        <v>6.2318181818181815</v>
      </c>
      <c r="O89" s="43">
        <f>Рецепты[[#This Row],[Цена за 1 кг]]-(Рецепты[[#This Row],[р]]*100%/(100%-Рецепты[[#This Row],[Потери, %]]))</f>
        <v>4.1545454545454543</v>
      </c>
      <c r="P89" s="40" t="s">
        <v>641</v>
      </c>
      <c r="Q89" s="40" t="s">
        <v>340</v>
      </c>
      <c r="R89" s="44" t="str">
        <f>VLOOKUP(Рецепты[[#This Row],[Состав]],Ингредиенты[],9,0)</f>
        <v>Да</v>
      </c>
      <c r="S89" s="52"/>
      <c r="T89" s="37"/>
    </row>
    <row r="90" spans="1:21" x14ac:dyDescent="0.25">
      <c r="A90" s="40" t="s">
        <v>334</v>
      </c>
      <c r="B90" s="40" t="str">
        <f t="shared" si="10"/>
        <v>Колбаса</v>
      </c>
      <c r="C90" s="40" t="str">
        <f t="shared" si="11"/>
        <v>Сыровяленное</v>
      </c>
      <c r="D90" s="40" t="s">
        <v>171</v>
      </c>
      <c r="E90" s="41" t="str">
        <f>VLOOKUP(Рецепты[[#This Row],[Состав]],Ингредиенты[],2,0)</f>
        <v>Специи</v>
      </c>
      <c r="F90" s="62">
        <v>1E-3</v>
      </c>
      <c r="G90" s="42">
        <f>IF(Рецепты[[#This Row],[%]]*1000&gt;0,Рецепты[[#This Row],[%]]*1000,"")</f>
        <v>1</v>
      </c>
      <c r="H90" s="43">
        <f>IFERROR(VLOOKUP(Рецепты[[#This Row],[Состав]],Ингредиенты!A:I,3,0)*Рецепты[[#This Row],[г]],"")</f>
        <v>1.4105263157894736</v>
      </c>
      <c r="I90" s="42">
        <f>СводРецепт!$A$1</f>
        <v>1000</v>
      </c>
      <c r="J90" s="42">
        <f>Рецепты[[#This Row],[%]]*Рецепты[[#This Row],[Масса]]</f>
        <v>1</v>
      </c>
      <c r="K90" s="43">
        <f>Рецепты[[#This Row],[Вес ингр-тов]]*VLOOKUP(Рецепты[[#This Row],[Состав]],Ингредиенты[],3,FALSE)</f>
        <v>1.4105263157894736</v>
      </c>
      <c r="L90" s="41">
        <f>IF(VLOOKUP(Рецепты[[#This Row],[Состав]],Ингредиенты[],4,0)="Основа",VLOOKUP(Рецепты[[#This Row],[Способ]],Способ[],2,0),0%)</f>
        <v>0</v>
      </c>
      <c r="M90" s="41">
        <f>VLOOKUP(Рецепты[[#This Row],[Способ]],Способ[],3,0)</f>
        <v>2</v>
      </c>
      <c r="N90" s="43">
        <f>Рецепты[[#This Row],[р]]*100%/(100%-Рецепты[[#This Row],[Потери, %]])+Рецепты[[#This Row],[Маржа]]*(Рецепты[[#This Row],[р]]*100%)/(100%-Рецепты[[#This Row],[Потери, %]])</f>
        <v>4.2315789473684209</v>
      </c>
      <c r="O90" s="43">
        <f>Рецепты[[#This Row],[Цена за 1 кг]]-(Рецепты[[#This Row],[р]]*100%/(100%-Рецепты[[#This Row],[Потери, %]]))</f>
        <v>2.8210526315789473</v>
      </c>
      <c r="P90" s="40" t="s">
        <v>641</v>
      </c>
      <c r="Q90" s="40" t="s">
        <v>341</v>
      </c>
      <c r="R90" s="44" t="str">
        <f>VLOOKUP(Рецепты[[#This Row],[Состав]],Ингредиенты[],9,0)</f>
        <v>Да</v>
      </c>
      <c r="S90" s="52"/>
      <c r="T90" s="37"/>
    </row>
    <row r="91" spans="1:21" x14ac:dyDescent="0.25">
      <c r="A91" s="40" t="s">
        <v>334</v>
      </c>
      <c r="B91" s="40" t="str">
        <f t="shared" si="10"/>
        <v>Колбаса</v>
      </c>
      <c r="C91" s="40" t="str">
        <f t="shared" si="11"/>
        <v>Сыровяленное</v>
      </c>
      <c r="D91" s="40" t="s">
        <v>102</v>
      </c>
      <c r="E91" s="41" t="str">
        <f>VLOOKUP(Рецепты[[#This Row],[Состав]],Ингредиенты[],2,0)</f>
        <v>Добавки</v>
      </c>
      <c r="F91" s="62">
        <v>0.03</v>
      </c>
      <c r="G91" s="42">
        <f>IF(Рецепты[[#This Row],[%]]*1000&gt;0,Рецепты[[#This Row],[%]]*1000,"")</f>
        <v>30</v>
      </c>
      <c r="H91" s="43">
        <f>IFERROR(VLOOKUP(Рецепты[[#This Row],[Состав]],Ингредиенты!A:I,3,0)*Рецепты[[#This Row],[г]],"")</f>
        <v>15.51</v>
      </c>
      <c r="I91" s="42">
        <f>СводРецепт!$A$1</f>
        <v>1000</v>
      </c>
      <c r="J91" s="42">
        <f>Рецепты[[#This Row],[%]]*Рецепты[[#This Row],[Масса]]</f>
        <v>30</v>
      </c>
      <c r="K91" s="43">
        <f>Рецепты[[#This Row],[Вес ингр-тов]]*VLOOKUP(Рецепты[[#This Row],[Состав]],Ингредиенты[],3,FALSE)</f>
        <v>15.51</v>
      </c>
      <c r="L91" s="41">
        <f>IF(VLOOKUP(Рецепты[[#This Row],[Состав]],Ингредиенты[],4,0)="Основа",VLOOKUP(Рецепты[[#This Row],[Способ]],Способ[],2,0),0%)</f>
        <v>0</v>
      </c>
      <c r="M91" s="41">
        <f>VLOOKUP(Рецепты[[#This Row],[Способ]],Способ[],3,0)</f>
        <v>2</v>
      </c>
      <c r="N91" s="43">
        <f>Рецепты[[#This Row],[р]]*100%/(100%-Рецепты[[#This Row],[Потери, %]])+Рецепты[[#This Row],[Маржа]]*(Рецепты[[#This Row],[р]]*100%)/(100%-Рецепты[[#This Row],[Потери, %]])</f>
        <v>46.53</v>
      </c>
      <c r="O91" s="43">
        <f>Рецепты[[#This Row],[Цена за 1 кг]]-(Рецепты[[#This Row],[р]]*100%/(100%-Рецепты[[#This Row],[Потери, %]]))</f>
        <v>31.020000000000003</v>
      </c>
      <c r="P91" s="40" t="s">
        <v>641</v>
      </c>
      <c r="Q91" s="40" t="s">
        <v>342</v>
      </c>
      <c r="R91" s="44" t="str">
        <f>VLOOKUP(Рецепты[[#This Row],[Состав]],Ингредиенты[],9,0)</f>
        <v>Да</v>
      </c>
      <c r="S91" s="52"/>
      <c r="T91" s="37"/>
    </row>
    <row r="92" spans="1:21" x14ac:dyDescent="0.25">
      <c r="A92" s="40" t="s">
        <v>334</v>
      </c>
      <c r="B92" s="40" t="str">
        <f t="shared" si="10"/>
        <v>Колбаса</v>
      </c>
      <c r="C92" s="40" t="str">
        <f t="shared" si="11"/>
        <v>Сыровяленное</v>
      </c>
      <c r="D92" s="40" t="s">
        <v>173</v>
      </c>
      <c r="E92" s="41" t="str">
        <f>VLOOKUP(Рецепты[[#This Row],[Состав]],Ингредиенты[],2,0)</f>
        <v>Специи</v>
      </c>
      <c r="F92" s="62">
        <v>5.0000000000000001E-4</v>
      </c>
      <c r="G92" s="42">
        <f>IF(Рецепты[[#This Row],[%]]*1000&gt;0,Рецепты[[#This Row],[%]]*1000,"")</f>
        <v>0.5</v>
      </c>
      <c r="H92" s="43">
        <f>IFERROR(VLOOKUP(Рецепты[[#This Row],[Состав]],Ингредиенты!A:I,3,0)*Рецепты[[#This Row],[г]],"")</f>
        <v>2.48</v>
      </c>
      <c r="I92" s="42">
        <f>СводРецепт!$A$1</f>
        <v>1000</v>
      </c>
      <c r="J92" s="42">
        <f>Рецепты[[#This Row],[%]]*Рецепты[[#This Row],[Масса]]</f>
        <v>0.5</v>
      </c>
      <c r="K92" s="43">
        <f>Рецепты[[#This Row],[Вес ингр-тов]]*VLOOKUP(Рецепты[[#This Row],[Состав]],Ингредиенты[],3,FALSE)</f>
        <v>2.48</v>
      </c>
      <c r="L92" s="41">
        <f>IF(VLOOKUP(Рецепты[[#This Row],[Состав]],Ингредиенты[],4,0)="Основа",VLOOKUP(Рецепты[[#This Row],[Способ]],Способ[],2,0),0%)</f>
        <v>0</v>
      </c>
      <c r="M92" s="41">
        <f>VLOOKUP(Рецепты[[#This Row],[Способ]],Способ[],3,0)</f>
        <v>2</v>
      </c>
      <c r="N92" s="43">
        <f>Рецепты[[#This Row],[р]]*100%/(100%-Рецепты[[#This Row],[Потери, %]])+Рецепты[[#This Row],[Маржа]]*(Рецепты[[#This Row],[р]]*100%)/(100%-Рецепты[[#This Row],[Потери, %]])</f>
        <v>7.4399999999999995</v>
      </c>
      <c r="O92" s="43">
        <f>Рецепты[[#This Row],[Цена за 1 кг]]-(Рецепты[[#This Row],[р]]*100%/(100%-Рецепты[[#This Row],[Потери, %]]))</f>
        <v>4.9599999999999991</v>
      </c>
      <c r="P92" s="40" t="s">
        <v>641</v>
      </c>
      <c r="Q92" s="40" t="s">
        <v>343</v>
      </c>
      <c r="R92" s="44" t="str">
        <f>VLOOKUP(Рецепты[[#This Row],[Состав]],Ингредиенты[],9,0)</f>
        <v>Да</v>
      </c>
      <c r="S92" s="52"/>
      <c r="T92" s="37"/>
    </row>
    <row r="93" spans="1:21" x14ac:dyDescent="0.25">
      <c r="A93" s="40" t="s">
        <v>334</v>
      </c>
      <c r="B93" s="40" t="str">
        <f t="shared" si="10"/>
        <v>Колбаса</v>
      </c>
      <c r="C93" s="40" t="str">
        <f t="shared" si="11"/>
        <v>Сыровяленное</v>
      </c>
      <c r="D93" s="40" t="s">
        <v>175</v>
      </c>
      <c r="E93" s="41" t="str">
        <f>VLOOKUP(Рецепты[[#This Row],[Состав]],Ингредиенты[],2,0)</f>
        <v>Специи</v>
      </c>
      <c r="F93" s="62">
        <v>5.0000000000000001E-3</v>
      </c>
      <c r="G93" s="42">
        <f>IF(Рецепты[[#This Row],[%]]*1000&gt;0,Рецепты[[#This Row],[%]]*1000,"")</f>
        <v>5</v>
      </c>
      <c r="H93" s="43">
        <f>IFERROR(VLOOKUP(Рецепты[[#This Row],[Состав]],Ингредиенты!A:I,3,0)*Рецепты[[#This Row],[г]],"")</f>
        <v>9.5499999999999989</v>
      </c>
      <c r="I93" s="42">
        <f>СводРецепт!$A$1</f>
        <v>1000</v>
      </c>
      <c r="J93" s="42">
        <f>Рецепты[[#This Row],[%]]*Рецепты[[#This Row],[Масса]]</f>
        <v>5</v>
      </c>
      <c r="K93" s="43">
        <f>Рецепты[[#This Row],[Вес ингр-тов]]*VLOOKUP(Рецепты[[#This Row],[Состав]],Ингредиенты[],3,FALSE)</f>
        <v>9.5499999999999989</v>
      </c>
      <c r="L93" s="41">
        <f>IF(VLOOKUP(Рецепты[[#This Row],[Состав]],Ингредиенты[],4,0)="Основа",VLOOKUP(Рецепты[[#This Row],[Способ]],Способ[],2,0),0%)</f>
        <v>0</v>
      </c>
      <c r="M93" s="41">
        <f>VLOOKUP(Рецепты[[#This Row],[Способ]],Способ[],3,0)</f>
        <v>2</v>
      </c>
      <c r="N93" s="43">
        <f>Рецепты[[#This Row],[р]]*100%/(100%-Рецепты[[#This Row],[Потери, %]])+Рецепты[[#This Row],[Маржа]]*(Рецепты[[#This Row],[р]]*100%)/(100%-Рецепты[[#This Row],[Потери, %]])</f>
        <v>28.65</v>
      </c>
      <c r="O93" s="43">
        <f>Рецепты[[#This Row],[Цена за 1 кг]]-(Рецепты[[#This Row],[р]]*100%/(100%-Рецепты[[#This Row],[Потери, %]]))</f>
        <v>19.100000000000001</v>
      </c>
      <c r="P93" s="40" t="s">
        <v>641</v>
      </c>
      <c r="Q93" s="40" t="s">
        <v>344</v>
      </c>
      <c r="R93" s="44" t="str">
        <f>VLOOKUP(Рецепты[[#This Row],[Состав]],Ингредиенты[],9,0)</f>
        <v>Да</v>
      </c>
      <c r="S93" s="52"/>
      <c r="T93" s="37"/>
    </row>
    <row r="94" spans="1:21" x14ac:dyDescent="0.25">
      <c r="A94" s="40" t="s">
        <v>334</v>
      </c>
      <c r="B94" s="40" t="str">
        <f>B93</f>
        <v>Колбаса</v>
      </c>
      <c r="C94" s="40" t="str">
        <f>C93</f>
        <v>Сыровяленное</v>
      </c>
      <c r="D94" s="40" t="s">
        <v>225</v>
      </c>
      <c r="E94" s="41" t="str">
        <f>VLOOKUP(Рецепты[[#This Row],[Состав]],Ингредиенты[],2,0)</f>
        <v>Оболочка</v>
      </c>
      <c r="F94" s="62">
        <v>1E-3</v>
      </c>
      <c r="G94" s="42">
        <f>IF(Рецепты[[#This Row],[%]]*1000&gt;0,Рецепты[[#This Row],[%]]*1000,"")</f>
        <v>1</v>
      </c>
      <c r="H94" s="43">
        <f>IFERROR(VLOOKUP(Рецепты[[#This Row],[Состав]],Ингредиенты!A:I,3,0)*Рецепты[[#This Row],[г]],"")</f>
        <v>32.760032760032757</v>
      </c>
      <c r="I94" s="42">
        <f>СводРецепт!$A$1</f>
        <v>1000</v>
      </c>
      <c r="J94" s="42">
        <f>Рецепты[[#This Row],[%]]*Рецепты[[#This Row],[Масса]]</f>
        <v>1</v>
      </c>
      <c r="K94" s="43">
        <f>Рецепты[[#This Row],[Вес ингр-тов]]*VLOOKUP(Рецепты[[#This Row],[Состав]],Ингредиенты[],3,FALSE)</f>
        <v>32.760032760032757</v>
      </c>
      <c r="L94" s="41">
        <f>IF(VLOOKUP(Рецепты[[#This Row],[Состав]],Ингредиенты[],4,0)="Основа",VLOOKUP(Рецепты[[#This Row],[Способ]],Способ[],2,0),0%)</f>
        <v>0</v>
      </c>
      <c r="M94" s="41">
        <f>VLOOKUP(Рецепты[[#This Row],[Способ]],Способ[],3,0)</f>
        <v>2</v>
      </c>
      <c r="N94" s="43">
        <f>Рецепты[[#This Row],[р]]*100%/(100%-Рецепты[[#This Row],[Потери, %]])+Рецепты[[#This Row],[Маржа]]*(Рецепты[[#This Row],[р]]*100%)/(100%-Рецепты[[#This Row],[Потери, %]])</f>
        <v>98.280098280098272</v>
      </c>
      <c r="O94" s="43">
        <f>Рецепты[[#This Row],[Цена за 1 кг]]-(Рецепты[[#This Row],[р]]*100%/(100%-Рецепты[[#This Row],[Потери, %]]))</f>
        <v>65.520065520065515</v>
      </c>
      <c r="P94" s="40" t="s">
        <v>641</v>
      </c>
      <c r="Q94" s="40" t="s">
        <v>345</v>
      </c>
      <c r="R94" s="44" t="str">
        <f>VLOOKUP(Рецепты[[#This Row],[Состав]],Ингредиенты[],9,0)</f>
        <v>Да</v>
      </c>
      <c r="S94" s="52"/>
      <c r="T94" s="37"/>
    </row>
    <row r="95" spans="1:21" x14ac:dyDescent="0.25">
      <c r="A95" s="40" t="s">
        <v>346</v>
      </c>
      <c r="B95" s="40" t="s">
        <v>13</v>
      </c>
      <c r="C95" s="40" t="s">
        <v>18</v>
      </c>
      <c r="D95" s="40" t="s">
        <v>74</v>
      </c>
      <c r="E95" s="41" t="str">
        <f>VLOOKUP(Рецепты[[#This Row],[Состав]],Ингредиенты[],2,0)</f>
        <v>Рыба</v>
      </c>
      <c r="F95" s="62">
        <v>1</v>
      </c>
      <c r="G95" s="42">
        <f>IF(Рецепты[[#This Row],[%]]*1000&gt;0,Рецепты[[#This Row],[%]]*1000,"")</f>
        <v>1000</v>
      </c>
      <c r="H95" s="43">
        <f>IFERROR(VLOOKUP(Рецепты[[#This Row],[Состав]],Ингредиенты!A:I,3,0)*Рецепты[[#This Row],[г]],"")</f>
        <v>342.85714285714283</v>
      </c>
      <c r="I95" s="42">
        <f>СводРецепт!$A$1</f>
        <v>1000</v>
      </c>
      <c r="J95" s="42">
        <f>Рецепты[[#This Row],[%]]*Рецепты[[#This Row],[Масса]]</f>
        <v>1000</v>
      </c>
      <c r="K95" s="43">
        <f>Рецепты[[#This Row],[Вес ингр-тов]]*VLOOKUP(Рецепты[[#This Row],[Состав]],Ингредиенты[],3,FALSE)</f>
        <v>342.85714285714283</v>
      </c>
      <c r="L95" s="41">
        <f>IF(VLOOKUP(Рецепты[[#This Row],[Состав]],Ингредиенты[],4,0)="Основа",VLOOKUP(Рецепты[[#This Row],[Способ]],Способ[],2,0),0%)</f>
        <v>0.05</v>
      </c>
      <c r="M95" s="41">
        <f>VLOOKUP(Рецепты[[#This Row],[Способ]],Способ[],3,0)</f>
        <v>0.5</v>
      </c>
      <c r="N95" s="43">
        <f>Рецепты[[#This Row],[р]]*100%/(100%-Рецепты[[#This Row],[Потери, %]])+Рецепты[[#This Row],[Маржа]]*(Рецепты[[#This Row],[р]]*100%)/(100%-Рецепты[[#This Row],[Потери, %]])</f>
        <v>541.35338345864659</v>
      </c>
      <c r="O95" s="43">
        <f>Рецепты[[#This Row],[Цена за 1 кг]]-(Рецепты[[#This Row],[р]]*100%/(100%-Рецепты[[#This Row],[Потери, %]]))</f>
        <v>180.45112781954884</v>
      </c>
      <c r="P95" s="40" t="s">
        <v>642</v>
      </c>
      <c r="Q95" s="40" t="s">
        <v>347</v>
      </c>
      <c r="R95" s="44" t="str">
        <f>VLOOKUP(Рецепты[[#This Row],[Состав]],Ингредиенты[],9,0)</f>
        <v>Нет</v>
      </c>
      <c r="S95" s="52"/>
    </row>
    <row r="96" spans="1:21" x14ac:dyDescent="0.25">
      <c r="A96" s="40" t="s">
        <v>346</v>
      </c>
      <c r="B96" s="40" t="str">
        <f t="shared" ref="B96:B107" si="12">B95</f>
        <v>Рыба</v>
      </c>
      <c r="C96" s="40" t="str">
        <f t="shared" ref="C96:C107" si="13">C95</f>
        <v>Соленое</v>
      </c>
      <c r="D96" s="40" t="s">
        <v>93</v>
      </c>
      <c r="E96" s="41" t="str">
        <f>VLOOKUP(Рецепты[[#This Row],[Состав]],Ингредиенты[],2,0)</f>
        <v>Добавки</v>
      </c>
      <c r="F96" s="62">
        <v>1.43</v>
      </c>
      <c r="G96" s="42">
        <f>IF(Рецепты[[#This Row],[%]]*1000&gt;0,Рецепты[[#This Row],[%]]*1000,"")</f>
        <v>1430</v>
      </c>
      <c r="H96" s="43">
        <f>IFERROR(VLOOKUP(Рецепты[[#This Row],[Состав]],Ингредиенты!A:I,3,0)*Рецепты[[#This Row],[г]],"")</f>
        <v>1.43</v>
      </c>
      <c r="I96" s="42">
        <f>СводРецепт!$A$1</f>
        <v>1000</v>
      </c>
      <c r="J96" s="42">
        <f>Рецепты[[#This Row],[%]]*Рецепты[[#This Row],[Масса]]</f>
        <v>1430</v>
      </c>
      <c r="K96" s="43">
        <f>Рецепты[[#This Row],[Вес ингр-тов]]*VLOOKUP(Рецепты[[#This Row],[Состав]],Ингредиенты[],3,FALSE)</f>
        <v>1.43</v>
      </c>
      <c r="L96" s="41">
        <f>IF(VLOOKUP(Рецепты[[#This Row],[Состав]],Ингредиенты[],4,0)="Основа",VLOOKUP(Рецепты[[#This Row],[Способ]],Способ[],2,0),0%)</f>
        <v>0</v>
      </c>
      <c r="M96" s="41">
        <f>VLOOKUP(Рецепты[[#This Row],[Способ]],Способ[],3,0)</f>
        <v>0.5</v>
      </c>
      <c r="N96" s="43">
        <f>Рецепты[[#This Row],[р]]*100%/(100%-Рецепты[[#This Row],[Потери, %]])+Рецепты[[#This Row],[Маржа]]*(Рецепты[[#This Row],[р]]*100%)/(100%-Рецепты[[#This Row],[Потери, %]])</f>
        <v>2.145</v>
      </c>
      <c r="O96" s="43">
        <f>Рецепты[[#This Row],[Цена за 1 кг]]-(Рецепты[[#This Row],[р]]*100%/(100%-Рецепты[[#This Row],[Потери, %]]))</f>
        <v>0.71500000000000008</v>
      </c>
      <c r="P96" s="40" t="s">
        <v>642</v>
      </c>
      <c r="Q96" s="40" t="s">
        <v>348</v>
      </c>
      <c r="R96" s="44" t="str">
        <f>VLOOKUP(Рецепты[[#This Row],[Состав]],Ингредиенты[],9,0)</f>
        <v>Да</v>
      </c>
      <c r="S96" s="52"/>
    </row>
    <row r="97" spans="1:19" x14ac:dyDescent="0.25">
      <c r="A97" s="40" t="s">
        <v>346</v>
      </c>
      <c r="B97" s="40" t="str">
        <f t="shared" si="12"/>
        <v>Рыба</v>
      </c>
      <c r="C97" s="40" t="str">
        <f t="shared" si="13"/>
        <v>Соленое</v>
      </c>
      <c r="D97" s="40" t="s">
        <v>128</v>
      </c>
      <c r="E97" s="41" t="str">
        <f>VLOOKUP(Рецепты[[#This Row],[Состав]],Ингредиенты[],2,0)</f>
        <v>Специи</v>
      </c>
      <c r="F97" s="62">
        <v>0.13</v>
      </c>
      <c r="G97" s="42">
        <f>IF(Рецепты[[#This Row],[%]]*1000&gt;0,Рецепты[[#This Row],[%]]*1000,"")</f>
        <v>130</v>
      </c>
      <c r="H97" s="43">
        <f>IFERROR(VLOOKUP(Рецепты[[#This Row],[Состав]],Ингредиенты!A:I,3,0)*Рецепты[[#This Row],[г]],"")</f>
        <v>5.0049999999999999</v>
      </c>
      <c r="I97" s="42">
        <f>СводРецепт!$A$1</f>
        <v>1000</v>
      </c>
      <c r="J97" s="42">
        <f>Рецепты[[#This Row],[%]]*Рецепты[[#This Row],[Масса]]</f>
        <v>130</v>
      </c>
      <c r="K97" s="43">
        <f>Рецепты[[#This Row],[Вес ингр-тов]]*VLOOKUP(Рецепты[[#This Row],[Состав]],Ингредиенты[],3,FALSE)</f>
        <v>5.0049999999999999</v>
      </c>
      <c r="L97" s="41">
        <f>IF(VLOOKUP(Рецепты[[#This Row],[Состав]],Ингредиенты[],4,0)="Основа",VLOOKUP(Рецепты[[#This Row],[Способ]],Способ[],2,0),0%)</f>
        <v>0</v>
      </c>
      <c r="M97" s="41">
        <f>VLOOKUP(Рецепты[[#This Row],[Способ]],Способ[],3,0)</f>
        <v>0.5</v>
      </c>
      <c r="N97" s="43">
        <f>Рецепты[[#This Row],[р]]*100%/(100%-Рецепты[[#This Row],[Потери, %]])+Рецепты[[#This Row],[Маржа]]*(Рецепты[[#This Row],[р]]*100%)/(100%-Рецепты[[#This Row],[Потери, %]])</f>
        <v>7.5075000000000003</v>
      </c>
      <c r="O97" s="43">
        <f>Рецепты[[#This Row],[Цена за 1 кг]]-(Рецепты[[#This Row],[р]]*100%/(100%-Рецепты[[#This Row],[Потери, %]]))</f>
        <v>2.5025000000000004</v>
      </c>
      <c r="P97" s="40" t="s">
        <v>642</v>
      </c>
      <c r="Q97" s="40" t="s">
        <v>349</v>
      </c>
      <c r="R97" s="44" t="str">
        <f>VLOOKUP(Рецепты[[#This Row],[Состав]],Ингредиенты[],9,0)</f>
        <v>Да</v>
      </c>
      <c r="S97" s="52"/>
    </row>
    <row r="98" spans="1:19" x14ac:dyDescent="0.25">
      <c r="A98" s="40" t="s">
        <v>346</v>
      </c>
      <c r="B98" s="40" t="str">
        <f t="shared" si="12"/>
        <v>Рыба</v>
      </c>
      <c r="C98" s="40" t="str">
        <f t="shared" si="13"/>
        <v>Соленое</v>
      </c>
      <c r="D98" s="40" t="s">
        <v>189</v>
      </c>
      <c r="E98" s="41" t="str">
        <f>VLOOKUP(Рецепты[[#This Row],[Состав]],Ингредиенты[],2,0)</f>
        <v>Специи</v>
      </c>
      <c r="F98" s="62">
        <v>2.0000000000000001E-4</v>
      </c>
      <c r="G98" s="42">
        <f>IF(Рецепты[[#This Row],[%]]*1000&gt;0,Рецепты[[#This Row],[%]]*1000,"")</f>
        <v>0.2</v>
      </c>
      <c r="H98" s="43">
        <f>IFERROR(VLOOKUP(Рецепты[[#This Row],[Состав]],Ингредиенты!A:I,3,0)*Рецепты[[#This Row],[г]],"")</f>
        <v>0.93599999999999994</v>
      </c>
      <c r="I98" s="42">
        <f>СводРецепт!$A$1</f>
        <v>1000</v>
      </c>
      <c r="J98" s="42">
        <f>Рецепты[[#This Row],[%]]*Рецепты[[#This Row],[Масса]]</f>
        <v>0.2</v>
      </c>
      <c r="K98" s="43">
        <f>Рецепты[[#This Row],[Вес ингр-тов]]*VLOOKUP(Рецепты[[#This Row],[Состав]],Ингредиенты[],3,FALSE)</f>
        <v>0.93599999999999994</v>
      </c>
      <c r="L98" s="41">
        <f>IF(VLOOKUP(Рецепты[[#This Row],[Состав]],Ингредиенты[],4,0)="Основа",VLOOKUP(Рецепты[[#This Row],[Способ]],Способ[],2,0),0%)</f>
        <v>0</v>
      </c>
      <c r="M98" s="41">
        <f>VLOOKUP(Рецепты[[#This Row],[Способ]],Способ[],3,0)</f>
        <v>0.5</v>
      </c>
      <c r="N98" s="43">
        <f>Рецепты[[#This Row],[р]]*100%/(100%-Рецепты[[#This Row],[Потери, %]])+Рецепты[[#This Row],[Маржа]]*(Рецепты[[#This Row],[р]]*100%)/(100%-Рецепты[[#This Row],[Потери, %]])</f>
        <v>1.4039999999999999</v>
      </c>
      <c r="O98" s="43">
        <f>Рецепты[[#This Row],[Цена за 1 кг]]-(Рецепты[[#This Row],[р]]*100%/(100%-Рецепты[[#This Row],[Потери, %]]))</f>
        <v>0.46799999999999997</v>
      </c>
      <c r="P98" s="40" t="s">
        <v>642</v>
      </c>
      <c r="Q98" s="40" t="s">
        <v>350</v>
      </c>
      <c r="R98" s="44" t="str">
        <f>VLOOKUP(Рецепты[[#This Row],[Состав]],Ингредиенты[],9,0)</f>
        <v>Да</v>
      </c>
      <c r="S98" s="52"/>
    </row>
    <row r="99" spans="1:19" x14ac:dyDescent="0.25">
      <c r="A99" s="40" t="s">
        <v>346</v>
      </c>
      <c r="B99" s="40" t="str">
        <f t="shared" si="12"/>
        <v>Рыба</v>
      </c>
      <c r="C99" s="40" t="str">
        <f t="shared" si="13"/>
        <v>Соленое</v>
      </c>
      <c r="D99" s="40" t="s">
        <v>149</v>
      </c>
      <c r="E99" s="41" t="str">
        <f>VLOOKUP(Рецепты[[#This Row],[Состав]],Ингредиенты[],2,0)</f>
        <v>Специи</v>
      </c>
      <c r="F99" s="62">
        <v>2.9999999999999997E-4</v>
      </c>
      <c r="G99" s="42">
        <f>IF(Рецепты[[#This Row],[%]]*1000&gt;0,Рецепты[[#This Row],[%]]*1000,"")</f>
        <v>0.3</v>
      </c>
      <c r="H99" s="43">
        <f>IFERROR(VLOOKUP(Рецепты[[#This Row],[Состав]],Ингредиенты!A:I,3,0)*Рецепты[[#This Row],[г]],"")</f>
        <v>0.62318181818181817</v>
      </c>
      <c r="I99" s="42">
        <f>СводРецепт!$A$1</f>
        <v>1000</v>
      </c>
      <c r="J99" s="42">
        <f>Рецепты[[#This Row],[%]]*Рецепты[[#This Row],[Масса]]</f>
        <v>0.3</v>
      </c>
      <c r="K99" s="43">
        <f>Рецепты[[#This Row],[Вес ингр-тов]]*VLOOKUP(Рецепты[[#This Row],[Состав]],Ингредиенты[],3,FALSE)</f>
        <v>0.62318181818181817</v>
      </c>
      <c r="L99" s="41">
        <f>IF(VLOOKUP(Рецепты[[#This Row],[Состав]],Ингредиенты[],4,0)="Основа",VLOOKUP(Рецепты[[#This Row],[Способ]],Способ[],2,0),0%)</f>
        <v>0</v>
      </c>
      <c r="M99" s="41">
        <f>VLOOKUP(Рецепты[[#This Row],[Способ]],Способ[],3,0)</f>
        <v>0.5</v>
      </c>
      <c r="N99" s="43">
        <f>Рецепты[[#This Row],[р]]*100%/(100%-Рецепты[[#This Row],[Потери, %]])+Рецепты[[#This Row],[Маржа]]*(Рецепты[[#This Row],[р]]*100%)/(100%-Рецепты[[#This Row],[Потери, %]])</f>
        <v>0.93477272727272731</v>
      </c>
      <c r="O99" s="43">
        <f>Рецепты[[#This Row],[Цена за 1 кг]]-(Рецепты[[#This Row],[р]]*100%/(100%-Рецепты[[#This Row],[Потери, %]]))</f>
        <v>0.31159090909090914</v>
      </c>
      <c r="P99" s="40" t="s">
        <v>642</v>
      </c>
      <c r="Q99" s="40" t="s">
        <v>351</v>
      </c>
      <c r="R99" s="44" t="str">
        <f>VLOOKUP(Рецепты[[#This Row],[Состав]],Ингредиенты[],9,0)</f>
        <v>Да</v>
      </c>
      <c r="S99" s="52"/>
    </row>
    <row r="100" spans="1:19" x14ac:dyDescent="0.25">
      <c r="A100" s="40" t="s">
        <v>346</v>
      </c>
      <c r="B100" s="40" t="str">
        <f t="shared" si="12"/>
        <v>Рыба</v>
      </c>
      <c r="C100" s="40" t="str">
        <f t="shared" si="13"/>
        <v>Соленое</v>
      </c>
      <c r="D100" s="40" t="s">
        <v>141</v>
      </c>
      <c r="E100" s="41" t="str">
        <f>VLOOKUP(Рецепты[[#This Row],[Состав]],Ингредиенты[],2,0)</f>
        <v>Специи</v>
      </c>
      <c r="F100" s="62">
        <v>8.9999999999999998E-4</v>
      </c>
      <c r="G100" s="42">
        <f>IF(Рецепты[[#This Row],[%]]*1000&gt;0,Рецепты[[#This Row],[%]]*1000,"")</f>
        <v>0.9</v>
      </c>
      <c r="H100" s="43">
        <f>IFERROR(VLOOKUP(Рецепты[[#This Row],[Состав]],Ингредиенты!A:I,3,0)*Рецепты[[#This Row],[г]],"")</f>
        <v>1.026</v>
      </c>
      <c r="I100" s="42">
        <f>СводРецепт!$A$1</f>
        <v>1000</v>
      </c>
      <c r="J100" s="42">
        <f>Рецепты[[#This Row],[%]]*Рецепты[[#This Row],[Масса]]</f>
        <v>0.9</v>
      </c>
      <c r="K100" s="43">
        <f>Рецепты[[#This Row],[Вес ингр-тов]]*VLOOKUP(Рецепты[[#This Row],[Состав]],Ингредиенты[],3,FALSE)</f>
        <v>1.026</v>
      </c>
      <c r="L100" s="41">
        <f>IF(VLOOKUP(Рецепты[[#This Row],[Состав]],Ингредиенты[],4,0)="Основа",VLOOKUP(Рецепты[[#This Row],[Способ]],Способ[],2,0),0%)</f>
        <v>0</v>
      </c>
      <c r="M100" s="41">
        <f>VLOOKUP(Рецепты[[#This Row],[Способ]],Способ[],3,0)</f>
        <v>0.5</v>
      </c>
      <c r="N100" s="43">
        <f>Рецепты[[#This Row],[р]]*100%/(100%-Рецепты[[#This Row],[Потери, %]])+Рецепты[[#This Row],[Маржа]]*(Рецепты[[#This Row],[р]]*100%)/(100%-Рецепты[[#This Row],[Потери, %]])</f>
        <v>1.5390000000000001</v>
      </c>
      <c r="O100" s="43">
        <f>Рецепты[[#This Row],[Цена за 1 кг]]-(Рецепты[[#This Row],[р]]*100%/(100%-Рецепты[[#This Row],[Потери, %]]))</f>
        <v>0.51300000000000012</v>
      </c>
      <c r="P100" s="40" t="s">
        <v>642</v>
      </c>
      <c r="Q100" s="40" t="s">
        <v>352</v>
      </c>
      <c r="R100" s="44" t="str">
        <f>VLOOKUP(Рецепты[[#This Row],[Состав]],Ингредиенты[],9,0)</f>
        <v>Да</v>
      </c>
      <c r="S100" s="52"/>
    </row>
    <row r="101" spans="1:19" x14ac:dyDescent="0.25">
      <c r="A101" s="40" t="s">
        <v>346</v>
      </c>
      <c r="B101" s="40" t="str">
        <f t="shared" si="12"/>
        <v>Рыба</v>
      </c>
      <c r="C101" s="40" t="str">
        <f t="shared" si="13"/>
        <v>Соленое</v>
      </c>
      <c r="D101" s="40" t="s">
        <v>131</v>
      </c>
      <c r="E101" s="41" t="str">
        <f>VLOOKUP(Рецепты[[#This Row],[Состав]],Ингредиенты[],2,0)</f>
        <v>Специи</v>
      </c>
      <c r="F101" s="62">
        <v>2.86E-2</v>
      </c>
      <c r="G101" s="42">
        <f>IF(Рецепты[[#This Row],[%]]*1000&gt;0,Рецепты[[#This Row],[%]]*1000,"")</f>
        <v>28.6</v>
      </c>
      <c r="H101" s="43">
        <f>IFERROR(VLOOKUP(Рецепты[[#This Row],[Состав]],Ингредиенты!A:I,3,0)*Рецепты[[#This Row],[г]],"")</f>
        <v>2.3132352941176473</v>
      </c>
      <c r="I101" s="42">
        <f>СводРецепт!$A$1</f>
        <v>1000</v>
      </c>
      <c r="J101" s="42">
        <f>Рецепты[[#This Row],[%]]*Рецепты[[#This Row],[Масса]]</f>
        <v>28.6</v>
      </c>
      <c r="K101" s="43">
        <f>Рецепты[[#This Row],[Вес ингр-тов]]*VLOOKUP(Рецепты[[#This Row],[Состав]],Ингредиенты[],3,FALSE)</f>
        <v>2.3132352941176473</v>
      </c>
      <c r="L101" s="41">
        <f>IF(VLOOKUP(Рецепты[[#This Row],[Состав]],Ингредиенты[],4,0)="Основа",VLOOKUP(Рецепты[[#This Row],[Способ]],Способ[],2,0),0%)</f>
        <v>0</v>
      </c>
      <c r="M101" s="41">
        <f>VLOOKUP(Рецепты[[#This Row],[Способ]],Способ[],3,0)</f>
        <v>0.5</v>
      </c>
      <c r="N101" s="43">
        <f>Рецепты[[#This Row],[р]]*100%/(100%-Рецепты[[#This Row],[Потери, %]])+Рецепты[[#This Row],[Маржа]]*(Рецепты[[#This Row],[р]]*100%)/(100%-Рецепты[[#This Row],[Потери, %]])</f>
        <v>3.4698529411764709</v>
      </c>
      <c r="O101" s="43">
        <f>Рецепты[[#This Row],[Цена за 1 кг]]-(Рецепты[[#This Row],[р]]*100%/(100%-Рецепты[[#This Row],[Потери, %]]))</f>
        <v>1.1566176470588236</v>
      </c>
      <c r="P101" s="40" t="s">
        <v>642</v>
      </c>
      <c r="Q101" s="40" t="s">
        <v>353</v>
      </c>
      <c r="R101" s="44" t="str">
        <f>VLOOKUP(Рецепты[[#This Row],[Состав]],Ингредиенты[],9,0)</f>
        <v>Да</v>
      </c>
      <c r="S101" s="52"/>
    </row>
    <row r="102" spans="1:19" x14ac:dyDescent="0.25">
      <c r="A102" s="40" t="s">
        <v>346</v>
      </c>
      <c r="B102" s="40" t="str">
        <f t="shared" si="12"/>
        <v>Рыба</v>
      </c>
      <c r="C102" s="40" t="str">
        <f t="shared" si="13"/>
        <v>Соленое</v>
      </c>
      <c r="D102" s="40" t="s">
        <v>167</v>
      </c>
      <c r="E102" s="41" t="str">
        <f>VLOOKUP(Рецепты[[#This Row],[Состав]],Ингредиенты[],2,0)</f>
        <v>Специи</v>
      </c>
      <c r="F102" s="62">
        <v>1.1000000000000001E-3</v>
      </c>
      <c r="G102" s="42">
        <f>IF(Рецепты[[#This Row],[%]]*1000&gt;0,Рецепты[[#This Row],[%]]*1000,"")</f>
        <v>1.1000000000000001</v>
      </c>
      <c r="H102" s="43">
        <f>IFERROR(VLOOKUP(Рецепты[[#This Row],[Состав]],Ингредиенты!A:I,3,0)*Рецепты[[#This Row],[г]],"")</f>
        <v>3.0726666666666671</v>
      </c>
      <c r="I102" s="42">
        <f>СводРецепт!$A$1</f>
        <v>1000</v>
      </c>
      <c r="J102" s="42">
        <f>Рецепты[[#This Row],[%]]*Рецепты[[#This Row],[Масса]]</f>
        <v>1.1000000000000001</v>
      </c>
      <c r="K102" s="43">
        <f>Рецепты[[#This Row],[Вес ингр-тов]]*VLOOKUP(Рецепты[[#This Row],[Состав]],Ингредиенты[],3,FALSE)</f>
        <v>3.0726666666666671</v>
      </c>
      <c r="L102" s="41">
        <f>IF(VLOOKUP(Рецепты[[#This Row],[Состав]],Ингредиенты[],4,0)="Основа",VLOOKUP(Рецепты[[#This Row],[Способ]],Способ[],2,0),0%)</f>
        <v>0</v>
      </c>
      <c r="M102" s="41">
        <f>VLOOKUP(Рецепты[[#This Row],[Способ]],Способ[],3,0)</f>
        <v>0.5</v>
      </c>
      <c r="N102" s="43">
        <f>Рецепты[[#This Row],[р]]*100%/(100%-Рецепты[[#This Row],[Потери, %]])+Рецепты[[#This Row],[Маржа]]*(Рецепты[[#This Row],[р]]*100%)/(100%-Рецепты[[#This Row],[Потери, %]])</f>
        <v>4.6090000000000009</v>
      </c>
      <c r="O102" s="43">
        <f>Рецепты[[#This Row],[Цена за 1 кг]]-(Рецепты[[#This Row],[р]]*100%/(100%-Рецепты[[#This Row],[Потери, %]]))</f>
        <v>1.5363333333333338</v>
      </c>
      <c r="P102" s="40" t="s">
        <v>642</v>
      </c>
      <c r="Q102" s="40" t="s">
        <v>354</v>
      </c>
      <c r="R102" s="44" t="str">
        <f>VLOOKUP(Рецепты[[#This Row],[Состав]],Ингредиенты[],9,0)</f>
        <v>Да</v>
      </c>
      <c r="S102" s="52"/>
    </row>
    <row r="103" spans="1:19" x14ac:dyDescent="0.25">
      <c r="A103" s="40" t="s">
        <v>346</v>
      </c>
      <c r="B103" s="40" t="str">
        <f t="shared" si="12"/>
        <v>Рыба</v>
      </c>
      <c r="C103" s="40" t="str">
        <f t="shared" si="13"/>
        <v>Соленое</v>
      </c>
      <c r="D103" s="40" t="s">
        <v>193</v>
      </c>
      <c r="E103" s="41" t="str">
        <f>VLOOKUP(Рецепты[[#This Row],[Состав]],Ингредиенты[],2,0)</f>
        <v>Специи</v>
      </c>
      <c r="F103" s="62">
        <v>8.9999999999999998E-4</v>
      </c>
      <c r="G103" s="42">
        <f>IF(Рецепты[[#This Row],[%]]*1000&gt;0,Рецепты[[#This Row],[%]]*1000,"")</f>
        <v>0.9</v>
      </c>
      <c r="H103" s="43">
        <f>IFERROR(VLOOKUP(Рецепты[[#This Row],[Состав]],Ингредиенты!A:I,3,0)*Рецепты[[#This Row],[г]],"")</f>
        <v>0.70799999999999996</v>
      </c>
      <c r="I103" s="42">
        <f>СводРецепт!$A$1</f>
        <v>1000</v>
      </c>
      <c r="J103" s="42">
        <f>Рецепты[[#This Row],[%]]*Рецепты[[#This Row],[Масса]]</f>
        <v>0.9</v>
      </c>
      <c r="K103" s="43">
        <f>Рецепты[[#This Row],[Вес ингр-тов]]*VLOOKUP(Рецепты[[#This Row],[Состав]],Ингредиенты[],3,FALSE)</f>
        <v>0.70799999999999996</v>
      </c>
      <c r="L103" s="41">
        <f>IF(VLOOKUP(Рецепты[[#This Row],[Состав]],Ингредиенты[],4,0)="Основа",VLOOKUP(Рецепты[[#This Row],[Способ]],Способ[],2,0),0%)</f>
        <v>0</v>
      </c>
      <c r="M103" s="41">
        <f>VLOOKUP(Рецепты[[#This Row],[Способ]],Способ[],3,0)</f>
        <v>0.5</v>
      </c>
      <c r="N103" s="43">
        <f>Рецепты[[#This Row],[р]]*100%/(100%-Рецепты[[#This Row],[Потери, %]])+Рецепты[[#This Row],[Маржа]]*(Рецепты[[#This Row],[р]]*100%)/(100%-Рецепты[[#This Row],[Потери, %]])</f>
        <v>1.0619999999999998</v>
      </c>
      <c r="O103" s="43">
        <f>Рецепты[[#This Row],[Цена за 1 кг]]-(Рецепты[[#This Row],[р]]*100%/(100%-Рецепты[[#This Row],[Потери, %]]))</f>
        <v>0.35399999999999987</v>
      </c>
      <c r="P103" s="40" t="s">
        <v>642</v>
      </c>
      <c r="Q103" s="40" t="s">
        <v>355</v>
      </c>
      <c r="R103" s="44" t="str">
        <f>VLOOKUP(Рецепты[[#This Row],[Состав]],Ингредиенты[],9,0)</f>
        <v>Да</v>
      </c>
      <c r="S103" s="52"/>
    </row>
    <row r="104" spans="1:19" x14ac:dyDescent="0.25">
      <c r="A104" s="40" t="s">
        <v>346</v>
      </c>
      <c r="B104" s="40" t="str">
        <f t="shared" si="12"/>
        <v>Рыба</v>
      </c>
      <c r="C104" s="40" t="str">
        <f t="shared" si="13"/>
        <v>Соленое</v>
      </c>
      <c r="D104" s="40" t="s">
        <v>195</v>
      </c>
      <c r="E104" s="41" t="str">
        <f>VLOOKUP(Рецепты[[#This Row],[Состав]],Ингредиенты[],2,0)</f>
        <v>Специи</v>
      </c>
      <c r="F104" s="62">
        <v>2.0000000000000001E-4</v>
      </c>
      <c r="G104" s="42">
        <f>IF(Рецепты[[#This Row],[%]]*1000&gt;0,Рецепты[[#This Row],[%]]*1000,"")</f>
        <v>0.2</v>
      </c>
      <c r="H104" s="43">
        <f>IFERROR(VLOOKUP(Рецепты[[#This Row],[Состав]],Ингредиенты!A:I,3,0)*Рецепты[[#This Row],[г]],"")</f>
        <v>0.1386</v>
      </c>
      <c r="I104" s="42">
        <f>СводРецепт!$A$1</f>
        <v>1000</v>
      </c>
      <c r="J104" s="42">
        <f>Рецепты[[#This Row],[%]]*Рецепты[[#This Row],[Масса]]</f>
        <v>0.2</v>
      </c>
      <c r="K104" s="43">
        <f>Рецепты[[#This Row],[Вес ингр-тов]]*VLOOKUP(Рецепты[[#This Row],[Состав]],Ингредиенты[],3,FALSE)</f>
        <v>0.1386</v>
      </c>
      <c r="L104" s="41">
        <f>IF(VLOOKUP(Рецепты[[#This Row],[Состав]],Ингредиенты[],4,0)="Основа",VLOOKUP(Рецепты[[#This Row],[Способ]],Способ[],2,0),0%)</f>
        <v>0</v>
      </c>
      <c r="M104" s="41">
        <f>VLOOKUP(Рецепты[[#This Row],[Способ]],Способ[],3,0)</f>
        <v>0.5</v>
      </c>
      <c r="N104" s="43">
        <f>Рецепты[[#This Row],[р]]*100%/(100%-Рецепты[[#This Row],[Потери, %]])+Рецепты[[#This Row],[Маржа]]*(Рецепты[[#This Row],[р]]*100%)/(100%-Рецепты[[#This Row],[Потери, %]])</f>
        <v>0.2079</v>
      </c>
      <c r="O104" s="43">
        <f>Рецепты[[#This Row],[Цена за 1 кг]]-(Рецепты[[#This Row],[р]]*100%/(100%-Рецепты[[#This Row],[Потери, %]]))</f>
        <v>6.93E-2</v>
      </c>
      <c r="P104" s="40" t="s">
        <v>642</v>
      </c>
      <c r="Q104" s="40" t="s">
        <v>356</v>
      </c>
      <c r="R104" s="44" t="str">
        <f>VLOOKUP(Рецепты[[#This Row],[Состав]],Ингредиенты[],9,0)</f>
        <v>Да</v>
      </c>
      <c r="S104" s="52"/>
    </row>
    <row r="105" spans="1:19" x14ac:dyDescent="0.25">
      <c r="A105" s="40" t="s">
        <v>346</v>
      </c>
      <c r="B105" s="40" t="str">
        <f t="shared" si="12"/>
        <v>Рыба</v>
      </c>
      <c r="C105" s="40" t="str">
        <f t="shared" si="13"/>
        <v>Соленое</v>
      </c>
      <c r="D105" s="40" t="s">
        <v>137</v>
      </c>
      <c r="E105" s="41" t="str">
        <f>VLOOKUP(Рецепты[[#This Row],[Состав]],Ингредиенты[],2,0)</f>
        <v>Специи</v>
      </c>
      <c r="F105" s="62">
        <v>2.7000000000000001E-3</v>
      </c>
      <c r="G105" s="42">
        <f>IF(Рецепты[[#This Row],[%]]*1000&gt;0,Рецепты[[#This Row],[%]]*1000,"")</f>
        <v>2.7</v>
      </c>
      <c r="H105" s="43">
        <f>IFERROR(VLOOKUP(Рецепты[[#This Row],[Состав]],Ингредиенты!A:I,3,0)*Рецепты[[#This Row],[г]],"")</f>
        <v>5.3892000000000007</v>
      </c>
      <c r="I105" s="42">
        <f>СводРецепт!$A$1</f>
        <v>1000</v>
      </c>
      <c r="J105" s="42">
        <f>Рецепты[[#This Row],[%]]*Рецепты[[#This Row],[Масса]]</f>
        <v>2.7</v>
      </c>
      <c r="K105" s="43">
        <f>Рецепты[[#This Row],[Вес ингр-тов]]*VLOOKUP(Рецепты[[#This Row],[Состав]],Ингредиенты[],3,FALSE)</f>
        <v>5.3892000000000007</v>
      </c>
      <c r="L105" s="41">
        <f>IF(VLOOKUP(Рецепты[[#This Row],[Состав]],Ингредиенты[],4,0)="Основа",VLOOKUP(Рецепты[[#This Row],[Способ]],Способ[],2,0),0%)</f>
        <v>0</v>
      </c>
      <c r="M105" s="41">
        <f>VLOOKUP(Рецепты[[#This Row],[Способ]],Способ[],3,0)</f>
        <v>0.5</v>
      </c>
      <c r="N105" s="43">
        <f>Рецепты[[#This Row],[р]]*100%/(100%-Рецепты[[#This Row],[Потери, %]])+Рецепты[[#This Row],[Маржа]]*(Рецепты[[#This Row],[р]]*100%)/(100%-Рецепты[[#This Row],[Потери, %]])</f>
        <v>8.0838000000000001</v>
      </c>
      <c r="O105" s="43">
        <f>Рецепты[[#This Row],[Цена за 1 кг]]-(Рецепты[[#This Row],[р]]*100%/(100%-Рецепты[[#This Row],[Потери, %]]))</f>
        <v>2.6945999999999994</v>
      </c>
      <c r="P105" s="40" t="s">
        <v>642</v>
      </c>
      <c r="Q105" s="40" t="s">
        <v>357</v>
      </c>
      <c r="R105" s="44" t="str">
        <f>VLOOKUP(Рецепты[[#This Row],[Состав]],Ингредиенты[],9,0)</f>
        <v>Да</v>
      </c>
      <c r="S105" s="52"/>
    </row>
    <row r="106" spans="1:19" x14ac:dyDescent="0.25">
      <c r="A106" s="40" t="s">
        <v>346</v>
      </c>
      <c r="B106" s="40" t="str">
        <f t="shared" si="12"/>
        <v>Рыба</v>
      </c>
      <c r="C106" s="40" t="str">
        <f t="shared" si="13"/>
        <v>Соленое</v>
      </c>
      <c r="D106" s="40" t="s">
        <v>139</v>
      </c>
      <c r="E106" s="41" t="str">
        <f>VLOOKUP(Рецепты[[#This Row],[Состав]],Ингредиенты[],2,0)</f>
        <v>Специи</v>
      </c>
      <c r="F106" s="62">
        <v>4.0000000000000002E-4</v>
      </c>
      <c r="G106" s="42">
        <f>IF(Рецепты[[#This Row],[%]]*1000&gt;0,Рецепты[[#This Row],[%]]*1000,"")</f>
        <v>0.4</v>
      </c>
      <c r="H106" s="43">
        <f>IFERROR(VLOOKUP(Рецепты[[#This Row],[Состав]],Ингредиенты!A:I,3,0)*Рецепты[[#This Row],[г]],"")</f>
        <v>0.31054545454545457</v>
      </c>
      <c r="I106" s="42">
        <f>СводРецепт!$A$1</f>
        <v>1000</v>
      </c>
      <c r="J106" s="42">
        <f>Рецепты[[#This Row],[%]]*Рецепты[[#This Row],[Масса]]</f>
        <v>0.4</v>
      </c>
      <c r="K106" s="43">
        <f>Рецепты[[#This Row],[Вес ингр-тов]]*VLOOKUP(Рецепты[[#This Row],[Состав]],Ингредиенты[],3,FALSE)</f>
        <v>0.31054545454545457</v>
      </c>
      <c r="L106" s="41">
        <f>IF(VLOOKUP(Рецепты[[#This Row],[Состав]],Ингредиенты[],4,0)="Основа",VLOOKUP(Рецепты[[#This Row],[Способ]],Способ[],2,0),0%)</f>
        <v>0</v>
      </c>
      <c r="M106" s="41">
        <f>VLOOKUP(Рецепты[[#This Row],[Способ]],Способ[],3,0)</f>
        <v>0.5</v>
      </c>
      <c r="N106" s="43">
        <f>Рецепты[[#This Row],[р]]*100%/(100%-Рецепты[[#This Row],[Потери, %]])+Рецепты[[#This Row],[Маржа]]*(Рецепты[[#This Row],[р]]*100%)/(100%-Рецепты[[#This Row],[Потери, %]])</f>
        <v>0.46581818181818185</v>
      </c>
      <c r="O106" s="43">
        <f>Рецепты[[#This Row],[Цена за 1 кг]]-(Рецепты[[#This Row],[р]]*100%/(100%-Рецепты[[#This Row],[Потери, %]]))</f>
        <v>0.15527272727272728</v>
      </c>
      <c r="P106" s="40" t="s">
        <v>642</v>
      </c>
      <c r="Q106" s="40" t="s">
        <v>358</v>
      </c>
      <c r="R106" s="44" t="str">
        <f>VLOOKUP(Рецепты[[#This Row],[Состав]],Ингредиенты[],9,0)</f>
        <v>Нет</v>
      </c>
      <c r="S106" s="52"/>
    </row>
    <row r="107" spans="1:19" x14ac:dyDescent="0.25">
      <c r="A107" s="40" t="s">
        <v>346</v>
      </c>
      <c r="B107" s="40" t="str">
        <f t="shared" si="12"/>
        <v>Рыба</v>
      </c>
      <c r="C107" s="40" t="str">
        <f t="shared" si="13"/>
        <v>Соленое</v>
      </c>
      <c r="D107" s="40" t="s">
        <v>155</v>
      </c>
      <c r="E107" s="41" t="str">
        <f>VLOOKUP(Рецепты[[#This Row],[Состав]],Ингредиенты[],2,0)</f>
        <v>Специи</v>
      </c>
      <c r="F107" s="62">
        <v>1.5E-3</v>
      </c>
      <c r="G107" s="42">
        <f>IF(Рецепты[[#This Row],[%]]*1000&gt;0,Рецепты[[#This Row],[%]]*1000,"")</f>
        <v>1.5</v>
      </c>
      <c r="H107" s="43">
        <f>IFERROR(VLOOKUP(Рецепты[[#This Row],[Состав]],Ингредиенты!A:I,3,0)*Рецепты[[#This Row],[г]],"")</f>
        <v>0.75333333333333341</v>
      </c>
      <c r="I107" s="42">
        <f>СводРецепт!$A$1</f>
        <v>1000</v>
      </c>
      <c r="J107" s="42">
        <f>Рецепты[[#This Row],[%]]*Рецепты[[#This Row],[Масса]]</f>
        <v>1.5</v>
      </c>
      <c r="K107" s="43">
        <f>Рецепты[[#This Row],[Вес ингр-тов]]*VLOOKUP(Рецепты[[#This Row],[Состав]],Ингредиенты[],3,FALSE)</f>
        <v>0.75333333333333341</v>
      </c>
      <c r="L107" s="41">
        <f>IF(VLOOKUP(Рецепты[[#This Row],[Состав]],Ингредиенты[],4,0)="Основа",VLOOKUP(Рецепты[[#This Row],[Способ]],Способ[],2,0),0%)</f>
        <v>0</v>
      </c>
      <c r="M107" s="41">
        <f>VLOOKUP(Рецепты[[#This Row],[Способ]],Способ[],3,0)</f>
        <v>0.5</v>
      </c>
      <c r="N107" s="43">
        <f>Рецепты[[#This Row],[р]]*100%/(100%-Рецепты[[#This Row],[Потери, %]])+Рецепты[[#This Row],[Маржа]]*(Рецепты[[#This Row],[р]]*100%)/(100%-Рецепты[[#This Row],[Потери, %]])</f>
        <v>1.1300000000000001</v>
      </c>
      <c r="O107" s="43">
        <f>Рецепты[[#This Row],[Цена за 1 кг]]-(Рецепты[[#This Row],[р]]*100%/(100%-Рецепты[[#This Row],[Потери, %]]))</f>
        <v>0.37666666666666671</v>
      </c>
      <c r="P107" s="40" t="s">
        <v>642</v>
      </c>
      <c r="Q107" s="40" t="s">
        <v>359</v>
      </c>
      <c r="R107" s="44" t="str">
        <f>VLOOKUP(Рецепты[[#This Row],[Состав]],Ингредиенты[],9,0)</f>
        <v>Да</v>
      </c>
      <c r="S107" s="52"/>
    </row>
    <row r="108" spans="1:19" x14ac:dyDescent="0.25">
      <c r="A108" s="40" t="s">
        <v>360</v>
      </c>
      <c r="B108" s="40" t="s">
        <v>8</v>
      </c>
      <c r="C108" s="40" t="s">
        <v>9</v>
      </c>
      <c r="D108" s="40" t="s">
        <v>64</v>
      </c>
      <c r="E108" s="41" t="str">
        <f>VLOOKUP(Рецепты[[#This Row],[Состав]],Ингредиенты[],2,0)</f>
        <v>Говядина</v>
      </c>
      <c r="F108" s="62">
        <v>0.25</v>
      </c>
      <c r="G108" s="42">
        <f>IF(Рецепты[[#This Row],[%]]*1000&gt;0,Рецепты[[#This Row],[%]]*1000,"")</f>
        <v>250</v>
      </c>
      <c r="H108" s="43">
        <f>IFERROR(VLOOKUP(Рецепты[[#This Row],[Состав]],Ингредиенты!A:I,3,0)*Рецепты[[#This Row],[г]],"")</f>
        <v>274.9975</v>
      </c>
      <c r="I108" s="42">
        <f>СводРецепт!$A$1</f>
        <v>1000</v>
      </c>
      <c r="J108" s="42">
        <f>Рецепты[[#This Row],[%]]*Рецепты[[#This Row],[Масса]]</f>
        <v>250</v>
      </c>
      <c r="K108" s="43">
        <f>Рецепты[[#This Row],[Вес ингр-тов]]*VLOOKUP(Рецепты[[#This Row],[Состав]],Ингредиенты[],3,FALSE)</f>
        <v>274.9975</v>
      </c>
      <c r="L108" s="41">
        <f>IF(VLOOKUP(Рецепты[[#This Row],[Состав]],Ингредиенты[],4,0)="Основа",VLOOKUP(Рецепты[[#This Row],[Способ]],Способ[],2,0),0%)</f>
        <v>0.15</v>
      </c>
      <c r="M108" s="41">
        <f>VLOOKUP(Рецепты[[#This Row],[Способ]],Способ[],3,0)</f>
        <v>0.7</v>
      </c>
      <c r="N108" s="43">
        <f>Рецепты[[#This Row],[р]]*100%/(100%-Рецепты[[#This Row],[Потери, %]])+Рецепты[[#This Row],[Маржа]]*(Рецепты[[#This Row],[р]]*100%)/(100%-Рецепты[[#This Row],[Потери, %]])</f>
        <v>549.995</v>
      </c>
      <c r="O108" s="43">
        <f>Рецепты[[#This Row],[Цена за 1 кг]]-(Рецепты[[#This Row],[р]]*100%/(100%-Рецепты[[#This Row],[Потери, %]]))</f>
        <v>226.46852941176468</v>
      </c>
      <c r="P108" s="40" t="s">
        <v>361</v>
      </c>
      <c r="Q108" s="40" t="s">
        <v>362</v>
      </c>
      <c r="R108" s="44" t="str">
        <f>VLOOKUP(Рецепты[[#This Row],[Состав]],Ингредиенты[],9,0)</f>
        <v>Нет</v>
      </c>
      <c r="S108" s="52"/>
    </row>
    <row r="109" spans="1:19" x14ac:dyDescent="0.25">
      <c r="A109" s="40" t="s">
        <v>360</v>
      </c>
      <c r="B109" s="40" t="str">
        <f t="shared" ref="B109:B152" si="14">B108</f>
        <v>Колбаса</v>
      </c>
      <c r="C109" s="40" t="str">
        <f t="shared" ref="C109:C152" si="15">C108</f>
        <v>Вареное</v>
      </c>
      <c r="D109" s="40" t="s">
        <v>54</v>
      </c>
      <c r="E109" s="41" t="str">
        <f>VLOOKUP(Рецепты[[#This Row],[Состав]],Ингредиенты[],2,0)</f>
        <v>Свинина</v>
      </c>
      <c r="F109" s="62">
        <v>0.25</v>
      </c>
      <c r="G109" s="42">
        <f>IF(Рецепты[[#This Row],[%]]*1000&gt;0,Рецепты[[#This Row],[%]]*1000,"")</f>
        <v>250</v>
      </c>
      <c r="H109" s="43">
        <f>IFERROR(VLOOKUP(Рецепты[[#This Row],[Состав]],Ингредиенты!A:I,3,0)*Рецепты[[#This Row],[г]],"")</f>
        <v>107.4975</v>
      </c>
      <c r="I109" s="42">
        <f>СводРецепт!$A$1</f>
        <v>1000</v>
      </c>
      <c r="J109" s="42">
        <f>Рецепты[[#This Row],[%]]*Рецепты[[#This Row],[Масса]]</f>
        <v>250</v>
      </c>
      <c r="K109" s="43">
        <f>Рецепты[[#This Row],[Вес ингр-тов]]*VLOOKUP(Рецепты[[#This Row],[Состав]],Ингредиенты[],3,FALSE)</f>
        <v>107.4975</v>
      </c>
      <c r="L109" s="41">
        <f>IF(VLOOKUP(Рецепты[[#This Row],[Состав]],Ингредиенты[],4,0)="Основа",VLOOKUP(Рецепты[[#This Row],[Способ]],Способ[],2,0),0%)</f>
        <v>0.15</v>
      </c>
      <c r="M109" s="41">
        <f>VLOOKUP(Рецепты[[#This Row],[Способ]],Способ[],3,0)</f>
        <v>0.7</v>
      </c>
      <c r="N109" s="43">
        <f>Рецепты[[#This Row],[р]]*100%/(100%-Рецепты[[#This Row],[Потери, %]])+Рецепты[[#This Row],[Маржа]]*(Рецепты[[#This Row],[р]]*100%)/(100%-Рецепты[[#This Row],[Потери, %]])</f>
        <v>214.995</v>
      </c>
      <c r="O109" s="43">
        <f>Рецепты[[#This Row],[Цена за 1 кг]]-(Рецепты[[#This Row],[р]]*100%/(100%-Рецепты[[#This Row],[Потери, %]]))</f>
        <v>88.527352941176474</v>
      </c>
      <c r="P109" s="40" t="s">
        <v>361</v>
      </c>
      <c r="Q109" s="40" t="s">
        <v>363</v>
      </c>
      <c r="R109" s="44" t="str">
        <f>VLOOKUP(Рецепты[[#This Row],[Состав]],Ингредиенты[],9,0)</f>
        <v>Нет</v>
      </c>
      <c r="S109" s="52"/>
    </row>
    <row r="110" spans="1:19" x14ac:dyDescent="0.25">
      <c r="A110" s="40" t="s">
        <v>360</v>
      </c>
      <c r="B110" s="40" t="str">
        <f t="shared" si="14"/>
        <v>Колбаса</v>
      </c>
      <c r="C110" s="40" t="str">
        <f t="shared" si="15"/>
        <v>Вареное</v>
      </c>
      <c r="D110" s="40" t="s">
        <v>49</v>
      </c>
      <c r="E110" s="41" t="str">
        <f>VLOOKUP(Рецепты[[#This Row],[Состав]],Ингредиенты[],2,0)</f>
        <v>Свинина</v>
      </c>
      <c r="F110" s="62">
        <v>0.25</v>
      </c>
      <c r="G110" s="42">
        <f>IF(Рецепты[[#This Row],[%]]*1000&gt;0,Рецепты[[#This Row],[%]]*1000,"")</f>
        <v>250</v>
      </c>
      <c r="H110" s="43">
        <f>IFERROR(VLOOKUP(Рецепты[[#This Row],[Состав]],Ингредиенты!A:I,3,0)*Рецепты[[#This Row],[г]],"")</f>
        <v>92.25</v>
      </c>
      <c r="I110" s="42">
        <f>СводРецепт!$A$1</f>
        <v>1000</v>
      </c>
      <c r="J110" s="42">
        <f>Рецепты[[#This Row],[%]]*Рецепты[[#This Row],[Масса]]</f>
        <v>250</v>
      </c>
      <c r="K110" s="43">
        <f>Рецепты[[#This Row],[Вес ингр-тов]]*VLOOKUP(Рецепты[[#This Row],[Состав]],Ингредиенты[],3,FALSE)</f>
        <v>92.25</v>
      </c>
      <c r="L110" s="41">
        <f>IF(VLOOKUP(Рецепты[[#This Row],[Состав]],Ингредиенты[],4,0)="Основа",VLOOKUP(Рецепты[[#This Row],[Способ]],Способ[],2,0),0%)</f>
        <v>0.15</v>
      </c>
      <c r="M110" s="41">
        <f>VLOOKUP(Рецепты[[#This Row],[Способ]],Способ[],3,0)</f>
        <v>0.7</v>
      </c>
      <c r="N110" s="43">
        <f>Рецепты[[#This Row],[р]]*100%/(100%-Рецепты[[#This Row],[Потери, %]])+Рецепты[[#This Row],[Маржа]]*(Рецепты[[#This Row],[р]]*100%)/(100%-Рецепты[[#This Row],[Потери, %]])</f>
        <v>184.5</v>
      </c>
      <c r="O110" s="43">
        <f>Рецепты[[#This Row],[Цена за 1 кг]]-(Рецепты[[#This Row],[р]]*100%/(100%-Рецепты[[#This Row],[Потери, %]]))</f>
        <v>75.970588235294116</v>
      </c>
      <c r="P110" s="40" t="s">
        <v>361</v>
      </c>
      <c r="Q110" s="40" t="s">
        <v>364</v>
      </c>
      <c r="R110" s="44" t="str">
        <f>VLOOKUP(Рецепты[[#This Row],[Состав]],Ингредиенты[],9,0)</f>
        <v>Да</v>
      </c>
      <c r="S110" s="52"/>
    </row>
    <row r="111" spans="1:19" x14ac:dyDescent="0.25">
      <c r="A111" s="40" t="s">
        <v>360</v>
      </c>
      <c r="B111" s="40" t="str">
        <f t="shared" si="14"/>
        <v>Колбаса</v>
      </c>
      <c r="C111" s="40" t="str">
        <f t="shared" si="15"/>
        <v>Вареное</v>
      </c>
      <c r="D111" s="40" t="s">
        <v>117</v>
      </c>
      <c r="E111" s="41" t="str">
        <f>VLOOKUP(Рецепты[[#This Row],[Состав]],Ингредиенты[],2,0)</f>
        <v>Добавки</v>
      </c>
      <c r="F111" s="62">
        <v>6.25E-2</v>
      </c>
      <c r="G111" s="42">
        <f>IF(Рецепты[[#This Row],[%]]*1000&gt;0,Рецепты[[#This Row],[%]]*1000,"")</f>
        <v>62.5</v>
      </c>
      <c r="H111" s="43">
        <f>IFERROR(VLOOKUP(Рецепты[[#This Row],[Состав]],Ингредиенты!A:I,3,0)*Рецепты[[#This Row],[г]],"")</f>
        <v>62.875</v>
      </c>
      <c r="I111" s="42">
        <f>СводРецепт!$A$1</f>
        <v>1000</v>
      </c>
      <c r="J111" s="42">
        <f>Рецепты[[#This Row],[%]]*Рецепты[[#This Row],[Масса]]</f>
        <v>62.5</v>
      </c>
      <c r="K111" s="43">
        <f>Рецепты[[#This Row],[Вес ингр-тов]]*VLOOKUP(Рецепты[[#This Row],[Состав]],Ингредиенты[],3,FALSE)</f>
        <v>62.875</v>
      </c>
      <c r="L111" s="41">
        <f>IF(VLOOKUP(Рецепты[[#This Row],[Состав]],Ингредиенты[],4,0)="Основа",VLOOKUP(Рецепты[[#This Row],[Способ]],Способ[],2,0),0%)</f>
        <v>0</v>
      </c>
      <c r="M111" s="41">
        <f>VLOOKUP(Рецепты[[#This Row],[Способ]],Способ[],3,0)</f>
        <v>0.7</v>
      </c>
      <c r="N111" s="43">
        <f>Рецепты[[#This Row],[р]]*100%/(100%-Рецепты[[#This Row],[Потери, %]])+Рецепты[[#This Row],[Маржа]]*(Рецепты[[#This Row],[р]]*100%)/(100%-Рецепты[[#This Row],[Потери, %]])</f>
        <v>106.88749999999999</v>
      </c>
      <c r="O111" s="43">
        <f>Рецепты[[#This Row],[Цена за 1 кг]]-(Рецепты[[#This Row],[р]]*100%/(100%-Рецепты[[#This Row],[Потери, %]]))</f>
        <v>44.012499999999989</v>
      </c>
      <c r="P111" s="40" t="s">
        <v>361</v>
      </c>
      <c r="Q111" s="40" t="s">
        <v>365</v>
      </c>
      <c r="R111" s="44" t="str">
        <f>VLOOKUP(Рецепты[[#This Row],[Состав]],Ингредиенты[],9,0)</f>
        <v>Нет</v>
      </c>
      <c r="S111" s="52"/>
    </row>
    <row r="112" spans="1:19" x14ac:dyDescent="0.25">
      <c r="A112" s="40" t="s">
        <v>360</v>
      </c>
      <c r="B112" s="40" t="str">
        <f t="shared" si="14"/>
        <v>Колбаса</v>
      </c>
      <c r="C112" s="40" t="str">
        <f t="shared" si="15"/>
        <v>Вареное</v>
      </c>
      <c r="D112" s="40" t="s">
        <v>93</v>
      </c>
      <c r="E112" s="41" t="str">
        <f>VLOOKUP(Рецепты[[#This Row],[Состав]],Ингредиенты[],2,0)</f>
        <v>Добавки</v>
      </c>
      <c r="F112" s="62">
        <v>0.1875</v>
      </c>
      <c r="G112" s="42">
        <f>IF(Рецепты[[#This Row],[%]]*1000&gt;0,Рецепты[[#This Row],[%]]*1000,"")</f>
        <v>187.5</v>
      </c>
      <c r="H112" s="43">
        <f>IFERROR(VLOOKUP(Рецепты[[#This Row],[Состав]],Ингредиенты!A:I,3,0)*Рецепты[[#This Row],[г]],"")</f>
        <v>0.1875</v>
      </c>
      <c r="I112" s="42">
        <f>СводРецепт!$A$1</f>
        <v>1000</v>
      </c>
      <c r="J112" s="42">
        <f>Рецепты[[#This Row],[%]]*Рецепты[[#This Row],[Масса]]</f>
        <v>187.5</v>
      </c>
      <c r="K112" s="43">
        <f>Рецепты[[#This Row],[Вес ингр-тов]]*VLOOKUP(Рецепты[[#This Row],[Состав]],Ингредиенты[],3,FALSE)</f>
        <v>0.1875</v>
      </c>
      <c r="L112" s="41">
        <f>IF(VLOOKUP(Рецепты[[#This Row],[Состав]],Ингредиенты[],4,0)="Основа",VLOOKUP(Рецепты[[#This Row],[Способ]],Способ[],2,0),0%)</f>
        <v>0</v>
      </c>
      <c r="M112" s="41">
        <f>VLOOKUP(Рецепты[[#This Row],[Способ]],Способ[],3,0)</f>
        <v>0.7</v>
      </c>
      <c r="N112" s="43">
        <f>Рецепты[[#This Row],[р]]*100%/(100%-Рецепты[[#This Row],[Потери, %]])+Рецепты[[#This Row],[Маржа]]*(Рецепты[[#This Row],[р]]*100%)/(100%-Рецепты[[#This Row],[Потери, %]])</f>
        <v>0.31874999999999998</v>
      </c>
      <c r="O112" s="43">
        <f>Рецепты[[#This Row],[Цена за 1 кг]]-(Рецепты[[#This Row],[р]]*100%/(100%-Рецепты[[#This Row],[Потери, %]]))</f>
        <v>0.13124999999999998</v>
      </c>
      <c r="P112" s="40" t="s">
        <v>361</v>
      </c>
      <c r="Q112" s="40" t="s">
        <v>366</v>
      </c>
      <c r="R112" s="44" t="str">
        <f>VLOOKUP(Рецепты[[#This Row],[Состав]],Ингредиенты[],9,0)</f>
        <v>Да</v>
      </c>
      <c r="S112" s="52"/>
    </row>
    <row r="113" spans="1:19" x14ac:dyDescent="0.25">
      <c r="A113" s="40" t="s">
        <v>360</v>
      </c>
      <c r="B113" s="40" t="str">
        <f t="shared" si="14"/>
        <v>Колбаса</v>
      </c>
      <c r="C113" s="40" t="str">
        <f t="shared" si="15"/>
        <v>Вареное</v>
      </c>
      <c r="D113" s="40" t="s">
        <v>119</v>
      </c>
      <c r="E113" s="41" t="str">
        <f>VLOOKUP(Рецепты[[#This Row],[Состав]],Ингредиенты[],2,0)</f>
        <v>Добавки</v>
      </c>
      <c r="F113" s="62">
        <v>2.5000000000000001E-2</v>
      </c>
      <c r="G113" s="42">
        <f>IF(Рецепты[[#This Row],[%]]*1000&gt;0,Рецепты[[#This Row],[%]]*1000,"")</f>
        <v>25</v>
      </c>
      <c r="H113" s="43">
        <f>IFERROR(VLOOKUP(Рецепты[[#This Row],[Состав]],Ингредиенты!A:I,3,0)*Рецепты[[#This Row],[г]],"")</f>
        <v>45.300000000000004</v>
      </c>
      <c r="I113" s="42">
        <f>СводРецепт!$A$1</f>
        <v>1000</v>
      </c>
      <c r="J113" s="42">
        <f>Рецепты[[#This Row],[%]]*Рецепты[[#This Row],[Масса]]</f>
        <v>25</v>
      </c>
      <c r="K113" s="43">
        <f>Рецепты[[#This Row],[Вес ингр-тов]]*VLOOKUP(Рецепты[[#This Row],[Состав]],Ингредиенты[],3,FALSE)</f>
        <v>45.300000000000004</v>
      </c>
      <c r="L113" s="41">
        <f>IF(VLOOKUP(Рецепты[[#This Row],[Состав]],Ингредиенты[],4,0)="Основа",VLOOKUP(Рецепты[[#This Row],[Способ]],Способ[],2,0),0%)</f>
        <v>0</v>
      </c>
      <c r="M113" s="41">
        <f>VLOOKUP(Рецепты[[#This Row],[Способ]],Способ[],3,0)</f>
        <v>0.7</v>
      </c>
      <c r="N113" s="43">
        <f>Рецепты[[#This Row],[р]]*100%/(100%-Рецепты[[#This Row],[Потери, %]])+Рецепты[[#This Row],[Маржа]]*(Рецепты[[#This Row],[р]]*100%)/(100%-Рецепты[[#This Row],[Потери, %]])</f>
        <v>77.010000000000005</v>
      </c>
      <c r="O113" s="43">
        <f>Рецепты[[#This Row],[Цена за 1 кг]]-(Рецепты[[#This Row],[р]]*100%/(100%-Рецепты[[#This Row],[Потери, %]]))</f>
        <v>31.71</v>
      </c>
      <c r="P113" s="40" t="s">
        <v>361</v>
      </c>
      <c r="Q113" s="40" t="s">
        <v>367</v>
      </c>
      <c r="R113" s="44" t="str">
        <f>VLOOKUP(Рецепты[[#This Row],[Состав]],Ингредиенты[],9,0)</f>
        <v>Нет</v>
      </c>
      <c r="S113" s="52"/>
    </row>
    <row r="114" spans="1:19" x14ac:dyDescent="0.25">
      <c r="A114" s="40" t="s">
        <v>360</v>
      </c>
      <c r="B114" s="40" t="str">
        <f t="shared" si="14"/>
        <v>Колбаса</v>
      </c>
      <c r="C114" s="40" t="str">
        <f t="shared" si="15"/>
        <v>Вареное</v>
      </c>
      <c r="D114" s="40" t="s">
        <v>125</v>
      </c>
      <c r="E114" s="41" t="str">
        <f>VLOOKUP(Рецепты[[#This Row],[Состав]],Ингредиенты[],2,0)</f>
        <v>Специи</v>
      </c>
      <c r="F114" s="62">
        <v>1.0999999999999999E-2</v>
      </c>
      <c r="G114" s="42">
        <f>IF(Рецепты[[#This Row],[%]]*1000&gt;0,Рецепты[[#This Row],[%]]*1000,"")</f>
        <v>11</v>
      </c>
      <c r="H114" s="43">
        <f>IFERROR(VLOOKUP(Рецепты[[#This Row],[Состав]],Ингредиенты!A:I,3,0)*Рецепты[[#This Row],[г]],"")</f>
        <v>1.4079999999999999</v>
      </c>
      <c r="I114" s="42">
        <f>СводРецепт!$A$1</f>
        <v>1000</v>
      </c>
      <c r="J114" s="42">
        <f>Рецепты[[#This Row],[%]]*Рецепты[[#This Row],[Масса]]</f>
        <v>11</v>
      </c>
      <c r="K114" s="43">
        <f>Рецепты[[#This Row],[Вес ингр-тов]]*VLOOKUP(Рецепты[[#This Row],[Состав]],Ингредиенты[],3,FALSE)</f>
        <v>1.4079999999999999</v>
      </c>
      <c r="L114" s="41">
        <f>IF(VLOOKUP(Рецепты[[#This Row],[Состав]],Ингредиенты[],4,0)="Основа",VLOOKUP(Рецепты[[#This Row],[Способ]],Способ[],2,0),0%)</f>
        <v>0</v>
      </c>
      <c r="M114" s="41">
        <f>VLOOKUP(Рецепты[[#This Row],[Способ]],Способ[],3,0)</f>
        <v>0.7</v>
      </c>
      <c r="N114" s="43">
        <f>Рецепты[[#This Row],[р]]*100%/(100%-Рецепты[[#This Row],[Потери, %]])+Рецепты[[#This Row],[Маржа]]*(Рецепты[[#This Row],[р]]*100%)/(100%-Рецепты[[#This Row],[Потери, %]])</f>
        <v>2.3935999999999997</v>
      </c>
      <c r="O114" s="43">
        <f>Рецепты[[#This Row],[Цена за 1 кг]]-(Рецепты[[#This Row],[р]]*100%/(100%-Рецепты[[#This Row],[Потери, %]]))</f>
        <v>0.98559999999999981</v>
      </c>
      <c r="P114" s="40" t="s">
        <v>361</v>
      </c>
      <c r="Q114" s="40" t="s">
        <v>368</v>
      </c>
      <c r="R114" s="44" t="str">
        <f>VLOOKUP(Рецепты[[#This Row],[Состав]],Ингредиенты[],9,0)</f>
        <v>Да</v>
      </c>
      <c r="S114" s="52"/>
    </row>
    <row r="115" spans="1:19" x14ac:dyDescent="0.25">
      <c r="A115" s="40" t="s">
        <v>360</v>
      </c>
      <c r="B115" s="40" t="str">
        <f t="shared" si="14"/>
        <v>Колбаса</v>
      </c>
      <c r="C115" s="40" t="str">
        <f t="shared" si="15"/>
        <v>Вареное</v>
      </c>
      <c r="D115" s="40" t="s">
        <v>128</v>
      </c>
      <c r="E115" s="41" t="str">
        <f>VLOOKUP(Рецепты[[#This Row],[Состав]],Ингредиенты[],2,0)</f>
        <v>Специи</v>
      </c>
      <c r="F115" s="62">
        <v>1.0999999999999999E-2</v>
      </c>
      <c r="G115" s="42">
        <f>IF(Рецепты[[#This Row],[%]]*1000&gt;0,Рецепты[[#This Row],[%]]*1000,"")</f>
        <v>11</v>
      </c>
      <c r="H115" s="43">
        <f>IFERROR(VLOOKUP(Рецепты[[#This Row],[Состав]],Ингредиенты!A:I,3,0)*Рецепты[[#This Row],[г]],"")</f>
        <v>0.42349999999999999</v>
      </c>
      <c r="I115" s="42">
        <f>СводРецепт!$A$1</f>
        <v>1000</v>
      </c>
      <c r="J115" s="42">
        <f>Рецепты[[#This Row],[%]]*Рецепты[[#This Row],[Масса]]</f>
        <v>11</v>
      </c>
      <c r="K115" s="43">
        <f>Рецепты[[#This Row],[Вес ингр-тов]]*VLOOKUP(Рецепты[[#This Row],[Состав]],Ингредиенты[],3,FALSE)</f>
        <v>0.42349999999999999</v>
      </c>
      <c r="L115" s="41">
        <f>IF(VLOOKUP(Рецепты[[#This Row],[Состав]],Ингредиенты[],4,0)="Основа",VLOOKUP(Рецепты[[#This Row],[Способ]],Способ[],2,0),0%)</f>
        <v>0</v>
      </c>
      <c r="M115" s="41">
        <f>VLOOKUP(Рецепты[[#This Row],[Способ]],Способ[],3,0)</f>
        <v>0.7</v>
      </c>
      <c r="N115" s="43">
        <f>Рецепты[[#This Row],[р]]*100%/(100%-Рецепты[[#This Row],[Потери, %]])+Рецепты[[#This Row],[Маржа]]*(Рецепты[[#This Row],[р]]*100%)/(100%-Рецепты[[#This Row],[Потери, %]])</f>
        <v>0.71994999999999998</v>
      </c>
      <c r="O115" s="43">
        <f>Рецепты[[#This Row],[Цена за 1 кг]]-(Рецепты[[#This Row],[р]]*100%/(100%-Рецепты[[#This Row],[Потери, %]]))</f>
        <v>0.29644999999999999</v>
      </c>
      <c r="P115" s="40" t="s">
        <v>361</v>
      </c>
      <c r="Q115" s="40" t="s">
        <v>369</v>
      </c>
      <c r="R115" s="44" t="str">
        <f>VLOOKUP(Рецепты[[#This Row],[Состав]],Ингредиенты[],9,0)</f>
        <v>Да</v>
      </c>
      <c r="S115" s="52"/>
    </row>
    <row r="116" spans="1:19" x14ac:dyDescent="0.25">
      <c r="A116" s="40" t="s">
        <v>360</v>
      </c>
      <c r="B116" s="40" t="str">
        <f t="shared" si="14"/>
        <v>Колбаса</v>
      </c>
      <c r="C116" s="40" t="str">
        <f t="shared" si="15"/>
        <v>Вареное</v>
      </c>
      <c r="D116" s="40" t="s">
        <v>133</v>
      </c>
      <c r="E116" s="41" t="str">
        <f>VLOOKUP(Рецепты[[#This Row],[Состав]],Ингредиенты[],2,0)</f>
        <v>Специи</v>
      </c>
      <c r="F116" s="62">
        <v>2E-3</v>
      </c>
      <c r="G116" s="42">
        <f>IF(Рецепты[[#This Row],[%]]*1000&gt;0,Рецепты[[#This Row],[%]]*1000,"")</f>
        <v>2</v>
      </c>
      <c r="H116" s="43">
        <f>IFERROR(VLOOKUP(Рецепты[[#This Row],[Состав]],Ингредиенты!A:I,3,0)*Рецепты[[#This Row],[г]],"")</f>
        <v>2.189090909090909</v>
      </c>
      <c r="I116" s="42">
        <f>СводРецепт!$A$1</f>
        <v>1000</v>
      </c>
      <c r="J116" s="42">
        <f>Рецепты[[#This Row],[%]]*Рецепты[[#This Row],[Масса]]</f>
        <v>2</v>
      </c>
      <c r="K116" s="43">
        <f>Рецепты[[#This Row],[Вес ингр-тов]]*VLOOKUP(Рецепты[[#This Row],[Состав]],Ингредиенты[],3,FALSE)</f>
        <v>2.189090909090909</v>
      </c>
      <c r="L116" s="41">
        <f>IF(VLOOKUP(Рецепты[[#This Row],[Состав]],Ингредиенты[],4,0)="Основа",VLOOKUP(Рецепты[[#This Row],[Способ]],Способ[],2,0),0%)</f>
        <v>0</v>
      </c>
      <c r="M116" s="41">
        <f>VLOOKUP(Рецепты[[#This Row],[Способ]],Способ[],3,0)</f>
        <v>0.7</v>
      </c>
      <c r="N116" s="43">
        <f>Рецепты[[#This Row],[р]]*100%/(100%-Рецепты[[#This Row],[Потери, %]])+Рецепты[[#This Row],[Маржа]]*(Рецепты[[#This Row],[р]]*100%)/(100%-Рецепты[[#This Row],[Потери, %]])</f>
        <v>3.7214545454545451</v>
      </c>
      <c r="O116" s="43">
        <f>Рецепты[[#This Row],[Цена за 1 кг]]-(Рецепты[[#This Row],[р]]*100%/(100%-Рецепты[[#This Row],[Потери, %]]))</f>
        <v>1.5323636363636362</v>
      </c>
      <c r="P116" s="40" t="s">
        <v>361</v>
      </c>
      <c r="Q116" s="40" t="s">
        <v>370</v>
      </c>
      <c r="R116" s="44" t="str">
        <f>VLOOKUP(Рецепты[[#This Row],[Состав]],Ингредиенты[],9,0)</f>
        <v>Да</v>
      </c>
      <c r="S116" s="52"/>
    </row>
    <row r="117" spans="1:19" x14ac:dyDescent="0.25">
      <c r="A117" s="40" t="s">
        <v>360</v>
      </c>
      <c r="B117" s="40" t="str">
        <f t="shared" si="14"/>
        <v>Колбаса</v>
      </c>
      <c r="C117" s="40" t="str">
        <f t="shared" si="15"/>
        <v>Вареное</v>
      </c>
      <c r="D117" s="40" t="s">
        <v>177</v>
      </c>
      <c r="E117" s="41" t="str">
        <f>VLOOKUP(Рецепты[[#This Row],[Состав]],Ингредиенты[],2,0)</f>
        <v>Специи</v>
      </c>
      <c r="F117" s="62">
        <v>2E-3</v>
      </c>
      <c r="G117" s="42">
        <f>IF(Рецепты[[#This Row],[%]]*1000&gt;0,Рецепты[[#This Row],[%]]*1000,"")</f>
        <v>2</v>
      </c>
      <c r="H117" s="43">
        <f>IFERROR(VLOOKUP(Рецепты[[#This Row],[Состав]],Ингредиенты!A:I,3,0)*Рецепты[[#This Row],[г]],"")</f>
        <v>2.5826086956521741</v>
      </c>
      <c r="I117" s="42">
        <f>СводРецепт!$A$1</f>
        <v>1000</v>
      </c>
      <c r="J117" s="42">
        <f>Рецепты[[#This Row],[%]]*Рецепты[[#This Row],[Масса]]</f>
        <v>2</v>
      </c>
      <c r="K117" s="43">
        <f>Рецепты[[#This Row],[Вес ингр-тов]]*VLOOKUP(Рецепты[[#This Row],[Состав]],Ингредиенты[],3,FALSE)</f>
        <v>2.5826086956521741</v>
      </c>
      <c r="L117" s="41">
        <f>IF(VLOOKUP(Рецепты[[#This Row],[Состав]],Ингредиенты[],4,0)="Основа",VLOOKUP(Рецепты[[#This Row],[Способ]],Способ[],2,0),0%)</f>
        <v>0</v>
      </c>
      <c r="M117" s="41">
        <f>VLOOKUP(Рецепты[[#This Row],[Способ]],Способ[],3,0)</f>
        <v>0.7</v>
      </c>
      <c r="N117" s="43">
        <f>Рецепты[[#This Row],[р]]*100%/(100%-Рецепты[[#This Row],[Потери, %]])+Рецепты[[#This Row],[Маржа]]*(Рецепты[[#This Row],[р]]*100%)/(100%-Рецепты[[#This Row],[Потери, %]])</f>
        <v>4.390434782608696</v>
      </c>
      <c r="O117" s="43">
        <f>Рецепты[[#This Row],[Цена за 1 кг]]-(Рецепты[[#This Row],[р]]*100%/(100%-Рецепты[[#This Row],[Потери, %]]))</f>
        <v>1.8078260869565219</v>
      </c>
      <c r="P117" s="40" t="s">
        <v>361</v>
      </c>
      <c r="Q117" s="40" t="s">
        <v>371</v>
      </c>
      <c r="R117" s="44" t="str">
        <f>VLOOKUP(Рецепты[[#This Row],[Состав]],Ингредиенты[],9,0)</f>
        <v>Да</v>
      </c>
      <c r="S117" s="52"/>
    </row>
    <row r="118" spans="1:19" x14ac:dyDescent="0.25">
      <c r="A118" s="40" t="s">
        <v>360</v>
      </c>
      <c r="B118" s="40" t="str">
        <f t="shared" si="14"/>
        <v>Колбаса</v>
      </c>
      <c r="C118" s="40" t="str">
        <f t="shared" si="15"/>
        <v>Вареное</v>
      </c>
      <c r="D118" s="40" t="s">
        <v>151</v>
      </c>
      <c r="E118" s="41" t="str">
        <f>VLOOKUP(Рецепты[[#This Row],[Состав]],Ингредиенты[],2,0)</f>
        <v>Специи</v>
      </c>
      <c r="F118" s="62">
        <v>2E-3</v>
      </c>
      <c r="G118" s="42">
        <f>IF(Рецепты[[#This Row],[%]]*1000&gt;0,Рецепты[[#This Row],[%]]*1000,"")</f>
        <v>2</v>
      </c>
      <c r="H118" s="43">
        <f>IFERROR(VLOOKUP(Рецепты[[#This Row],[Состав]],Ингредиенты!A:I,3,0)*Рецепты[[#This Row],[г]],"")</f>
        <v>1.7566666666666666</v>
      </c>
      <c r="I118" s="42">
        <f>СводРецепт!$A$1</f>
        <v>1000</v>
      </c>
      <c r="J118" s="42">
        <f>Рецепты[[#This Row],[%]]*Рецепты[[#This Row],[Масса]]</f>
        <v>2</v>
      </c>
      <c r="K118" s="43">
        <f>Рецепты[[#This Row],[Вес ингр-тов]]*VLOOKUP(Рецепты[[#This Row],[Состав]],Ингредиенты[],3,FALSE)</f>
        <v>1.7566666666666666</v>
      </c>
      <c r="L118" s="41">
        <f>IF(VLOOKUP(Рецепты[[#This Row],[Состав]],Ингредиенты[],4,0)="Основа",VLOOKUP(Рецепты[[#This Row],[Способ]],Способ[],2,0),0%)</f>
        <v>0</v>
      </c>
      <c r="M118" s="41">
        <f>VLOOKUP(Рецепты[[#This Row],[Способ]],Способ[],3,0)</f>
        <v>0.7</v>
      </c>
      <c r="N118" s="43">
        <f>Рецепты[[#This Row],[р]]*100%/(100%-Рецепты[[#This Row],[Потери, %]])+Рецепты[[#This Row],[Маржа]]*(Рецепты[[#This Row],[р]]*100%)/(100%-Рецепты[[#This Row],[Потери, %]])</f>
        <v>2.9863333333333331</v>
      </c>
      <c r="O118" s="43">
        <f>Рецепты[[#This Row],[Цена за 1 кг]]-(Рецепты[[#This Row],[р]]*100%/(100%-Рецепты[[#This Row],[Потери, %]]))</f>
        <v>1.2296666666666665</v>
      </c>
      <c r="P118" s="40" t="s">
        <v>361</v>
      </c>
      <c r="Q118" s="40" t="s">
        <v>372</v>
      </c>
      <c r="R118" s="44" t="str">
        <f>VLOOKUP(Рецепты[[#This Row],[Состав]],Ингредиенты[],9,0)</f>
        <v>Да</v>
      </c>
      <c r="S118" s="52"/>
    </row>
    <row r="119" spans="1:19" x14ac:dyDescent="0.25">
      <c r="A119" s="40" t="s">
        <v>360</v>
      </c>
      <c r="B119" s="40" t="str">
        <f t="shared" si="14"/>
        <v>Колбаса</v>
      </c>
      <c r="C119" s="40" t="str">
        <f t="shared" si="15"/>
        <v>Вареное</v>
      </c>
      <c r="D119" s="40" t="s">
        <v>153</v>
      </c>
      <c r="E119" s="41" t="str">
        <f>VLOOKUP(Рецепты[[#This Row],[Состав]],Ингредиенты[],2,0)</f>
        <v>Специи</v>
      </c>
      <c r="F119" s="62">
        <v>1E-3</v>
      </c>
      <c r="G119" s="42">
        <f>IF(Рецепты[[#This Row],[%]]*1000&gt;0,Рецепты[[#This Row],[%]]*1000,"")</f>
        <v>1</v>
      </c>
      <c r="H119" s="43">
        <f>IFERROR(VLOOKUP(Рецепты[[#This Row],[Состав]],Ингредиенты!A:I,3,0)*Рецепты[[#This Row],[г]],"")</f>
        <v>1.5133333333333334</v>
      </c>
      <c r="I119" s="42">
        <f>СводРецепт!$A$1</f>
        <v>1000</v>
      </c>
      <c r="J119" s="42">
        <f>Рецепты[[#This Row],[%]]*Рецепты[[#This Row],[Масса]]</f>
        <v>1</v>
      </c>
      <c r="K119" s="43">
        <f>Рецепты[[#This Row],[Вес ингр-тов]]*VLOOKUP(Рецепты[[#This Row],[Состав]],Ингредиенты[],3,FALSE)</f>
        <v>1.5133333333333334</v>
      </c>
      <c r="L119" s="41">
        <f>IF(VLOOKUP(Рецепты[[#This Row],[Состав]],Ингредиенты[],4,0)="Основа",VLOOKUP(Рецепты[[#This Row],[Способ]],Способ[],2,0),0%)</f>
        <v>0</v>
      </c>
      <c r="M119" s="41">
        <f>VLOOKUP(Рецепты[[#This Row],[Способ]],Способ[],3,0)</f>
        <v>0.7</v>
      </c>
      <c r="N119" s="43">
        <f>Рецепты[[#This Row],[р]]*100%/(100%-Рецепты[[#This Row],[Потери, %]])+Рецепты[[#This Row],[Маржа]]*(Рецепты[[#This Row],[р]]*100%)/(100%-Рецепты[[#This Row],[Потери, %]])</f>
        <v>2.5726666666666667</v>
      </c>
      <c r="O119" s="43">
        <f>Рецепты[[#This Row],[Цена за 1 кг]]-(Рецепты[[#This Row],[р]]*100%/(100%-Рецепты[[#This Row],[Потери, %]]))</f>
        <v>1.0593333333333332</v>
      </c>
      <c r="P119" s="40" t="s">
        <v>361</v>
      </c>
      <c r="Q119" s="40" t="s">
        <v>373</v>
      </c>
      <c r="R119" s="44" t="str">
        <f>VLOOKUP(Рецепты[[#This Row],[Состав]],Ингредиенты[],9,0)</f>
        <v>Да</v>
      </c>
      <c r="S119" s="52"/>
    </row>
    <row r="120" spans="1:19" x14ac:dyDescent="0.25">
      <c r="A120" s="40" t="s">
        <v>360</v>
      </c>
      <c r="B120" s="40" t="str">
        <f>B119</f>
        <v>Колбаса</v>
      </c>
      <c r="C120" s="40" t="str">
        <f>C119</f>
        <v>Вареное</v>
      </c>
      <c r="D120" s="40" t="s">
        <v>214</v>
      </c>
      <c r="E120" s="41" t="str">
        <f>VLOOKUP(Рецепты[[#This Row],[Состав]],Ингредиенты[],2,0)</f>
        <v>Оболочка</v>
      </c>
      <c r="F120" s="62">
        <v>1E-3</v>
      </c>
      <c r="G120" s="42">
        <f>IF(Рецепты[[#This Row],[%]]*1000&gt;0,Рецепты[[#This Row],[%]]*1000,"")</f>
        <v>1</v>
      </c>
      <c r="H120" s="43">
        <f>IFERROR(VLOOKUP(Рецепты[[#This Row],[Состав]],Ингредиенты!A:I,3,0)*Рецепты[[#This Row],[г]],"")</f>
        <v>9.7374533266692147</v>
      </c>
      <c r="I120" s="42">
        <f>СводРецепт!$A$1</f>
        <v>1000</v>
      </c>
      <c r="J120" s="42">
        <f>Рецепты[[#This Row],[%]]*Рецепты[[#This Row],[Масса]]</f>
        <v>1</v>
      </c>
      <c r="K120" s="43">
        <f>Рецепты[[#This Row],[Вес ингр-тов]]*VLOOKUP(Рецепты[[#This Row],[Состав]],Ингредиенты[],3,FALSE)</f>
        <v>9.7374533266692147</v>
      </c>
      <c r="L120" s="41">
        <f>IF(VLOOKUP(Рецепты[[#This Row],[Состав]],Ингредиенты[],4,0)="Основа",VLOOKUP(Рецепты[[#This Row],[Способ]],Способ[],2,0),0%)</f>
        <v>0</v>
      </c>
      <c r="M120" s="41">
        <f>VLOOKUP(Рецепты[[#This Row],[Способ]],Способ[],3,0)</f>
        <v>0.7</v>
      </c>
      <c r="N120" s="43">
        <f>Рецепты[[#This Row],[р]]*100%/(100%-Рецепты[[#This Row],[Потери, %]])+Рецепты[[#This Row],[Маржа]]*(Рецепты[[#This Row],[р]]*100%)/(100%-Рецепты[[#This Row],[Потери, %]])</f>
        <v>16.553670655337665</v>
      </c>
      <c r="O120" s="43">
        <f>Рецепты[[#This Row],[Цена за 1 кг]]-(Рецепты[[#This Row],[р]]*100%/(100%-Рецепты[[#This Row],[Потери, %]]))</f>
        <v>6.8162173286684506</v>
      </c>
      <c r="P120" s="40" t="s">
        <v>361</v>
      </c>
      <c r="Q120" s="40" t="s">
        <v>374</v>
      </c>
      <c r="R120" s="44" t="str">
        <f>VLOOKUP(Рецепты[[#This Row],[Состав]],Ингредиенты[],9,0)</f>
        <v>Да</v>
      </c>
      <c r="S120" s="52"/>
    </row>
    <row r="121" spans="1:19" x14ac:dyDescent="0.25">
      <c r="A121" s="40" t="s">
        <v>375</v>
      </c>
      <c r="B121" s="40" t="str">
        <f>B119</f>
        <v>Колбаса</v>
      </c>
      <c r="C121" s="40" t="str">
        <f>C119</f>
        <v>Вареное</v>
      </c>
      <c r="D121" s="40" t="s">
        <v>12</v>
      </c>
      <c r="E121" s="41" t="str">
        <f>VLOOKUP(Рецепты[[#This Row],[Состав]],Ингредиенты[],2,0)</f>
        <v>Говядина</v>
      </c>
      <c r="F121" s="62">
        <v>0.4</v>
      </c>
      <c r="G121" s="42">
        <f>IF(Рецепты[[#This Row],[%]]*1000&gt;0,Рецепты[[#This Row],[%]]*1000,"")</f>
        <v>400</v>
      </c>
      <c r="H121" s="43">
        <f>IFERROR(VLOOKUP(Рецепты[[#This Row],[Состав]],Ингредиенты!A:I,3,0)*Рецепты[[#This Row],[г]],"")</f>
        <v>283.99599999999998</v>
      </c>
      <c r="I121" s="42">
        <f>СводРецепт!$A$1</f>
        <v>1000</v>
      </c>
      <c r="J121" s="42">
        <f>Рецепты[[#This Row],[%]]*Рецепты[[#This Row],[Масса]]</f>
        <v>400</v>
      </c>
      <c r="K121" s="43">
        <f>Рецепты[[#This Row],[Вес ингр-тов]]*VLOOKUP(Рецепты[[#This Row],[Состав]],Ингредиенты[],3,FALSE)</f>
        <v>283.99599999999998</v>
      </c>
      <c r="L121" s="41">
        <f>IF(VLOOKUP(Рецепты[[#This Row],[Состав]],Ингредиенты[],4,0)="Основа",VLOOKUP(Рецепты[[#This Row],[Способ]],Способ[],2,0),0%)</f>
        <v>0.15</v>
      </c>
      <c r="M121" s="41">
        <f>VLOOKUP(Рецепты[[#This Row],[Способ]],Способ[],3,0)</f>
        <v>0.7</v>
      </c>
      <c r="N121" s="43">
        <f>Рецепты[[#This Row],[р]]*100%/(100%-Рецепты[[#This Row],[Потери, %]])+Рецепты[[#This Row],[Маржа]]*(Рецепты[[#This Row],[р]]*100%)/(100%-Рецепты[[#This Row],[Потери, %]])</f>
        <v>567.99199999999996</v>
      </c>
      <c r="O121" s="43">
        <f>Рецепты[[#This Row],[Цена за 1 кг]]-(Рецепты[[#This Row],[р]]*100%/(100%-Рецепты[[#This Row],[Потери, %]]))</f>
        <v>233.87905882352936</v>
      </c>
      <c r="P121" s="40" t="s">
        <v>376</v>
      </c>
      <c r="Q121" s="40" t="s">
        <v>377</v>
      </c>
      <c r="R121" s="44" t="str">
        <f>VLOOKUP(Рецепты[[#This Row],[Состав]],Ингредиенты[],9,0)</f>
        <v>Да</v>
      </c>
      <c r="S121" s="52"/>
    </row>
    <row r="122" spans="1:19" x14ac:dyDescent="0.25">
      <c r="A122" s="40" t="s">
        <v>375</v>
      </c>
      <c r="B122" s="40" t="str">
        <f t="shared" si="14"/>
        <v>Колбаса</v>
      </c>
      <c r="C122" s="40" t="str">
        <f t="shared" si="15"/>
        <v>Вареное</v>
      </c>
      <c r="D122" s="40" t="s">
        <v>49</v>
      </c>
      <c r="E122" s="41" t="str">
        <f>VLOOKUP(Рецепты[[#This Row],[Состав]],Ингредиенты[],2,0)</f>
        <v>Свинина</v>
      </c>
      <c r="F122" s="62">
        <v>0.6</v>
      </c>
      <c r="G122" s="42">
        <f>IF(Рецепты[[#This Row],[%]]*1000&gt;0,Рецепты[[#This Row],[%]]*1000,"")</f>
        <v>600</v>
      </c>
      <c r="H122" s="43">
        <f>IFERROR(VLOOKUP(Рецепты[[#This Row],[Состав]],Ингредиенты!A:I,3,0)*Рецепты[[#This Row],[г]],"")</f>
        <v>221.4</v>
      </c>
      <c r="I122" s="42">
        <f>СводРецепт!$A$1</f>
        <v>1000</v>
      </c>
      <c r="J122" s="42">
        <f>Рецепты[[#This Row],[%]]*Рецепты[[#This Row],[Масса]]</f>
        <v>600</v>
      </c>
      <c r="K122" s="43">
        <f>Рецепты[[#This Row],[Вес ингр-тов]]*VLOOKUP(Рецепты[[#This Row],[Состав]],Ингредиенты[],3,FALSE)</f>
        <v>221.4</v>
      </c>
      <c r="L122" s="41">
        <f>IF(VLOOKUP(Рецепты[[#This Row],[Состав]],Ингредиенты[],4,0)="Основа",VLOOKUP(Рецепты[[#This Row],[Способ]],Способ[],2,0),0%)</f>
        <v>0.15</v>
      </c>
      <c r="M122" s="41">
        <f>VLOOKUP(Рецепты[[#This Row],[Способ]],Способ[],3,0)</f>
        <v>0.7</v>
      </c>
      <c r="N122" s="43">
        <f>Рецепты[[#This Row],[р]]*100%/(100%-Рецепты[[#This Row],[Потери, %]])+Рецепты[[#This Row],[Маржа]]*(Рецепты[[#This Row],[р]]*100%)/(100%-Рецепты[[#This Row],[Потери, %]])</f>
        <v>442.8</v>
      </c>
      <c r="O122" s="43">
        <f>Рецепты[[#This Row],[Цена за 1 кг]]-(Рецепты[[#This Row],[р]]*100%/(100%-Рецепты[[#This Row],[Потери, %]]))</f>
        <v>182.32941176470587</v>
      </c>
      <c r="P122" s="40" t="s">
        <v>376</v>
      </c>
      <c r="Q122" s="40" t="s">
        <v>377</v>
      </c>
      <c r="R122" s="44" t="str">
        <f>VLOOKUP(Рецепты[[#This Row],[Состав]],Ингредиенты[],9,0)</f>
        <v>Да</v>
      </c>
      <c r="S122" s="52"/>
    </row>
    <row r="123" spans="1:19" x14ac:dyDescent="0.25">
      <c r="A123" s="40" t="s">
        <v>375</v>
      </c>
      <c r="B123" s="40" t="str">
        <f>B122</f>
        <v>Колбаса</v>
      </c>
      <c r="C123" s="40" t="str">
        <f>C122</f>
        <v>Вареное</v>
      </c>
      <c r="D123" s="40" t="s">
        <v>93</v>
      </c>
      <c r="E123" s="41" t="str">
        <f>VLOOKUP(Рецепты[[#This Row],[Состав]],Ингредиенты[],2,0)</f>
        <v>Добавки</v>
      </c>
      <c r="F123" s="62">
        <v>0.13</v>
      </c>
      <c r="G123" s="42">
        <f>IF(Рецепты[[#This Row],[%]]*1000&gt;0,Рецепты[[#This Row],[%]]*1000,"")</f>
        <v>130</v>
      </c>
      <c r="H123" s="43">
        <f>IFERROR(VLOOKUP(Рецепты[[#This Row],[Состав]],Ингредиенты!A:I,3,0)*Рецепты[[#This Row],[г]],"")</f>
        <v>0.13</v>
      </c>
      <c r="I123" s="42">
        <f>СводРецепт!$A$1</f>
        <v>1000</v>
      </c>
      <c r="J123" s="42">
        <f>Рецепты[[#This Row],[%]]*Рецепты[[#This Row],[Масса]]</f>
        <v>130</v>
      </c>
      <c r="K123" s="43">
        <f>Рецепты[[#This Row],[Вес ингр-тов]]*VLOOKUP(Рецепты[[#This Row],[Состав]],Ингредиенты[],3,FALSE)</f>
        <v>0.13</v>
      </c>
      <c r="L123" s="41">
        <f>IF(VLOOKUP(Рецепты[[#This Row],[Состав]],Ингредиенты[],4,0)="Основа",VLOOKUP(Рецепты[[#This Row],[Способ]],Способ[],2,0),0%)</f>
        <v>0</v>
      </c>
      <c r="M123" s="41">
        <f>VLOOKUP(Рецепты[[#This Row],[Способ]],Способ[],3,0)</f>
        <v>0.7</v>
      </c>
      <c r="N123" s="43">
        <f>Рецепты[[#This Row],[р]]*100%/(100%-Рецепты[[#This Row],[Потери, %]])+Рецепты[[#This Row],[Маржа]]*(Рецепты[[#This Row],[р]]*100%)/(100%-Рецепты[[#This Row],[Потери, %]])</f>
        <v>0.221</v>
      </c>
      <c r="O123" s="43">
        <f>Рецепты[[#This Row],[Цена за 1 кг]]-(Рецепты[[#This Row],[р]]*100%/(100%-Рецепты[[#This Row],[Потери, %]]))</f>
        <v>9.0999999999999998E-2</v>
      </c>
      <c r="P123" s="40" t="s">
        <v>376</v>
      </c>
      <c r="Q123" s="40" t="s">
        <v>377</v>
      </c>
      <c r="R123" s="44" t="str">
        <f>VLOOKUP(Рецепты[[#This Row],[Состав]],Ингредиенты[],9,0)</f>
        <v>Да</v>
      </c>
      <c r="S123" s="52"/>
    </row>
    <row r="124" spans="1:19" x14ac:dyDescent="0.25">
      <c r="A124" s="40" t="s">
        <v>375</v>
      </c>
      <c r="B124" s="40" t="str">
        <f>B122</f>
        <v>Колбаса</v>
      </c>
      <c r="C124" s="40" t="str">
        <f>C122</f>
        <v>Вареное</v>
      </c>
      <c r="D124" s="40" t="s">
        <v>125</v>
      </c>
      <c r="E124" s="41" t="str">
        <f>VLOOKUP(Рецепты[[#This Row],[Состав]],Ингредиенты[],2,0)</f>
        <v>Специи</v>
      </c>
      <c r="F124" s="62">
        <v>0.01</v>
      </c>
      <c r="G124" s="42">
        <f>IF(Рецепты[[#This Row],[%]]*1000&gt;0,Рецепты[[#This Row],[%]]*1000,"")</f>
        <v>10</v>
      </c>
      <c r="H124" s="43">
        <f>IFERROR(VLOOKUP(Рецепты[[#This Row],[Состав]],Ингредиенты!A:I,3,0)*Рецепты[[#This Row],[г]],"")</f>
        <v>1.28</v>
      </c>
      <c r="I124" s="42">
        <f>СводРецепт!$A$1</f>
        <v>1000</v>
      </c>
      <c r="J124" s="42">
        <f>Рецепты[[#This Row],[%]]*Рецепты[[#This Row],[Масса]]</f>
        <v>10</v>
      </c>
      <c r="K124" s="43">
        <f>Рецепты[[#This Row],[Вес ингр-тов]]*VLOOKUP(Рецепты[[#This Row],[Состав]],Ингредиенты[],3,FALSE)</f>
        <v>1.28</v>
      </c>
      <c r="L124" s="41">
        <f>IF(VLOOKUP(Рецепты[[#This Row],[Состав]],Ингредиенты[],4,0)="Основа",VLOOKUP(Рецепты[[#This Row],[Способ]],Способ[],2,0),0%)</f>
        <v>0</v>
      </c>
      <c r="M124" s="41">
        <f>VLOOKUP(Рецепты[[#This Row],[Способ]],Способ[],3,0)</f>
        <v>0.7</v>
      </c>
      <c r="N124" s="43">
        <f>Рецепты[[#This Row],[р]]*100%/(100%-Рецепты[[#This Row],[Потери, %]])+Рецепты[[#This Row],[Маржа]]*(Рецепты[[#This Row],[р]]*100%)/(100%-Рецепты[[#This Row],[Потери, %]])</f>
        <v>2.1760000000000002</v>
      </c>
      <c r="O124" s="43">
        <f>Рецепты[[#This Row],[Цена за 1 кг]]-(Рецепты[[#This Row],[р]]*100%/(100%-Рецепты[[#This Row],[Потери, %]]))</f>
        <v>0.89600000000000013</v>
      </c>
      <c r="P124" s="40" t="s">
        <v>376</v>
      </c>
      <c r="Q124" s="40" t="s">
        <v>377</v>
      </c>
      <c r="R124" s="44" t="str">
        <f>VLOOKUP(Рецепты[[#This Row],[Состав]],Ингредиенты[],9,0)</f>
        <v>Да</v>
      </c>
      <c r="S124" s="52"/>
    </row>
    <row r="125" spans="1:19" x14ac:dyDescent="0.25">
      <c r="A125" s="40" t="s">
        <v>375</v>
      </c>
      <c r="B125" s="40" t="str">
        <f t="shared" si="14"/>
        <v>Колбаса</v>
      </c>
      <c r="C125" s="40" t="str">
        <f t="shared" si="15"/>
        <v>Вареное</v>
      </c>
      <c r="D125" s="40" t="s">
        <v>128</v>
      </c>
      <c r="E125" s="41" t="str">
        <f>VLOOKUP(Рецепты[[#This Row],[Состав]],Ингредиенты[],2,0)</f>
        <v>Специи</v>
      </c>
      <c r="F125" s="62">
        <v>0.01</v>
      </c>
      <c r="G125" s="42">
        <f>IF(Рецепты[[#This Row],[%]]*1000&gt;0,Рецепты[[#This Row],[%]]*1000,"")</f>
        <v>10</v>
      </c>
      <c r="H125" s="43">
        <f>IFERROR(VLOOKUP(Рецепты[[#This Row],[Состав]],Ингредиенты!A:I,3,0)*Рецепты[[#This Row],[г]],"")</f>
        <v>0.38500000000000001</v>
      </c>
      <c r="I125" s="42">
        <f>СводРецепт!$A$1</f>
        <v>1000</v>
      </c>
      <c r="J125" s="42">
        <f>Рецепты[[#This Row],[%]]*Рецепты[[#This Row],[Масса]]</f>
        <v>10</v>
      </c>
      <c r="K125" s="43">
        <f>Рецепты[[#This Row],[Вес ингр-тов]]*VLOOKUP(Рецепты[[#This Row],[Состав]],Ингредиенты[],3,FALSE)</f>
        <v>0.38500000000000001</v>
      </c>
      <c r="L125" s="41">
        <f>IF(VLOOKUP(Рецепты[[#This Row],[Состав]],Ингредиенты[],4,0)="Основа",VLOOKUP(Рецепты[[#This Row],[Способ]],Способ[],2,0),0%)</f>
        <v>0</v>
      </c>
      <c r="M125" s="41">
        <f>VLOOKUP(Рецепты[[#This Row],[Способ]],Способ[],3,0)</f>
        <v>0.7</v>
      </c>
      <c r="N125" s="43">
        <f>Рецепты[[#This Row],[р]]*100%/(100%-Рецепты[[#This Row],[Потери, %]])+Рецепты[[#This Row],[Маржа]]*(Рецепты[[#This Row],[р]]*100%)/(100%-Рецепты[[#This Row],[Потери, %]])</f>
        <v>0.65449999999999997</v>
      </c>
      <c r="O125" s="43">
        <f>Рецепты[[#This Row],[Цена за 1 кг]]-(Рецепты[[#This Row],[р]]*100%/(100%-Рецепты[[#This Row],[Потери, %]]))</f>
        <v>0.26949999999999996</v>
      </c>
      <c r="P125" s="40" t="s">
        <v>376</v>
      </c>
      <c r="Q125" s="40" t="s">
        <v>377</v>
      </c>
      <c r="R125" s="44" t="str">
        <f>VLOOKUP(Рецепты[[#This Row],[Состав]],Ингредиенты[],9,0)</f>
        <v>Да</v>
      </c>
      <c r="S125" s="52"/>
    </row>
    <row r="126" spans="1:19" x14ac:dyDescent="0.25">
      <c r="A126" s="40" t="s">
        <v>375</v>
      </c>
      <c r="B126" s="40" t="str">
        <f t="shared" si="14"/>
        <v>Колбаса</v>
      </c>
      <c r="C126" s="40" t="str">
        <f t="shared" si="15"/>
        <v>Вареное</v>
      </c>
      <c r="D126" s="40" t="s">
        <v>131</v>
      </c>
      <c r="E126" s="41" t="str">
        <f>VLOOKUP(Рецепты[[#This Row],[Состав]],Ингредиенты[],2,0)</f>
        <v>Специи</v>
      </c>
      <c r="F126" s="62">
        <v>2E-3</v>
      </c>
      <c r="G126" s="42">
        <f>IF(Рецепты[[#This Row],[%]]*1000&gt;0,Рецепты[[#This Row],[%]]*1000,"")</f>
        <v>2</v>
      </c>
      <c r="H126" s="43">
        <f>IFERROR(VLOOKUP(Рецепты[[#This Row],[Состав]],Ингредиенты!A:I,3,0)*Рецепты[[#This Row],[г]],"")</f>
        <v>0.16176470588235295</v>
      </c>
      <c r="I126" s="42">
        <f>СводРецепт!$A$1</f>
        <v>1000</v>
      </c>
      <c r="J126" s="42">
        <f>Рецепты[[#This Row],[%]]*Рецепты[[#This Row],[Масса]]</f>
        <v>2</v>
      </c>
      <c r="K126" s="43">
        <f>Рецепты[[#This Row],[Вес ингр-тов]]*VLOOKUP(Рецепты[[#This Row],[Состав]],Ингредиенты[],3,FALSE)</f>
        <v>0.16176470588235295</v>
      </c>
      <c r="L126" s="41">
        <f>IF(VLOOKUP(Рецепты[[#This Row],[Состав]],Ингредиенты[],4,0)="Основа",VLOOKUP(Рецепты[[#This Row],[Способ]],Способ[],2,0),0%)</f>
        <v>0</v>
      </c>
      <c r="M126" s="41">
        <f>VLOOKUP(Рецепты[[#This Row],[Способ]],Способ[],3,0)</f>
        <v>0.7</v>
      </c>
      <c r="N126" s="43">
        <f>Рецепты[[#This Row],[р]]*100%/(100%-Рецепты[[#This Row],[Потери, %]])+Рецепты[[#This Row],[Маржа]]*(Рецепты[[#This Row],[р]]*100%)/(100%-Рецепты[[#This Row],[Потери, %]])</f>
        <v>0.27500000000000002</v>
      </c>
      <c r="O126" s="43">
        <f>Рецепты[[#This Row],[Цена за 1 кг]]-(Рецепты[[#This Row],[р]]*100%/(100%-Рецепты[[#This Row],[Потери, %]]))</f>
        <v>0.11323529411764707</v>
      </c>
      <c r="P126" s="40" t="s">
        <v>376</v>
      </c>
      <c r="Q126" s="40" t="s">
        <v>377</v>
      </c>
      <c r="R126" s="44" t="str">
        <f>VLOOKUP(Рецепты[[#This Row],[Состав]],Ингредиенты[],9,0)</f>
        <v>Да</v>
      </c>
      <c r="S126" s="52"/>
    </row>
    <row r="127" spans="1:19" x14ac:dyDescent="0.25">
      <c r="A127" s="40" t="s">
        <v>375</v>
      </c>
      <c r="B127" s="40" t="str">
        <f t="shared" si="14"/>
        <v>Колбаса</v>
      </c>
      <c r="C127" s="40" t="str">
        <f t="shared" si="15"/>
        <v>Вареное</v>
      </c>
      <c r="D127" s="40" t="s">
        <v>133</v>
      </c>
      <c r="E127" s="41" t="str">
        <f>VLOOKUP(Рецепты[[#This Row],[Состав]],Ингредиенты[],2,0)</f>
        <v>Специи</v>
      </c>
      <c r="F127" s="62">
        <v>2E-3</v>
      </c>
      <c r="G127" s="42">
        <f>IF(Рецепты[[#This Row],[%]]*1000&gt;0,Рецепты[[#This Row],[%]]*1000,"")</f>
        <v>2</v>
      </c>
      <c r="H127" s="43">
        <f>IFERROR(VLOOKUP(Рецепты[[#This Row],[Состав]],Ингредиенты!A:I,3,0)*Рецепты[[#This Row],[г]],"")</f>
        <v>2.189090909090909</v>
      </c>
      <c r="I127" s="42">
        <f>СводРецепт!$A$1</f>
        <v>1000</v>
      </c>
      <c r="J127" s="42">
        <f>Рецепты[[#This Row],[%]]*Рецепты[[#This Row],[Масса]]</f>
        <v>2</v>
      </c>
      <c r="K127" s="43">
        <f>Рецепты[[#This Row],[Вес ингр-тов]]*VLOOKUP(Рецепты[[#This Row],[Состав]],Ингредиенты[],3,FALSE)</f>
        <v>2.189090909090909</v>
      </c>
      <c r="L127" s="41">
        <f>IF(VLOOKUP(Рецепты[[#This Row],[Состав]],Ингредиенты[],4,0)="Основа",VLOOKUP(Рецепты[[#This Row],[Способ]],Способ[],2,0),0%)</f>
        <v>0</v>
      </c>
      <c r="M127" s="41">
        <f>VLOOKUP(Рецепты[[#This Row],[Способ]],Способ[],3,0)</f>
        <v>0.7</v>
      </c>
      <c r="N127" s="43">
        <f>Рецепты[[#This Row],[р]]*100%/(100%-Рецепты[[#This Row],[Потери, %]])+Рецепты[[#This Row],[Маржа]]*(Рецепты[[#This Row],[р]]*100%)/(100%-Рецепты[[#This Row],[Потери, %]])</f>
        <v>3.7214545454545451</v>
      </c>
      <c r="O127" s="43">
        <f>Рецепты[[#This Row],[Цена за 1 кг]]-(Рецепты[[#This Row],[р]]*100%/(100%-Рецепты[[#This Row],[Потери, %]]))</f>
        <v>1.5323636363636362</v>
      </c>
      <c r="P127" s="40" t="s">
        <v>376</v>
      </c>
      <c r="Q127" s="40" t="s">
        <v>377</v>
      </c>
      <c r="R127" s="44" t="str">
        <f>VLOOKUP(Рецепты[[#This Row],[Состав]],Ингредиенты[],9,0)</f>
        <v>Да</v>
      </c>
      <c r="S127" s="52"/>
    </row>
    <row r="128" spans="1:19" x14ac:dyDescent="0.25">
      <c r="A128" s="40" t="s">
        <v>375</v>
      </c>
      <c r="B128" s="40" t="str">
        <f t="shared" si="14"/>
        <v>Колбаса</v>
      </c>
      <c r="C128" s="40" t="str">
        <f t="shared" si="15"/>
        <v>Вареное</v>
      </c>
      <c r="D128" s="40" t="s">
        <v>151</v>
      </c>
      <c r="E128" s="41" t="str">
        <f>VLOOKUP(Рецепты[[#This Row],[Состав]],Ингредиенты[],2,0)</f>
        <v>Специи</v>
      </c>
      <c r="F128" s="62">
        <v>1E-3</v>
      </c>
      <c r="G128" s="42">
        <f>IF(Рецепты[[#This Row],[%]]*1000&gt;0,Рецепты[[#This Row],[%]]*1000,"")</f>
        <v>1</v>
      </c>
      <c r="H128" s="43">
        <f>IFERROR(VLOOKUP(Рецепты[[#This Row],[Состав]],Ингредиенты!A:I,3,0)*Рецепты[[#This Row],[г]],"")</f>
        <v>0.8783333333333333</v>
      </c>
      <c r="I128" s="42">
        <f>СводРецепт!$A$1</f>
        <v>1000</v>
      </c>
      <c r="J128" s="42">
        <f>Рецепты[[#This Row],[%]]*Рецепты[[#This Row],[Масса]]</f>
        <v>1</v>
      </c>
      <c r="K128" s="43">
        <f>Рецепты[[#This Row],[Вес ингр-тов]]*VLOOKUP(Рецепты[[#This Row],[Состав]],Ингредиенты[],3,FALSE)</f>
        <v>0.8783333333333333</v>
      </c>
      <c r="L128" s="41">
        <f>IF(VLOOKUP(Рецепты[[#This Row],[Состав]],Ингредиенты[],4,0)="Основа",VLOOKUP(Рецепты[[#This Row],[Способ]],Способ[],2,0),0%)</f>
        <v>0</v>
      </c>
      <c r="M128" s="41">
        <f>VLOOKUP(Рецепты[[#This Row],[Способ]],Способ[],3,0)</f>
        <v>0.7</v>
      </c>
      <c r="N128" s="43">
        <f>Рецепты[[#This Row],[р]]*100%/(100%-Рецепты[[#This Row],[Потери, %]])+Рецепты[[#This Row],[Маржа]]*(Рецепты[[#This Row],[р]]*100%)/(100%-Рецепты[[#This Row],[Потери, %]])</f>
        <v>1.4931666666666665</v>
      </c>
      <c r="O128" s="43">
        <f>Рецепты[[#This Row],[Цена за 1 кг]]-(Рецепты[[#This Row],[р]]*100%/(100%-Рецепты[[#This Row],[Потери, %]]))</f>
        <v>0.61483333333333323</v>
      </c>
      <c r="P128" s="40" t="s">
        <v>376</v>
      </c>
      <c r="Q128" s="40" t="s">
        <v>377</v>
      </c>
      <c r="R128" s="44" t="str">
        <f>VLOOKUP(Рецепты[[#This Row],[Состав]],Ингредиенты[],9,0)</f>
        <v>Да</v>
      </c>
      <c r="S128" s="52"/>
    </row>
    <row r="129" spans="1:19" x14ac:dyDescent="0.25">
      <c r="A129" s="40" t="s">
        <v>375</v>
      </c>
      <c r="B129" s="40" t="str">
        <f t="shared" si="14"/>
        <v>Колбаса</v>
      </c>
      <c r="C129" s="40" t="str">
        <f t="shared" si="15"/>
        <v>Вареное</v>
      </c>
      <c r="D129" s="40" t="s">
        <v>155</v>
      </c>
      <c r="E129" s="41" t="str">
        <f>VLOOKUP(Рецепты[[#This Row],[Состав]],Ингредиенты[],2,0)</f>
        <v>Специи</v>
      </c>
      <c r="F129" s="62">
        <v>1E-3</v>
      </c>
      <c r="G129" s="42">
        <f>IF(Рецепты[[#This Row],[%]]*1000&gt;0,Рецепты[[#This Row],[%]]*1000,"")</f>
        <v>1</v>
      </c>
      <c r="H129" s="43">
        <f>IFERROR(VLOOKUP(Рецепты[[#This Row],[Состав]],Ингредиенты!A:I,3,0)*Рецепты[[#This Row],[г]],"")</f>
        <v>0.50222222222222224</v>
      </c>
      <c r="I129" s="42">
        <f>СводРецепт!$A$1</f>
        <v>1000</v>
      </c>
      <c r="J129" s="42">
        <f>Рецепты[[#This Row],[%]]*Рецепты[[#This Row],[Масса]]</f>
        <v>1</v>
      </c>
      <c r="K129" s="43">
        <f>Рецепты[[#This Row],[Вес ингр-тов]]*VLOOKUP(Рецепты[[#This Row],[Состав]],Ингредиенты[],3,FALSE)</f>
        <v>0.50222222222222224</v>
      </c>
      <c r="L129" s="41">
        <f>IF(VLOOKUP(Рецепты[[#This Row],[Состав]],Ингредиенты[],4,0)="Основа",VLOOKUP(Рецепты[[#This Row],[Способ]],Способ[],2,0),0%)</f>
        <v>0</v>
      </c>
      <c r="M129" s="41">
        <f>VLOOKUP(Рецепты[[#This Row],[Способ]],Способ[],3,0)</f>
        <v>0.7</v>
      </c>
      <c r="N129" s="43">
        <f>Рецепты[[#This Row],[р]]*100%/(100%-Рецепты[[#This Row],[Потери, %]])+Рецепты[[#This Row],[Маржа]]*(Рецепты[[#This Row],[р]]*100%)/(100%-Рецепты[[#This Row],[Потери, %]])</f>
        <v>0.85377777777777775</v>
      </c>
      <c r="O129" s="43">
        <f>Рецепты[[#This Row],[Цена за 1 кг]]-(Рецепты[[#This Row],[р]]*100%/(100%-Рецепты[[#This Row],[Потери, %]]))</f>
        <v>0.35155555555555551</v>
      </c>
      <c r="P129" s="40" t="s">
        <v>376</v>
      </c>
      <c r="Q129" s="40" t="s">
        <v>377</v>
      </c>
      <c r="R129" s="44" t="str">
        <f>VLOOKUP(Рецепты[[#This Row],[Состав]],Ингредиенты[],9,0)</f>
        <v>Да</v>
      </c>
      <c r="S129" s="52"/>
    </row>
    <row r="130" spans="1:19" x14ac:dyDescent="0.25">
      <c r="A130" s="40" t="s">
        <v>375</v>
      </c>
      <c r="B130" s="40" t="str">
        <f>B129</f>
        <v>Колбаса</v>
      </c>
      <c r="C130" s="40" t="str">
        <f>C129</f>
        <v>Вареное</v>
      </c>
      <c r="D130" s="40" t="s">
        <v>157</v>
      </c>
      <c r="E130" s="41" t="str">
        <f>VLOOKUP(Рецепты[[#This Row],[Состав]],Ингредиенты[],2,0)</f>
        <v>Специи</v>
      </c>
      <c r="F130" s="62">
        <v>3.0000000000000001E-3</v>
      </c>
      <c r="G130" s="42">
        <f>IF(Рецепты[[#This Row],[%]]*1000&gt;0,Рецепты[[#This Row],[%]]*1000,"")</f>
        <v>3</v>
      </c>
      <c r="H130" s="43">
        <f>IFERROR(VLOOKUP(Рецепты[[#This Row],[Состав]],Ингредиенты!A:I,3,0)*Рецепты[[#This Row],[г]],"")</f>
        <v>2.2439999999999998</v>
      </c>
      <c r="I130" s="42">
        <f>СводРецепт!$A$1</f>
        <v>1000</v>
      </c>
      <c r="J130" s="42">
        <f>Рецепты[[#This Row],[%]]*Рецепты[[#This Row],[Масса]]</f>
        <v>3</v>
      </c>
      <c r="K130" s="43">
        <f>Рецепты[[#This Row],[Вес ингр-тов]]*VLOOKUP(Рецепты[[#This Row],[Состав]],Ингредиенты[],3,FALSE)</f>
        <v>2.2439999999999998</v>
      </c>
      <c r="L130" s="41">
        <f>IF(VLOOKUP(Рецепты[[#This Row],[Состав]],Ингредиенты[],4,0)="Основа",VLOOKUP(Рецепты[[#This Row],[Способ]],Способ[],2,0),0%)</f>
        <v>0</v>
      </c>
      <c r="M130" s="41">
        <f>VLOOKUP(Рецепты[[#This Row],[Способ]],Способ[],3,0)</f>
        <v>0.7</v>
      </c>
      <c r="N130" s="43">
        <f>Рецепты[[#This Row],[р]]*100%/(100%-Рецепты[[#This Row],[Потери, %]])+Рецепты[[#This Row],[Маржа]]*(Рецепты[[#This Row],[р]]*100%)/(100%-Рецепты[[#This Row],[Потери, %]])</f>
        <v>3.8147999999999995</v>
      </c>
      <c r="O130" s="43">
        <f>Рецепты[[#This Row],[Цена за 1 кг]]-(Рецепты[[#This Row],[р]]*100%/(100%-Рецепты[[#This Row],[Потери, %]]))</f>
        <v>1.5707999999999998</v>
      </c>
      <c r="P130" s="40" t="s">
        <v>376</v>
      </c>
      <c r="Q130" s="40" t="s">
        <v>377</v>
      </c>
      <c r="R130" s="44" t="str">
        <f>VLOOKUP(Рецепты[[#This Row],[Состав]],Ингредиенты[],9,0)</f>
        <v>Да</v>
      </c>
      <c r="S130" s="52"/>
    </row>
    <row r="131" spans="1:19" x14ac:dyDescent="0.25">
      <c r="A131" s="40" t="s">
        <v>375</v>
      </c>
      <c r="B131" s="40" t="str">
        <f>B129</f>
        <v>Колбаса</v>
      </c>
      <c r="C131" s="40" t="str">
        <f>C129</f>
        <v>Вареное</v>
      </c>
      <c r="D131" s="40" t="s">
        <v>214</v>
      </c>
      <c r="E131" s="41" t="str">
        <f>VLOOKUP(Рецепты[[#This Row],[Состав]],Ингредиенты[],2,0)</f>
        <v>Оболочка</v>
      </c>
      <c r="F131" s="62">
        <v>1E-3</v>
      </c>
      <c r="G131" s="42">
        <f>IF(Рецепты[[#This Row],[%]]*1000&gt;0,Рецепты[[#This Row],[%]]*1000,"")</f>
        <v>1</v>
      </c>
      <c r="H131" s="43">
        <f>IFERROR(VLOOKUP(Рецепты[[#This Row],[Состав]],Ингредиенты!A:I,3,0)*Рецепты[[#This Row],[г]],"")</f>
        <v>9.7374533266692147</v>
      </c>
      <c r="I131" s="42">
        <f>СводРецепт!$A$1</f>
        <v>1000</v>
      </c>
      <c r="J131" s="42">
        <f>Рецепты[[#This Row],[%]]*Рецепты[[#This Row],[Масса]]</f>
        <v>1</v>
      </c>
      <c r="K131" s="43">
        <f>Рецепты[[#This Row],[Вес ингр-тов]]*VLOOKUP(Рецепты[[#This Row],[Состав]],Ингредиенты[],3,FALSE)</f>
        <v>9.7374533266692147</v>
      </c>
      <c r="L131" s="41">
        <f>IF(VLOOKUP(Рецепты[[#This Row],[Состав]],Ингредиенты[],4,0)="Основа",VLOOKUP(Рецепты[[#This Row],[Способ]],Способ[],2,0),0%)</f>
        <v>0</v>
      </c>
      <c r="M131" s="41">
        <f>VLOOKUP(Рецепты[[#This Row],[Способ]],Способ[],3,0)</f>
        <v>0.7</v>
      </c>
      <c r="N131" s="43">
        <f>Рецепты[[#This Row],[р]]*100%/(100%-Рецепты[[#This Row],[Потери, %]])+Рецепты[[#This Row],[Маржа]]*(Рецепты[[#This Row],[р]]*100%)/(100%-Рецепты[[#This Row],[Потери, %]])</f>
        <v>16.553670655337665</v>
      </c>
      <c r="O131" s="43">
        <f>Рецепты[[#This Row],[Цена за 1 кг]]-(Рецепты[[#This Row],[р]]*100%/(100%-Рецепты[[#This Row],[Потери, %]]))</f>
        <v>6.8162173286684506</v>
      </c>
      <c r="P131" s="40" t="s">
        <v>376</v>
      </c>
      <c r="Q131" s="40" t="s">
        <v>377</v>
      </c>
      <c r="R131" s="44" t="str">
        <f>VLOOKUP(Рецепты[[#This Row],[Состав]],Ингредиенты[],9,0)</f>
        <v>Да</v>
      </c>
      <c r="S131" s="52"/>
    </row>
    <row r="132" spans="1:19" x14ac:dyDescent="0.25">
      <c r="A132" s="40" t="s">
        <v>378</v>
      </c>
      <c r="B132" s="40" t="str">
        <f>B129</f>
        <v>Колбаса</v>
      </c>
      <c r="C132" s="40" t="str">
        <f>C129</f>
        <v>Вареное</v>
      </c>
      <c r="D132" s="40" t="s">
        <v>12</v>
      </c>
      <c r="E132" s="41" t="str">
        <f>VLOOKUP(Рецепты[[#This Row],[Состав]],Ингредиенты[],2,0)</f>
        <v>Говядина</v>
      </c>
      <c r="F132" s="62">
        <v>0.35</v>
      </c>
      <c r="G132" s="42">
        <f>IF(Рецепты[[#This Row],[%]]*1000&gt;0,Рецепты[[#This Row],[%]]*1000,"")</f>
        <v>350</v>
      </c>
      <c r="H132" s="43">
        <f>IFERROR(VLOOKUP(Рецепты[[#This Row],[Состав]],Ингредиенты!A:I,3,0)*Рецепты[[#This Row],[г]],"")</f>
        <v>248.4965</v>
      </c>
      <c r="I132" s="42">
        <f>СводРецепт!$A$1</f>
        <v>1000</v>
      </c>
      <c r="J132" s="42">
        <f>Рецепты[[#This Row],[%]]*Рецепты[[#This Row],[Масса]]</f>
        <v>350</v>
      </c>
      <c r="K132" s="43">
        <f>Рецепты[[#This Row],[Вес ингр-тов]]*VLOOKUP(Рецепты[[#This Row],[Состав]],Ингредиенты[],3,FALSE)</f>
        <v>248.4965</v>
      </c>
      <c r="L132" s="41">
        <f>IF(VLOOKUP(Рецепты[[#This Row],[Состав]],Ингредиенты[],4,0)="Основа",VLOOKUP(Рецепты[[#This Row],[Способ]],Способ[],2,0),0%)</f>
        <v>0.15</v>
      </c>
      <c r="M132" s="41">
        <f>VLOOKUP(Рецепты[[#This Row],[Способ]],Способ[],3,0)</f>
        <v>0.7</v>
      </c>
      <c r="N132" s="43">
        <f>Рецепты[[#This Row],[р]]*100%/(100%-Рецепты[[#This Row],[Потери, %]])+Рецепты[[#This Row],[Маржа]]*(Рецепты[[#This Row],[р]]*100%)/(100%-Рецепты[[#This Row],[Потери, %]])</f>
        <v>496.99299999999999</v>
      </c>
      <c r="O132" s="43">
        <f>Рецепты[[#This Row],[Цена за 1 кг]]-(Рецепты[[#This Row],[р]]*100%/(100%-Рецепты[[#This Row],[Потери, %]]))</f>
        <v>204.64417647058821</v>
      </c>
      <c r="P132" s="40" t="s">
        <v>379</v>
      </c>
      <c r="Q132" s="40" t="s">
        <v>380</v>
      </c>
      <c r="R132" s="44" t="str">
        <f>VLOOKUP(Рецепты[[#This Row],[Состав]],Ингредиенты[],9,0)</f>
        <v>Да</v>
      </c>
      <c r="S132" s="52"/>
    </row>
    <row r="133" spans="1:19" x14ac:dyDescent="0.25">
      <c r="A133" s="40" t="s">
        <v>378</v>
      </c>
      <c r="B133" s="40" t="str">
        <f t="shared" si="14"/>
        <v>Колбаса</v>
      </c>
      <c r="C133" s="40" t="str">
        <f t="shared" si="15"/>
        <v>Вареное</v>
      </c>
      <c r="D133" s="40" t="s">
        <v>49</v>
      </c>
      <c r="E133" s="41" t="str">
        <f>VLOOKUP(Рецепты[[#This Row],[Состав]],Ингредиенты[],2,0)</f>
        <v>Свинина</v>
      </c>
      <c r="F133" s="62">
        <v>0.4</v>
      </c>
      <c r="G133" s="42">
        <f>IF(Рецепты[[#This Row],[%]]*1000&gt;0,Рецепты[[#This Row],[%]]*1000,"")</f>
        <v>400</v>
      </c>
      <c r="H133" s="43">
        <f>IFERROR(VLOOKUP(Рецепты[[#This Row],[Состав]],Ингредиенты!A:I,3,0)*Рецепты[[#This Row],[г]],"")</f>
        <v>147.6</v>
      </c>
      <c r="I133" s="42">
        <f>СводРецепт!$A$1</f>
        <v>1000</v>
      </c>
      <c r="J133" s="42">
        <f>Рецепты[[#This Row],[%]]*Рецепты[[#This Row],[Масса]]</f>
        <v>400</v>
      </c>
      <c r="K133" s="43">
        <f>Рецепты[[#This Row],[Вес ингр-тов]]*VLOOKUP(Рецепты[[#This Row],[Состав]],Ингредиенты[],3,FALSE)</f>
        <v>147.6</v>
      </c>
      <c r="L133" s="41">
        <f>IF(VLOOKUP(Рецепты[[#This Row],[Состав]],Ингредиенты[],4,0)="Основа",VLOOKUP(Рецепты[[#This Row],[Способ]],Способ[],2,0),0%)</f>
        <v>0.15</v>
      </c>
      <c r="M133" s="41">
        <f>VLOOKUP(Рецепты[[#This Row],[Способ]],Способ[],3,0)</f>
        <v>0.7</v>
      </c>
      <c r="N133" s="43">
        <f>Рецепты[[#This Row],[р]]*100%/(100%-Рецепты[[#This Row],[Потери, %]])+Рецепты[[#This Row],[Маржа]]*(Рецепты[[#This Row],[р]]*100%)/(100%-Рецепты[[#This Row],[Потери, %]])</f>
        <v>295.2</v>
      </c>
      <c r="O133" s="43">
        <f>Рецепты[[#This Row],[Цена за 1 кг]]-(Рецепты[[#This Row],[р]]*100%/(100%-Рецепты[[#This Row],[Потери, %]]))</f>
        <v>121.55294117647057</v>
      </c>
      <c r="P133" s="40" t="s">
        <v>379</v>
      </c>
      <c r="Q133" s="40" t="s">
        <v>381</v>
      </c>
      <c r="R133" s="44" t="str">
        <f>VLOOKUP(Рецепты[[#This Row],[Состав]],Ингредиенты[],9,0)</f>
        <v>Да</v>
      </c>
      <c r="S133" s="52"/>
    </row>
    <row r="134" spans="1:19" x14ac:dyDescent="0.25">
      <c r="A134" s="40" t="s">
        <v>378</v>
      </c>
      <c r="B134" s="40" t="str">
        <f t="shared" si="14"/>
        <v>Колбаса</v>
      </c>
      <c r="C134" s="40" t="str">
        <f t="shared" si="15"/>
        <v>Вареное</v>
      </c>
      <c r="D134" s="40" t="s">
        <v>60</v>
      </c>
      <c r="E134" s="41" t="str">
        <f>VLOOKUP(Рецепты[[#This Row],[Состав]],Ингредиенты[],2,0)</f>
        <v>Свинина</v>
      </c>
      <c r="F134" s="62">
        <v>0.25</v>
      </c>
      <c r="G134" s="42">
        <f>IF(Рецепты[[#This Row],[%]]*1000&gt;0,Рецепты[[#This Row],[%]]*1000,"")</f>
        <v>250</v>
      </c>
      <c r="H134" s="43">
        <f>IFERROR(VLOOKUP(Рецепты[[#This Row],[Состав]],Ингредиенты!A:I,3,0)*Рецепты[[#This Row],[г]],"")</f>
        <v>75</v>
      </c>
      <c r="I134" s="42">
        <f>СводРецепт!$A$1</f>
        <v>1000</v>
      </c>
      <c r="J134" s="42">
        <f>Рецепты[[#This Row],[%]]*Рецепты[[#This Row],[Масса]]</f>
        <v>250</v>
      </c>
      <c r="K134" s="43">
        <f>Рецепты[[#This Row],[Вес ингр-тов]]*VLOOKUP(Рецепты[[#This Row],[Состав]],Ингредиенты[],3,FALSE)</f>
        <v>75</v>
      </c>
      <c r="L134" s="41">
        <f>IF(VLOOKUP(Рецепты[[#This Row],[Состав]],Ингредиенты[],4,0)="Основа",VLOOKUP(Рецепты[[#This Row],[Способ]],Способ[],2,0),0%)</f>
        <v>0.15</v>
      </c>
      <c r="M134" s="41">
        <f>VLOOKUP(Рецепты[[#This Row],[Способ]],Способ[],3,0)</f>
        <v>0.7</v>
      </c>
      <c r="N134" s="43">
        <f>Рецепты[[#This Row],[р]]*100%/(100%-Рецепты[[#This Row],[Потери, %]])+Рецепты[[#This Row],[Маржа]]*(Рецепты[[#This Row],[р]]*100%)/(100%-Рецепты[[#This Row],[Потери, %]])</f>
        <v>150</v>
      </c>
      <c r="O134" s="43">
        <f>Рецепты[[#This Row],[Цена за 1 кг]]-(Рецепты[[#This Row],[р]]*100%/(100%-Рецепты[[#This Row],[Потери, %]]))</f>
        <v>61.764705882352942</v>
      </c>
      <c r="P134" s="40" t="s">
        <v>379</v>
      </c>
      <c r="Q134" s="40" t="s">
        <v>382</v>
      </c>
      <c r="R134" s="44" t="str">
        <f>VLOOKUP(Рецепты[[#This Row],[Состав]],Ингредиенты[],9,0)</f>
        <v>Нет</v>
      </c>
      <c r="S134" s="52"/>
    </row>
    <row r="135" spans="1:19" x14ac:dyDescent="0.25">
      <c r="A135" s="40" t="s">
        <v>378</v>
      </c>
      <c r="B135" s="40" t="str">
        <f t="shared" si="14"/>
        <v>Колбаса</v>
      </c>
      <c r="C135" s="40" t="str">
        <f t="shared" si="15"/>
        <v>Вареное</v>
      </c>
      <c r="D135" s="40" t="s">
        <v>93</v>
      </c>
      <c r="E135" s="41" t="str">
        <f>VLOOKUP(Рецепты[[#This Row],[Состав]],Ингредиенты[],2,0)</f>
        <v>Добавки</v>
      </c>
      <c r="F135" s="62">
        <v>0.12</v>
      </c>
      <c r="G135" s="42">
        <f>IF(Рецепты[[#This Row],[%]]*1000&gt;0,Рецепты[[#This Row],[%]]*1000,"")</f>
        <v>120</v>
      </c>
      <c r="H135" s="43">
        <f>IFERROR(VLOOKUP(Рецепты[[#This Row],[Состав]],Ингредиенты!A:I,3,0)*Рецепты[[#This Row],[г]],"")</f>
        <v>0.12</v>
      </c>
      <c r="I135" s="42">
        <f>СводРецепт!$A$1</f>
        <v>1000</v>
      </c>
      <c r="J135" s="42">
        <f>Рецепты[[#This Row],[%]]*Рецепты[[#This Row],[Масса]]</f>
        <v>120</v>
      </c>
      <c r="K135" s="43">
        <f>Рецепты[[#This Row],[Вес ингр-тов]]*VLOOKUP(Рецепты[[#This Row],[Состав]],Ингредиенты[],3,FALSE)</f>
        <v>0.12</v>
      </c>
      <c r="L135" s="41">
        <f>IF(VLOOKUP(Рецепты[[#This Row],[Состав]],Ингредиенты[],4,0)="Основа",VLOOKUP(Рецепты[[#This Row],[Способ]],Способ[],2,0),0%)</f>
        <v>0</v>
      </c>
      <c r="M135" s="41">
        <f>VLOOKUP(Рецепты[[#This Row],[Способ]],Способ[],3,0)</f>
        <v>0.7</v>
      </c>
      <c r="N135" s="43">
        <f>Рецепты[[#This Row],[р]]*100%/(100%-Рецепты[[#This Row],[Потери, %]])+Рецепты[[#This Row],[Маржа]]*(Рецепты[[#This Row],[р]]*100%)/(100%-Рецепты[[#This Row],[Потери, %]])</f>
        <v>0.20399999999999999</v>
      </c>
      <c r="O135" s="43">
        <f>Рецепты[[#This Row],[Цена за 1 кг]]-(Рецепты[[#This Row],[р]]*100%/(100%-Рецепты[[#This Row],[Потери, %]]))</f>
        <v>8.3999999999999991E-2</v>
      </c>
      <c r="P135" s="40" t="s">
        <v>379</v>
      </c>
      <c r="Q135" s="40" t="s">
        <v>383</v>
      </c>
      <c r="R135" s="44" t="str">
        <f>VLOOKUP(Рецепты[[#This Row],[Состав]],Ингредиенты[],9,0)</f>
        <v>Да</v>
      </c>
      <c r="S135" s="52"/>
    </row>
    <row r="136" spans="1:19" x14ac:dyDescent="0.25">
      <c r="A136" s="40" t="s">
        <v>378</v>
      </c>
      <c r="B136" s="40" t="str">
        <f t="shared" si="14"/>
        <v>Колбаса</v>
      </c>
      <c r="C136" s="40" t="str">
        <f t="shared" si="15"/>
        <v>Вареное</v>
      </c>
      <c r="D136" s="40" t="s">
        <v>109</v>
      </c>
      <c r="E136" s="41" t="str">
        <f>VLOOKUP(Рецепты[[#This Row],[Состав]],Ингредиенты[],2,0)</f>
        <v>Добавки</v>
      </c>
      <c r="F136" s="62">
        <v>0.02</v>
      </c>
      <c r="G136" s="42">
        <f>IF(Рецепты[[#This Row],[%]]*1000&gt;0,Рецепты[[#This Row],[%]]*1000,"")</f>
        <v>20</v>
      </c>
      <c r="H136" s="43">
        <f>IFERROR(VLOOKUP(Рецепты[[#This Row],[Состав]],Ингредиенты!A:I,3,0)*Рецепты[[#This Row],[г]],"")</f>
        <v>10.98</v>
      </c>
      <c r="I136" s="42">
        <f>СводРецепт!$A$1</f>
        <v>1000</v>
      </c>
      <c r="J136" s="42">
        <f>Рецепты[[#This Row],[%]]*Рецепты[[#This Row],[Масса]]</f>
        <v>20</v>
      </c>
      <c r="K136" s="43">
        <f>Рецепты[[#This Row],[Вес ингр-тов]]*VLOOKUP(Рецепты[[#This Row],[Состав]],Ингредиенты[],3,FALSE)</f>
        <v>10.98</v>
      </c>
      <c r="L136" s="41">
        <f>IF(VLOOKUP(Рецепты[[#This Row],[Состав]],Ингредиенты[],4,0)="Основа",VLOOKUP(Рецепты[[#This Row],[Способ]],Способ[],2,0),0%)</f>
        <v>0</v>
      </c>
      <c r="M136" s="41">
        <f>VLOOKUP(Рецепты[[#This Row],[Способ]],Способ[],3,0)</f>
        <v>0.7</v>
      </c>
      <c r="N136" s="43">
        <f>Рецепты[[#This Row],[р]]*100%/(100%-Рецепты[[#This Row],[Потери, %]])+Рецепты[[#This Row],[Маржа]]*(Рецепты[[#This Row],[р]]*100%)/(100%-Рецепты[[#This Row],[Потери, %]])</f>
        <v>18.666</v>
      </c>
      <c r="O136" s="43">
        <f>Рецепты[[#This Row],[Цена за 1 кг]]-(Рецепты[[#This Row],[р]]*100%/(100%-Рецепты[[#This Row],[Потери, %]]))</f>
        <v>7.6859999999999999</v>
      </c>
      <c r="P136" s="40" t="s">
        <v>379</v>
      </c>
      <c r="Q136" s="40" t="s">
        <v>384</v>
      </c>
      <c r="R136" s="44" t="str">
        <f>VLOOKUP(Рецепты[[#This Row],[Состав]],Ингредиенты[],9,0)</f>
        <v>Да</v>
      </c>
      <c r="S136" s="52"/>
    </row>
    <row r="137" spans="1:19" x14ac:dyDescent="0.25">
      <c r="A137" s="40" t="s">
        <v>378</v>
      </c>
      <c r="B137" s="40" t="str">
        <f t="shared" si="14"/>
        <v>Колбаса</v>
      </c>
      <c r="C137" s="40" t="str">
        <f t="shared" si="15"/>
        <v>Вареное</v>
      </c>
      <c r="D137" s="40" t="s">
        <v>125</v>
      </c>
      <c r="E137" s="41" t="str">
        <f>VLOOKUP(Рецепты[[#This Row],[Состав]],Ингредиенты[],2,0)</f>
        <v>Специи</v>
      </c>
      <c r="F137" s="62">
        <v>0.01</v>
      </c>
      <c r="G137" s="42">
        <f>IF(Рецепты[[#This Row],[%]]*1000&gt;0,Рецепты[[#This Row],[%]]*1000,"")</f>
        <v>10</v>
      </c>
      <c r="H137" s="43">
        <f>IFERROR(VLOOKUP(Рецепты[[#This Row],[Состав]],Ингредиенты!A:I,3,0)*Рецепты[[#This Row],[г]],"")</f>
        <v>1.28</v>
      </c>
      <c r="I137" s="42">
        <f>СводРецепт!$A$1</f>
        <v>1000</v>
      </c>
      <c r="J137" s="42">
        <f>Рецепты[[#This Row],[%]]*Рецепты[[#This Row],[Масса]]</f>
        <v>10</v>
      </c>
      <c r="K137" s="43">
        <f>Рецепты[[#This Row],[Вес ингр-тов]]*VLOOKUP(Рецепты[[#This Row],[Состав]],Ингредиенты[],3,FALSE)</f>
        <v>1.28</v>
      </c>
      <c r="L137" s="41">
        <f>IF(VLOOKUP(Рецепты[[#This Row],[Состав]],Ингредиенты[],4,0)="Основа",VLOOKUP(Рецепты[[#This Row],[Способ]],Способ[],2,0),0%)</f>
        <v>0</v>
      </c>
      <c r="M137" s="41">
        <f>VLOOKUP(Рецепты[[#This Row],[Способ]],Способ[],3,0)</f>
        <v>0.7</v>
      </c>
      <c r="N137" s="43">
        <f>Рецепты[[#This Row],[р]]*100%/(100%-Рецепты[[#This Row],[Потери, %]])+Рецепты[[#This Row],[Маржа]]*(Рецепты[[#This Row],[р]]*100%)/(100%-Рецепты[[#This Row],[Потери, %]])</f>
        <v>2.1760000000000002</v>
      </c>
      <c r="O137" s="43">
        <f>Рецепты[[#This Row],[Цена за 1 кг]]-(Рецепты[[#This Row],[р]]*100%/(100%-Рецепты[[#This Row],[Потери, %]]))</f>
        <v>0.89600000000000013</v>
      </c>
      <c r="P137" s="40" t="s">
        <v>379</v>
      </c>
      <c r="Q137" s="40" t="s">
        <v>385</v>
      </c>
      <c r="R137" s="44" t="str">
        <f>VLOOKUP(Рецепты[[#This Row],[Состав]],Ингредиенты[],9,0)</f>
        <v>Да</v>
      </c>
      <c r="S137" s="52"/>
    </row>
    <row r="138" spans="1:19" x14ac:dyDescent="0.25">
      <c r="A138" s="40" t="s">
        <v>378</v>
      </c>
      <c r="B138" s="40" t="str">
        <f t="shared" si="14"/>
        <v>Колбаса</v>
      </c>
      <c r="C138" s="40" t="str">
        <f t="shared" si="15"/>
        <v>Вареное</v>
      </c>
      <c r="D138" s="40" t="s">
        <v>128</v>
      </c>
      <c r="E138" s="41" t="str">
        <f>VLOOKUP(Рецепты[[#This Row],[Состав]],Ингредиенты[],2,0)</f>
        <v>Специи</v>
      </c>
      <c r="F138" s="62">
        <v>0.01</v>
      </c>
      <c r="G138" s="42">
        <f>IF(Рецепты[[#This Row],[%]]*1000&gt;0,Рецепты[[#This Row],[%]]*1000,"")</f>
        <v>10</v>
      </c>
      <c r="H138" s="43">
        <f>IFERROR(VLOOKUP(Рецепты[[#This Row],[Состав]],Ингредиенты!A:I,3,0)*Рецепты[[#This Row],[г]],"")</f>
        <v>0.38500000000000001</v>
      </c>
      <c r="I138" s="42">
        <f>СводРецепт!$A$1</f>
        <v>1000</v>
      </c>
      <c r="J138" s="42">
        <f>Рецепты[[#This Row],[%]]*Рецепты[[#This Row],[Масса]]</f>
        <v>10</v>
      </c>
      <c r="K138" s="43">
        <f>Рецепты[[#This Row],[Вес ингр-тов]]*VLOOKUP(Рецепты[[#This Row],[Состав]],Ингредиенты[],3,FALSE)</f>
        <v>0.38500000000000001</v>
      </c>
      <c r="L138" s="41">
        <f>IF(VLOOKUP(Рецепты[[#This Row],[Состав]],Ингредиенты[],4,0)="Основа",VLOOKUP(Рецепты[[#This Row],[Способ]],Способ[],2,0),0%)</f>
        <v>0</v>
      </c>
      <c r="M138" s="41">
        <f>VLOOKUP(Рецепты[[#This Row],[Способ]],Способ[],3,0)</f>
        <v>0.7</v>
      </c>
      <c r="N138" s="43">
        <f>Рецепты[[#This Row],[р]]*100%/(100%-Рецепты[[#This Row],[Потери, %]])+Рецепты[[#This Row],[Маржа]]*(Рецепты[[#This Row],[р]]*100%)/(100%-Рецепты[[#This Row],[Потери, %]])</f>
        <v>0.65449999999999997</v>
      </c>
      <c r="O138" s="43">
        <f>Рецепты[[#This Row],[Цена за 1 кг]]-(Рецепты[[#This Row],[р]]*100%/(100%-Рецепты[[#This Row],[Потери, %]]))</f>
        <v>0.26949999999999996</v>
      </c>
      <c r="P138" s="40" t="s">
        <v>379</v>
      </c>
      <c r="Q138" s="40" t="s">
        <v>386</v>
      </c>
      <c r="R138" s="44" t="str">
        <f>VLOOKUP(Рецепты[[#This Row],[Состав]],Ингредиенты[],9,0)</f>
        <v>Да</v>
      </c>
      <c r="S138" s="52"/>
    </row>
    <row r="139" spans="1:19" x14ac:dyDescent="0.25">
      <c r="A139" s="40" t="s">
        <v>378</v>
      </c>
      <c r="B139" s="40" t="str">
        <f t="shared" si="14"/>
        <v>Колбаса</v>
      </c>
      <c r="C139" s="40" t="str">
        <f t="shared" si="15"/>
        <v>Вареное</v>
      </c>
      <c r="D139" s="40" t="s">
        <v>131</v>
      </c>
      <c r="E139" s="41" t="str">
        <f>VLOOKUP(Рецепты[[#This Row],[Состав]],Ингредиенты[],2,0)</f>
        <v>Специи</v>
      </c>
      <c r="F139" s="62">
        <v>2E-3</v>
      </c>
      <c r="G139" s="42">
        <f>IF(Рецепты[[#This Row],[%]]*1000&gt;0,Рецепты[[#This Row],[%]]*1000,"")</f>
        <v>2</v>
      </c>
      <c r="H139" s="43">
        <f>IFERROR(VLOOKUP(Рецепты[[#This Row],[Состав]],Ингредиенты!A:I,3,0)*Рецепты[[#This Row],[г]],"")</f>
        <v>0.16176470588235295</v>
      </c>
      <c r="I139" s="42">
        <f>СводРецепт!$A$1</f>
        <v>1000</v>
      </c>
      <c r="J139" s="42">
        <f>Рецепты[[#This Row],[%]]*Рецепты[[#This Row],[Масса]]</f>
        <v>2</v>
      </c>
      <c r="K139" s="43">
        <f>Рецепты[[#This Row],[Вес ингр-тов]]*VLOOKUP(Рецепты[[#This Row],[Состав]],Ингредиенты[],3,FALSE)</f>
        <v>0.16176470588235295</v>
      </c>
      <c r="L139" s="41">
        <f>IF(VLOOKUP(Рецепты[[#This Row],[Состав]],Ингредиенты[],4,0)="Основа",VLOOKUP(Рецепты[[#This Row],[Способ]],Способ[],2,0),0%)</f>
        <v>0</v>
      </c>
      <c r="M139" s="41">
        <f>VLOOKUP(Рецепты[[#This Row],[Способ]],Способ[],3,0)</f>
        <v>0.7</v>
      </c>
      <c r="N139" s="43">
        <f>Рецепты[[#This Row],[р]]*100%/(100%-Рецепты[[#This Row],[Потери, %]])+Рецепты[[#This Row],[Маржа]]*(Рецепты[[#This Row],[р]]*100%)/(100%-Рецепты[[#This Row],[Потери, %]])</f>
        <v>0.27500000000000002</v>
      </c>
      <c r="O139" s="43">
        <f>Рецепты[[#This Row],[Цена за 1 кг]]-(Рецепты[[#This Row],[р]]*100%/(100%-Рецепты[[#This Row],[Потери, %]]))</f>
        <v>0.11323529411764707</v>
      </c>
      <c r="P139" s="40" t="s">
        <v>379</v>
      </c>
      <c r="Q139" s="40" t="s">
        <v>387</v>
      </c>
      <c r="R139" s="44" t="str">
        <f>VLOOKUP(Рецепты[[#This Row],[Состав]],Ингредиенты[],9,0)</f>
        <v>Да</v>
      </c>
      <c r="S139" s="52"/>
    </row>
    <row r="140" spans="1:19" x14ac:dyDescent="0.25">
      <c r="A140" s="40" t="s">
        <v>378</v>
      </c>
      <c r="B140" s="40" t="str">
        <f t="shared" si="14"/>
        <v>Колбаса</v>
      </c>
      <c r="C140" s="40" t="str">
        <f t="shared" si="15"/>
        <v>Вареное</v>
      </c>
      <c r="D140" s="40" t="s">
        <v>133</v>
      </c>
      <c r="E140" s="41" t="str">
        <f>VLOOKUP(Рецепты[[#This Row],[Состав]],Ингредиенты[],2,0)</f>
        <v>Специи</v>
      </c>
      <c r="F140" s="62">
        <v>1E-3</v>
      </c>
      <c r="G140" s="42">
        <f>IF(Рецепты[[#This Row],[%]]*1000&gt;0,Рецепты[[#This Row],[%]]*1000,"")</f>
        <v>1</v>
      </c>
      <c r="H140" s="43">
        <f>IFERROR(VLOOKUP(Рецепты[[#This Row],[Состав]],Ингредиенты!A:I,3,0)*Рецепты[[#This Row],[г]],"")</f>
        <v>1.0945454545454545</v>
      </c>
      <c r="I140" s="42">
        <f>СводРецепт!$A$1</f>
        <v>1000</v>
      </c>
      <c r="J140" s="42">
        <f>Рецепты[[#This Row],[%]]*Рецепты[[#This Row],[Масса]]</f>
        <v>1</v>
      </c>
      <c r="K140" s="43">
        <f>Рецепты[[#This Row],[Вес ингр-тов]]*VLOOKUP(Рецепты[[#This Row],[Состав]],Ингредиенты[],3,FALSE)</f>
        <v>1.0945454545454545</v>
      </c>
      <c r="L140" s="41">
        <f>IF(VLOOKUP(Рецепты[[#This Row],[Состав]],Ингредиенты[],4,0)="Основа",VLOOKUP(Рецепты[[#This Row],[Способ]],Способ[],2,0),0%)</f>
        <v>0</v>
      </c>
      <c r="M140" s="41">
        <f>VLOOKUP(Рецепты[[#This Row],[Способ]],Способ[],3,0)</f>
        <v>0.7</v>
      </c>
      <c r="N140" s="43">
        <f>Рецепты[[#This Row],[р]]*100%/(100%-Рецепты[[#This Row],[Потери, %]])+Рецепты[[#This Row],[Маржа]]*(Рецепты[[#This Row],[р]]*100%)/(100%-Рецепты[[#This Row],[Потери, %]])</f>
        <v>1.8607272727272726</v>
      </c>
      <c r="O140" s="43">
        <f>Рецепты[[#This Row],[Цена за 1 кг]]-(Рецепты[[#This Row],[р]]*100%/(100%-Рецепты[[#This Row],[Потери, %]]))</f>
        <v>0.76618181818181808</v>
      </c>
      <c r="P140" s="40" t="s">
        <v>379</v>
      </c>
      <c r="Q140" s="40" t="s">
        <v>388</v>
      </c>
      <c r="R140" s="44" t="str">
        <f>VLOOKUP(Рецепты[[#This Row],[Состав]],Ингредиенты[],9,0)</f>
        <v>Да</v>
      </c>
      <c r="S140" s="52"/>
    </row>
    <row r="141" spans="1:19" x14ac:dyDescent="0.25">
      <c r="A141" s="40" t="s">
        <v>378</v>
      </c>
      <c r="B141" s="40" t="str">
        <f t="shared" si="14"/>
        <v>Колбаса</v>
      </c>
      <c r="C141" s="40" t="str">
        <f t="shared" si="15"/>
        <v>Вареное</v>
      </c>
      <c r="D141" s="40" t="s">
        <v>149</v>
      </c>
      <c r="E141" s="41" t="str">
        <f>VLOOKUP(Рецепты[[#This Row],[Состав]],Ингредиенты[],2,0)</f>
        <v>Специи</v>
      </c>
      <c r="F141" s="62">
        <v>5.0000000000000001E-4</v>
      </c>
      <c r="G141" s="42">
        <f>IF(Рецепты[[#This Row],[%]]*1000&gt;0,Рецепты[[#This Row],[%]]*1000,"")</f>
        <v>0.5</v>
      </c>
      <c r="H141" s="43">
        <f>IFERROR(VLOOKUP(Рецепты[[#This Row],[Состав]],Ингредиенты!A:I,3,0)*Рецепты[[#This Row],[г]],"")</f>
        <v>1.0386363636363636</v>
      </c>
      <c r="I141" s="42">
        <f>СводРецепт!$A$1</f>
        <v>1000</v>
      </c>
      <c r="J141" s="42">
        <f>Рецепты[[#This Row],[%]]*Рецепты[[#This Row],[Масса]]</f>
        <v>0.5</v>
      </c>
      <c r="K141" s="43">
        <f>Рецепты[[#This Row],[Вес ингр-тов]]*VLOOKUP(Рецепты[[#This Row],[Состав]],Ингредиенты[],3,FALSE)</f>
        <v>1.0386363636363636</v>
      </c>
      <c r="L141" s="41">
        <f>IF(VLOOKUP(Рецепты[[#This Row],[Состав]],Ингредиенты[],4,0)="Основа",VLOOKUP(Рецепты[[#This Row],[Способ]],Способ[],2,0),0%)</f>
        <v>0</v>
      </c>
      <c r="M141" s="41">
        <f>VLOOKUP(Рецепты[[#This Row],[Способ]],Способ[],3,0)</f>
        <v>0.7</v>
      </c>
      <c r="N141" s="43">
        <f>Рецепты[[#This Row],[р]]*100%/(100%-Рецепты[[#This Row],[Потери, %]])+Рецепты[[#This Row],[Маржа]]*(Рецепты[[#This Row],[р]]*100%)/(100%-Рецепты[[#This Row],[Потери, %]])</f>
        <v>1.7656818181818181</v>
      </c>
      <c r="O141" s="43">
        <f>Рецепты[[#This Row],[Цена за 1 кг]]-(Рецепты[[#This Row],[р]]*100%/(100%-Рецепты[[#This Row],[Потери, %]]))</f>
        <v>0.72704545454545455</v>
      </c>
      <c r="P141" s="40" t="s">
        <v>379</v>
      </c>
      <c r="Q141" s="40" t="s">
        <v>389</v>
      </c>
      <c r="R141" s="44" t="str">
        <f>VLOOKUP(Рецепты[[#This Row],[Состав]],Ингредиенты[],9,0)</f>
        <v>Да</v>
      </c>
      <c r="S141" s="52"/>
    </row>
    <row r="142" spans="1:19" x14ac:dyDescent="0.25">
      <c r="A142" s="40" t="s">
        <v>378</v>
      </c>
      <c r="B142" s="40" t="str">
        <f>B141</f>
        <v>Колбаса</v>
      </c>
      <c r="C142" s="40" t="str">
        <f>C141</f>
        <v>Вареное</v>
      </c>
      <c r="D142" s="40" t="s">
        <v>214</v>
      </c>
      <c r="E142" s="41" t="str">
        <f>VLOOKUP(Рецепты[[#This Row],[Состав]],Ингредиенты[],2,0)</f>
        <v>Оболочка</v>
      </c>
      <c r="F142" s="62">
        <v>1E-3</v>
      </c>
      <c r="G142" s="42">
        <f>IF(Рецепты[[#This Row],[%]]*1000&gt;0,Рецепты[[#This Row],[%]]*1000,"")</f>
        <v>1</v>
      </c>
      <c r="H142" s="43">
        <f>IFERROR(VLOOKUP(Рецепты[[#This Row],[Состав]],Ингредиенты!A:I,3,0)*Рецепты[[#This Row],[г]],"")</f>
        <v>9.7374533266692147</v>
      </c>
      <c r="I142" s="42">
        <f>СводРецепт!$A$1</f>
        <v>1000</v>
      </c>
      <c r="J142" s="42">
        <f>Рецепты[[#This Row],[%]]*Рецепты[[#This Row],[Масса]]</f>
        <v>1</v>
      </c>
      <c r="K142" s="43">
        <f>Рецепты[[#This Row],[Вес ингр-тов]]*VLOOKUP(Рецепты[[#This Row],[Состав]],Ингредиенты[],3,FALSE)</f>
        <v>9.7374533266692147</v>
      </c>
      <c r="L142" s="41">
        <f>IF(VLOOKUP(Рецепты[[#This Row],[Состав]],Ингредиенты[],4,0)="Основа",VLOOKUP(Рецепты[[#This Row],[Способ]],Способ[],2,0),0%)</f>
        <v>0</v>
      </c>
      <c r="M142" s="41">
        <f>VLOOKUP(Рецепты[[#This Row],[Способ]],Способ[],3,0)</f>
        <v>0.7</v>
      </c>
      <c r="N142" s="43">
        <f>Рецепты[[#This Row],[р]]*100%/(100%-Рецепты[[#This Row],[Потери, %]])+Рецепты[[#This Row],[Маржа]]*(Рецепты[[#This Row],[р]]*100%)/(100%-Рецепты[[#This Row],[Потери, %]])</f>
        <v>16.553670655337665</v>
      </c>
      <c r="O142" s="43">
        <f>Рецепты[[#This Row],[Цена за 1 кг]]-(Рецепты[[#This Row],[р]]*100%/(100%-Рецепты[[#This Row],[Потери, %]]))</f>
        <v>6.8162173286684506</v>
      </c>
      <c r="P142" s="40" t="s">
        <v>379</v>
      </c>
      <c r="Q142" s="40" t="s">
        <v>390</v>
      </c>
      <c r="R142" s="44" t="str">
        <f>VLOOKUP(Рецепты[[#This Row],[Состав]],Ингредиенты[],9,0)</f>
        <v>Да</v>
      </c>
      <c r="S142" s="52"/>
    </row>
    <row r="143" spans="1:19" x14ac:dyDescent="0.25">
      <c r="A143" s="40" t="s">
        <v>391</v>
      </c>
      <c r="B143" s="40" t="str">
        <f>B141</f>
        <v>Колбаса</v>
      </c>
      <c r="C143" s="40" t="str">
        <f>C141</f>
        <v>Вареное</v>
      </c>
      <c r="D143" s="40" t="s">
        <v>49</v>
      </c>
      <c r="E143" s="41" t="str">
        <f>VLOOKUP(Рецепты[[#This Row],[Состав]],Ингредиенты[],2,0)</f>
        <v>Свинина</v>
      </c>
      <c r="F143" s="62">
        <v>0.86</v>
      </c>
      <c r="G143" s="42">
        <f>IF(Рецепты[[#This Row],[%]]*1000&gt;0,Рецепты[[#This Row],[%]]*1000,"")</f>
        <v>860</v>
      </c>
      <c r="H143" s="43">
        <f>IFERROR(VLOOKUP(Рецепты[[#This Row],[Состав]],Ингредиенты!A:I,3,0)*Рецепты[[#This Row],[г]],"")</f>
        <v>317.33999999999997</v>
      </c>
      <c r="I143" s="42">
        <f>СводРецепт!$A$1</f>
        <v>1000</v>
      </c>
      <c r="J143" s="42">
        <f>Рецепты[[#This Row],[%]]*Рецепты[[#This Row],[Масса]]</f>
        <v>860</v>
      </c>
      <c r="K143" s="43">
        <f>Рецепты[[#This Row],[Вес ингр-тов]]*VLOOKUP(Рецепты[[#This Row],[Состав]],Ингредиенты[],3,FALSE)</f>
        <v>317.33999999999997</v>
      </c>
      <c r="L143" s="41">
        <f>IF(VLOOKUP(Рецепты[[#This Row],[Состав]],Ингредиенты[],4,0)="Основа",VLOOKUP(Рецепты[[#This Row],[Способ]],Способ[],2,0),0%)</f>
        <v>0.15</v>
      </c>
      <c r="M143" s="41">
        <f>VLOOKUP(Рецепты[[#This Row],[Способ]],Способ[],3,0)</f>
        <v>0.7</v>
      </c>
      <c r="N143" s="43">
        <f>Рецепты[[#This Row],[р]]*100%/(100%-Рецепты[[#This Row],[Потери, %]])+Рецепты[[#This Row],[Маржа]]*(Рецепты[[#This Row],[р]]*100%)/(100%-Рецепты[[#This Row],[Потери, %]])</f>
        <v>634.67999999999995</v>
      </c>
      <c r="O143" s="43">
        <f>Рецепты[[#This Row],[Цена за 1 кг]]-(Рецепты[[#This Row],[р]]*100%/(100%-Рецепты[[#This Row],[Потери, %]]))</f>
        <v>261.33882352941174</v>
      </c>
      <c r="P143" s="40" t="s">
        <v>392</v>
      </c>
      <c r="Q143" s="40" t="s">
        <v>393</v>
      </c>
      <c r="R143" s="44" t="str">
        <f>VLOOKUP(Рецепты[[#This Row],[Состав]],Ингредиенты[],9,0)</f>
        <v>Да</v>
      </c>
      <c r="S143" s="52"/>
    </row>
    <row r="144" spans="1:19" x14ac:dyDescent="0.25">
      <c r="A144" s="40" t="s">
        <v>391</v>
      </c>
      <c r="B144" s="40" t="str">
        <f t="shared" si="14"/>
        <v>Колбаса</v>
      </c>
      <c r="C144" s="40" t="str">
        <f t="shared" si="15"/>
        <v>Вареное</v>
      </c>
      <c r="D144" s="40" t="s">
        <v>54</v>
      </c>
      <c r="E144" s="41" t="str">
        <f>VLOOKUP(Рецепты[[#This Row],[Состав]],Ингредиенты[],2,0)</f>
        <v>Свинина</v>
      </c>
      <c r="F144" s="62">
        <v>0.14000000000000001</v>
      </c>
      <c r="G144" s="42">
        <f>IF(Рецепты[[#This Row],[%]]*1000&gt;0,Рецепты[[#This Row],[%]]*1000,"")</f>
        <v>140</v>
      </c>
      <c r="H144" s="43">
        <f>IFERROR(VLOOKUP(Рецепты[[#This Row],[Состав]],Ингредиенты!A:I,3,0)*Рецепты[[#This Row],[г]],"")</f>
        <v>60.198599999999999</v>
      </c>
      <c r="I144" s="42">
        <f>СводРецепт!$A$1</f>
        <v>1000</v>
      </c>
      <c r="J144" s="42">
        <f>Рецепты[[#This Row],[%]]*Рецепты[[#This Row],[Масса]]</f>
        <v>140</v>
      </c>
      <c r="K144" s="43">
        <f>Рецепты[[#This Row],[Вес ингр-тов]]*VLOOKUP(Рецепты[[#This Row],[Состав]],Ингредиенты[],3,FALSE)</f>
        <v>60.198599999999999</v>
      </c>
      <c r="L144" s="41">
        <f>IF(VLOOKUP(Рецепты[[#This Row],[Состав]],Ингредиенты[],4,0)="Основа",VLOOKUP(Рецепты[[#This Row],[Способ]],Способ[],2,0),0%)</f>
        <v>0.15</v>
      </c>
      <c r="M144" s="41">
        <f>VLOOKUP(Рецепты[[#This Row],[Способ]],Способ[],3,0)</f>
        <v>0.7</v>
      </c>
      <c r="N144" s="43">
        <f>Рецепты[[#This Row],[р]]*100%/(100%-Рецепты[[#This Row],[Потери, %]])+Рецепты[[#This Row],[Маржа]]*(Рецепты[[#This Row],[р]]*100%)/(100%-Рецепты[[#This Row],[Потери, %]])</f>
        <v>120.3972</v>
      </c>
      <c r="O144" s="43">
        <f>Рецепты[[#This Row],[Цена за 1 кг]]-(Рецепты[[#This Row],[р]]*100%/(100%-Рецепты[[#This Row],[Потери, %]]))</f>
        <v>49.575317647058824</v>
      </c>
      <c r="P144" s="40" t="s">
        <v>392</v>
      </c>
      <c r="Q144" s="40" t="s">
        <v>394</v>
      </c>
      <c r="R144" s="44" t="str">
        <f>VLOOKUP(Рецепты[[#This Row],[Состав]],Ингредиенты[],9,0)</f>
        <v>Нет</v>
      </c>
      <c r="S144" s="52"/>
    </row>
    <row r="145" spans="1:19" x14ac:dyDescent="0.25">
      <c r="A145" s="40" t="s">
        <v>391</v>
      </c>
      <c r="B145" s="40" t="str">
        <f t="shared" si="14"/>
        <v>Колбаса</v>
      </c>
      <c r="C145" s="40" t="str">
        <f t="shared" si="15"/>
        <v>Вареное</v>
      </c>
      <c r="D145" s="40" t="s">
        <v>128</v>
      </c>
      <c r="E145" s="41" t="str">
        <f>VLOOKUP(Рецепты[[#This Row],[Состав]],Ингредиенты[],2,0)</f>
        <v>Специи</v>
      </c>
      <c r="F145" s="62">
        <v>0.01</v>
      </c>
      <c r="G145" s="42">
        <f>IF(Рецепты[[#This Row],[%]]*1000&gt;0,Рецепты[[#This Row],[%]]*1000,"")</f>
        <v>10</v>
      </c>
      <c r="H145" s="43">
        <f>IFERROR(VLOOKUP(Рецепты[[#This Row],[Состав]],Ингредиенты!A:I,3,0)*Рецепты[[#This Row],[г]],"")</f>
        <v>0.38500000000000001</v>
      </c>
      <c r="I145" s="42">
        <f>СводРецепт!$A$1</f>
        <v>1000</v>
      </c>
      <c r="J145" s="42">
        <f>Рецепты[[#This Row],[%]]*Рецепты[[#This Row],[Масса]]</f>
        <v>10</v>
      </c>
      <c r="K145" s="43">
        <f>Рецепты[[#This Row],[Вес ингр-тов]]*VLOOKUP(Рецепты[[#This Row],[Состав]],Ингредиенты[],3,FALSE)</f>
        <v>0.38500000000000001</v>
      </c>
      <c r="L145" s="41">
        <f>IF(VLOOKUP(Рецепты[[#This Row],[Состав]],Ингредиенты[],4,0)="Основа",VLOOKUP(Рецепты[[#This Row],[Способ]],Способ[],2,0),0%)</f>
        <v>0</v>
      </c>
      <c r="M145" s="41">
        <f>VLOOKUP(Рецепты[[#This Row],[Способ]],Способ[],3,0)</f>
        <v>0.7</v>
      </c>
      <c r="N145" s="43">
        <f>Рецепты[[#This Row],[р]]*100%/(100%-Рецепты[[#This Row],[Потери, %]])+Рецепты[[#This Row],[Маржа]]*(Рецепты[[#This Row],[р]]*100%)/(100%-Рецепты[[#This Row],[Потери, %]])</f>
        <v>0.65449999999999997</v>
      </c>
      <c r="O145" s="43">
        <f>Рецепты[[#This Row],[Цена за 1 кг]]-(Рецепты[[#This Row],[р]]*100%/(100%-Рецепты[[#This Row],[Потери, %]]))</f>
        <v>0.26949999999999996</v>
      </c>
      <c r="P145" s="40" t="s">
        <v>392</v>
      </c>
      <c r="Q145" s="40" t="s">
        <v>395</v>
      </c>
      <c r="R145" s="44" t="str">
        <f>VLOOKUP(Рецепты[[#This Row],[Состав]],Ингредиенты[],9,0)</f>
        <v>Да</v>
      </c>
      <c r="S145" s="52"/>
    </row>
    <row r="146" spans="1:19" x14ac:dyDescent="0.25">
      <c r="A146" s="40" t="s">
        <v>391</v>
      </c>
      <c r="B146" s="40" t="str">
        <f t="shared" si="14"/>
        <v>Колбаса</v>
      </c>
      <c r="C146" s="40" t="str">
        <f t="shared" si="15"/>
        <v>Вареное</v>
      </c>
      <c r="D146" s="40" t="s">
        <v>125</v>
      </c>
      <c r="E146" s="41" t="str">
        <f>VLOOKUP(Рецепты[[#This Row],[Состав]],Ингредиенты[],2,0)</f>
        <v>Специи</v>
      </c>
      <c r="F146" s="62">
        <v>0.01</v>
      </c>
      <c r="G146" s="42">
        <f>IF(Рецепты[[#This Row],[%]]*1000&gt;0,Рецепты[[#This Row],[%]]*1000,"")</f>
        <v>10</v>
      </c>
      <c r="H146" s="43">
        <f>IFERROR(VLOOKUP(Рецепты[[#This Row],[Состав]],Ингредиенты!A:I,3,0)*Рецепты[[#This Row],[г]],"")</f>
        <v>1.28</v>
      </c>
      <c r="I146" s="42">
        <f>СводРецепт!$A$1</f>
        <v>1000</v>
      </c>
      <c r="J146" s="42">
        <f>Рецепты[[#This Row],[%]]*Рецепты[[#This Row],[Масса]]</f>
        <v>10</v>
      </c>
      <c r="K146" s="43">
        <f>Рецепты[[#This Row],[Вес ингр-тов]]*VLOOKUP(Рецепты[[#This Row],[Состав]],Ингредиенты[],3,FALSE)</f>
        <v>1.28</v>
      </c>
      <c r="L146" s="41">
        <f>IF(VLOOKUP(Рецепты[[#This Row],[Состав]],Ингредиенты[],4,0)="Основа",VLOOKUP(Рецепты[[#This Row],[Способ]],Способ[],2,0),0%)</f>
        <v>0</v>
      </c>
      <c r="M146" s="41">
        <f>VLOOKUP(Рецепты[[#This Row],[Способ]],Способ[],3,0)</f>
        <v>0.7</v>
      </c>
      <c r="N146" s="43">
        <f>Рецепты[[#This Row],[р]]*100%/(100%-Рецепты[[#This Row],[Потери, %]])+Рецепты[[#This Row],[Маржа]]*(Рецепты[[#This Row],[р]]*100%)/(100%-Рецепты[[#This Row],[Потери, %]])</f>
        <v>2.1760000000000002</v>
      </c>
      <c r="O146" s="43">
        <f>Рецепты[[#This Row],[Цена за 1 кг]]-(Рецепты[[#This Row],[р]]*100%/(100%-Рецепты[[#This Row],[Потери, %]]))</f>
        <v>0.89600000000000013</v>
      </c>
      <c r="P146" s="40" t="s">
        <v>392</v>
      </c>
      <c r="Q146" s="40" t="s">
        <v>396</v>
      </c>
      <c r="R146" s="44" t="str">
        <f>VLOOKUP(Рецепты[[#This Row],[Состав]],Ингредиенты[],9,0)</f>
        <v>Да</v>
      </c>
      <c r="S146" s="52"/>
    </row>
    <row r="147" spans="1:19" x14ac:dyDescent="0.25">
      <c r="A147" s="40" t="s">
        <v>391</v>
      </c>
      <c r="B147" s="40" t="str">
        <f t="shared" si="14"/>
        <v>Колбаса</v>
      </c>
      <c r="C147" s="40" t="str">
        <f t="shared" si="15"/>
        <v>Вареное</v>
      </c>
      <c r="D147" s="40" t="s">
        <v>93</v>
      </c>
      <c r="E147" s="41" t="str">
        <f>VLOOKUP(Рецепты[[#This Row],[Состав]],Ингредиенты[],2,0)</f>
        <v>Добавки</v>
      </c>
      <c r="F147" s="62">
        <v>0.15</v>
      </c>
      <c r="G147" s="42">
        <f>IF(Рецепты[[#This Row],[%]]*1000&gt;0,Рецепты[[#This Row],[%]]*1000,"")</f>
        <v>150</v>
      </c>
      <c r="H147" s="43">
        <f>IFERROR(VLOOKUP(Рецепты[[#This Row],[Состав]],Ингредиенты!A:I,3,0)*Рецепты[[#This Row],[г]],"")</f>
        <v>0.15</v>
      </c>
      <c r="I147" s="42">
        <f>СводРецепт!$A$1</f>
        <v>1000</v>
      </c>
      <c r="J147" s="42">
        <f>Рецепты[[#This Row],[%]]*Рецепты[[#This Row],[Масса]]</f>
        <v>150</v>
      </c>
      <c r="K147" s="43">
        <f>Рецепты[[#This Row],[Вес ингр-тов]]*VLOOKUP(Рецепты[[#This Row],[Состав]],Ингредиенты[],3,FALSE)</f>
        <v>0.15</v>
      </c>
      <c r="L147" s="41">
        <f>IF(VLOOKUP(Рецепты[[#This Row],[Состав]],Ингредиенты[],4,0)="Основа",VLOOKUP(Рецепты[[#This Row],[Способ]],Способ[],2,0),0%)</f>
        <v>0</v>
      </c>
      <c r="M147" s="41">
        <f>VLOOKUP(Рецепты[[#This Row],[Способ]],Способ[],3,0)</f>
        <v>0.7</v>
      </c>
      <c r="N147" s="43">
        <f>Рецепты[[#This Row],[р]]*100%/(100%-Рецепты[[#This Row],[Потери, %]])+Рецепты[[#This Row],[Маржа]]*(Рецепты[[#This Row],[р]]*100%)/(100%-Рецепты[[#This Row],[Потери, %]])</f>
        <v>0.255</v>
      </c>
      <c r="O147" s="43">
        <f>Рецепты[[#This Row],[Цена за 1 кг]]-(Рецепты[[#This Row],[р]]*100%/(100%-Рецепты[[#This Row],[Потери, %]]))</f>
        <v>0.10500000000000001</v>
      </c>
      <c r="P147" s="40" t="s">
        <v>392</v>
      </c>
      <c r="Q147" s="40" t="s">
        <v>397</v>
      </c>
      <c r="R147" s="44" t="str">
        <f>VLOOKUP(Рецепты[[#This Row],[Состав]],Ингредиенты[],9,0)</f>
        <v>Да</v>
      </c>
      <c r="S147" s="52"/>
    </row>
    <row r="148" spans="1:19" x14ac:dyDescent="0.25">
      <c r="A148" s="40" t="s">
        <v>391</v>
      </c>
      <c r="B148" s="40" t="str">
        <f t="shared" si="14"/>
        <v>Колбаса</v>
      </c>
      <c r="C148" s="40" t="str">
        <f t="shared" si="15"/>
        <v>Вареное</v>
      </c>
      <c r="D148" s="40" t="s">
        <v>149</v>
      </c>
      <c r="E148" s="41" t="str">
        <f>VLOOKUP(Рецепты[[#This Row],[Состав]],Ингредиенты[],2,0)</f>
        <v>Специи</v>
      </c>
      <c r="F148" s="62">
        <v>5.0000000000000001E-4</v>
      </c>
      <c r="G148" s="42">
        <f>IF(Рецепты[[#This Row],[%]]*1000&gt;0,Рецепты[[#This Row],[%]]*1000,"")</f>
        <v>0.5</v>
      </c>
      <c r="H148" s="43">
        <f>IFERROR(VLOOKUP(Рецепты[[#This Row],[Состав]],Ингредиенты!A:I,3,0)*Рецепты[[#This Row],[г]],"")</f>
        <v>1.0386363636363636</v>
      </c>
      <c r="I148" s="42">
        <f>СводРецепт!$A$1</f>
        <v>1000</v>
      </c>
      <c r="J148" s="42">
        <f>Рецепты[[#This Row],[%]]*Рецепты[[#This Row],[Масса]]</f>
        <v>0.5</v>
      </c>
      <c r="K148" s="43">
        <f>Рецепты[[#This Row],[Вес ингр-тов]]*VLOOKUP(Рецепты[[#This Row],[Состав]],Ингредиенты[],3,FALSE)</f>
        <v>1.0386363636363636</v>
      </c>
      <c r="L148" s="41">
        <f>IF(VLOOKUP(Рецепты[[#This Row],[Состав]],Ингредиенты[],4,0)="Основа",VLOOKUP(Рецепты[[#This Row],[Способ]],Способ[],2,0),0%)</f>
        <v>0</v>
      </c>
      <c r="M148" s="41">
        <f>VLOOKUP(Рецепты[[#This Row],[Способ]],Способ[],3,0)</f>
        <v>0.7</v>
      </c>
      <c r="N148" s="43">
        <f>Рецепты[[#This Row],[р]]*100%/(100%-Рецепты[[#This Row],[Потери, %]])+Рецепты[[#This Row],[Маржа]]*(Рецепты[[#This Row],[р]]*100%)/(100%-Рецепты[[#This Row],[Потери, %]])</f>
        <v>1.7656818181818181</v>
      </c>
      <c r="O148" s="43">
        <f>Рецепты[[#This Row],[Цена за 1 кг]]-(Рецепты[[#This Row],[р]]*100%/(100%-Рецепты[[#This Row],[Потери, %]]))</f>
        <v>0.72704545454545455</v>
      </c>
      <c r="P148" s="40" t="s">
        <v>392</v>
      </c>
      <c r="Q148" s="40" t="s">
        <v>398</v>
      </c>
      <c r="R148" s="44" t="str">
        <f>VLOOKUP(Рецепты[[#This Row],[Состав]],Ингредиенты[],9,0)</f>
        <v>Да</v>
      </c>
      <c r="S148" s="52"/>
    </row>
    <row r="149" spans="1:19" x14ac:dyDescent="0.25">
      <c r="A149" s="40" t="s">
        <v>391</v>
      </c>
      <c r="B149" s="40" t="str">
        <f t="shared" si="14"/>
        <v>Колбаса</v>
      </c>
      <c r="C149" s="40" t="str">
        <f t="shared" si="15"/>
        <v>Вареное</v>
      </c>
      <c r="D149" s="40" t="s">
        <v>131</v>
      </c>
      <c r="E149" s="41" t="str">
        <f>VLOOKUP(Рецепты[[#This Row],[Состав]],Ингредиенты[],2,0)</f>
        <v>Специи</v>
      </c>
      <c r="F149" s="62">
        <v>1.5E-3</v>
      </c>
      <c r="G149" s="42">
        <f>IF(Рецепты[[#This Row],[%]]*1000&gt;0,Рецепты[[#This Row],[%]]*1000,"")</f>
        <v>1.5</v>
      </c>
      <c r="H149" s="43">
        <f>IFERROR(VLOOKUP(Рецепты[[#This Row],[Состав]],Ингредиенты!A:I,3,0)*Рецепты[[#This Row],[г]],"")</f>
        <v>0.12132352941176472</v>
      </c>
      <c r="I149" s="42">
        <f>СводРецепт!$A$1</f>
        <v>1000</v>
      </c>
      <c r="J149" s="42">
        <f>Рецепты[[#This Row],[%]]*Рецепты[[#This Row],[Масса]]</f>
        <v>1.5</v>
      </c>
      <c r="K149" s="43">
        <f>Рецепты[[#This Row],[Вес ингр-тов]]*VLOOKUP(Рецепты[[#This Row],[Состав]],Ингредиенты[],3,FALSE)</f>
        <v>0.12132352941176472</v>
      </c>
      <c r="L149" s="41">
        <f>IF(VLOOKUP(Рецепты[[#This Row],[Состав]],Ингредиенты[],4,0)="Основа",VLOOKUP(Рецепты[[#This Row],[Способ]],Способ[],2,0),0%)</f>
        <v>0</v>
      </c>
      <c r="M149" s="41">
        <f>VLOOKUP(Рецепты[[#This Row],[Способ]],Способ[],3,0)</f>
        <v>0.7</v>
      </c>
      <c r="N149" s="43">
        <f>Рецепты[[#This Row],[р]]*100%/(100%-Рецепты[[#This Row],[Потери, %]])+Рецепты[[#This Row],[Маржа]]*(Рецепты[[#This Row],[р]]*100%)/(100%-Рецепты[[#This Row],[Потери, %]])</f>
        <v>0.20625000000000002</v>
      </c>
      <c r="O149" s="43">
        <f>Рецепты[[#This Row],[Цена за 1 кг]]-(Рецепты[[#This Row],[р]]*100%/(100%-Рецепты[[#This Row],[Потери, %]]))</f>
        <v>8.4926470588235298E-2</v>
      </c>
      <c r="P149" s="40" t="s">
        <v>392</v>
      </c>
      <c r="Q149" s="40" t="s">
        <v>399</v>
      </c>
      <c r="R149" s="44" t="str">
        <f>VLOOKUP(Рецепты[[#This Row],[Состав]],Ингредиенты[],9,0)</f>
        <v>Да</v>
      </c>
      <c r="S149" s="52"/>
    </row>
    <row r="150" spans="1:19" x14ac:dyDescent="0.25">
      <c r="A150" s="40" t="s">
        <v>391</v>
      </c>
      <c r="B150" s="40" t="str">
        <f t="shared" si="14"/>
        <v>Колбаса</v>
      </c>
      <c r="C150" s="40" t="str">
        <f t="shared" si="15"/>
        <v>Вареное</v>
      </c>
      <c r="D150" s="40" t="s">
        <v>151</v>
      </c>
      <c r="E150" s="41" t="str">
        <f>VLOOKUP(Рецепты[[#This Row],[Состав]],Ингредиенты[],2,0)</f>
        <v>Специи</v>
      </c>
      <c r="F150" s="62">
        <v>5.0000000000000001E-3</v>
      </c>
      <c r="G150" s="42">
        <f>IF(Рецепты[[#This Row],[%]]*1000&gt;0,Рецепты[[#This Row],[%]]*1000,"")</f>
        <v>5</v>
      </c>
      <c r="H150" s="43">
        <f>IFERROR(VLOOKUP(Рецепты[[#This Row],[Состав]],Ингредиенты!A:I,3,0)*Рецепты[[#This Row],[г]],"")</f>
        <v>4.3916666666666666</v>
      </c>
      <c r="I150" s="42">
        <f>СводРецепт!$A$1</f>
        <v>1000</v>
      </c>
      <c r="J150" s="42">
        <f>Рецепты[[#This Row],[%]]*Рецепты[[#This Row],[Масса]]</f>
        <v>5</v>
      </c>
      <c r="K150" s="43">
        <f>Рецепты[[#This Row],[Вес ингр-тов]]*VLOOKUP(Рецепты[[#This Row],[Состав]],Ингредиенты[],3,FALSE)</f>
        <v>4.3916666666666666</v>
      </c>
      <c r="L150" s="41">
        <f>IF(VLOOKUP(Рецепты[[#This Row],[Состав]],Ингредиенты[],4,0)="Основа",VLOOKUP(Рецепты[[#This Row],[Способ]],Способ[],2,0),0%)</f>
        <v>0</v>
      </c>
      <c r="M150" s="41">
        <f>VLOOKUP(Рецепты[[#This Row],[Способ]],Способ[],3,0)</f>
        <v>0.7</v>
      </c>
      <c r="N150" s="43">
        <f>Рецепты[[#This Row],[р]]*100%/(100%-Рецепты[[#This Row],[Потери, %]])+Рецепты[[#This Row],[Маржа]]*(Рецепты[[#This Row],[р]]*100%)/(100%-Рецепты[[#This Row],[Потери, %]])</f>
        <v>7.4658333333333324</v>
      </c>
      <c r="O150" s="43">
        <f>Рецепты[[#This Row],[Цена за 1 кг]]-(Рецепты[[#This Row],[р]]*100%/(100%-Рецепты[[#This Row],[Потери, %]]))</f>
        <v>3.0741666666666658</v>
      </c>
      <c r="P150" s="40" t="s">
        <v>392</v>
      </c>
      <c r="Q150" s="40" t="s">
        <v>400</v>
      </c>
      <c r="R150" s="44" t="str">
        <f>VLOOKUP(Рецепты[[#This Row],[Состав]],Ингредиенты[],9,0)</f>
        <v>Да</v>
      </c>
      <c r="S150" s="52"/>
    </row>
    <row r="151" spans="1:19" x14ac:dyDescent="0.25">
      <c r="A151" s="40" t="s">
        <v>391</v>
      </c>
      <c r="B151" s="40" t="str">
        <f t="shared" si="14"/>
        <v>Колбаса</v>
      </c>
      <c r="C151" s="40" t="str">
        <f t="shared" si="15"/>
        <v>Вареное</v>
      </c>
      <c r="D151" s="40" t="s">
        <v>157</v>
      </c>
      <c r="E151" s="41" t="str">
        <f>VLOOKUP(Рецепты[[#This Row],[Состав]],Ингредиенты[],2,0)</f>
        <v>Специи</v>
      </c>
      <c r="F151" s="62">
        <v>3.0000000000000001E-3</v>
      </c>
      <c r="G151" s="42">
        <f>IF(Рецепты[[#This Row],[%]]*1000&gt;0,Рецепты[[#This Row],[%]]*1000,"")</f>
        <v>3</v>
      </c>
      <c r="H151" s="43">
        <f>IFERROR(VLOOKUP(Рецепты[[#This Row],[Состав]],Ингредиенты!A:I,3,0)*Рецепты[[#This Row],[г]],"")</f>
        <v>2.2439999999999998</v>
      </c>
      <c r="I151" s="42">
        <f>СводРецепт!$A$1</f>
        <v>1000</v>
      </c>
      <c r="J151" s="42">
        <f>Рецепты[[#This Row],[%]]*Рецепты[[#This Row],[Масса]]</f>
        <v>3</v>
      </c>
      <c r="K151" s="43">
        <f>Рецепты[[#This Row],[Вес ингр-тов]]*VLOOKUP(Рецепты[[#This Row],[Состав]],Ингредиенты[],3,FALSE)</f>
        <v>2.2439999999999998</v>
      </c>
      <c r="L151" s="41">
        <f>IF(VLOOKUP(Рецепты[[#This Row],[Состав]],Ингредиенты[],4,0)="Основа",VLOOKUP(Рецепты[[#This Row],[Способ]],Способ[],2,0),0%)</f>
        <v>0</v>
      </c>
      <c r="M151" s="41">
        <f>VLOOKUP(Рецепты[[#This Row],[Способ]],Способ[],3,0)</f>
        <v>0.7</v>
      </c>
      <c r="N151" s="43">
        <f>Рецепты[[#This Row],[р]]*100%/(100%-Рецепты[[#This Row],[Потери, %]])+Рецепты[[#This Row],[Маржа]]*(Рецепты[[#This Row],[р]]*100%)/(100%-Рецепты[[#This Row],[Потери, %]])</f>
        <v>3.8147999999999995</v>
      </c>
      <c r="O151" s="43">
        <f>Рецепты[[#This Row],[Цена за 1 кг]]-(Рецепты[[#This Row],[р]]*100%/(100%-Рецепты[[#This Row],[Потери, %]]))</f>
        <v>1.5707999999999998</v>
      </c>
      <c r="P151" s="40" t="s">
        <v>392</v>
      </c>
      <c r="Q151" s="40" t="s">
        <v>401</v>
      </c>
      <c r="R151" s="44" t="str">
        <f>VLOOKUP(Рецепты[[#This Row],[Состав]],Ингредиенты[],9,0)</f>
        <v>Да</v>
      </c>
      <c r="S151" s="52"/>
    </row>
    <row r="152" spans="1:19" x14ac:dyDescent="0.25">
      <c r="A152" s="40" t="s">
        <v>391</v>
      </c>
      <c r="B152" s="40" t="str">
        <f t="shared" si="14"/>
        <v>Колбаса</v>
      </c>
      <c r="C152" s="40" t="str">
        <f t="shared" si="15"/>
        <v>Вареное</v>
      </c>
      <c r="D152" s="40" t="s">
        <v>133</v>
      </c>
      <c r="E152" s="41" t="str">
        <f>VLOOKUP(Рецепты[[#This Row],[Состав]],Ингредиенты[],2,0)</f>
        <v>Специи</v>
      </c>
      <c r="F152" s="62">
        <v>1.5E-3</v>
      </c>
      <c r="G152" s="42">
        <f>IF(Рецепты[[#This Row],[%]]*1000&gt;0,Рецепты[[#This Row],[%]]*1000,"")</f>
        <v>1.5</v>
      </c>
      <c r="H152" s="43">
        <f>IFERROR(VLOOKUP(Рецепты[[#This Row],[Состав]],Ингредиенты!A:I,3,0)*Рецепты[[#This Row],[г]],"")</f>
        <v>1.6418181818181816</v>
      </c>
      <c r="I152" s="42">
        <f>СводРецепт!$A$1</f>
        <v>1000</v>
      </c>
      <c r="J152" s="42">
        <f>Рецепты[[#This Row],[%]]*Рецепты[[#This Row],[Масса]]</f>
        <v>1.5</v>
      </c>
      <c r="K152" s="43">
        <f>Рецепты[[#This Row],[Вес ингр-тов]]*VLOOKUP(Рецепты[[#This Row],[Состав]],Ингредиенты[],3,FALSE)</f>
        <v>1.6418181818181816</v>
      </c>
      <c r="L152" s="41">
        <f>IF(VLOOKUP(Рецепты[[#This Row],[Состав]],Ингредиенты[],4,0)="Основа",VLOOKUP(Рецепты[[#This Row],[Способ]],Способ[],2,0),0%)</f>
        <v>0</v>
      </c>
      <c r="M152" s="41">
        <f>VLOOKUP(Рецепты[[#This Row],[Способ]],Способ[],3,0)</f>
        <v>0.7</v>
      </c>
      <c r="N152" s="43">
        <f>Рецепты[[#This Row],[р]]*100%/(100%-Рецепты[[#This Row],[Потери, %]])+Рецепты[[#This Row],[Маржа]]*(Рецепты[[#This Row],[р]]*100%)/(100%-Рецепты[[#This Row],[Потери, %]])</f>
        <v>2.7910909090909088</v>
      </c>
      <c r="O152" s="43">
        <f>Рецепты[[#This Row],[Цена за 1 кг]]-(Рецепты[[#This Row],[р]]*100%/(100%-Рецепты[[#This Row],[Потери, %]]))</f>
        <v>1.1492727272727272</v>
      </c>
      <c r="P152" s="40" t="s">
        <v>392</v>
      </c>
      <c r="Q152" s="40" t="s">
        <v>402</v>
      </c>
      <c r="R152" s="44" t="str">
        <f>VLOOKUP(Рецепты[[#This Row],[Состав]],Ингредиенты[],9,0)</f>
        <v>Да</v>
      </c>
      <c r="S152" s="52"/>
    </row>
    <row r="153" spans="1:19" x14ac:dyDescent="0.25">
      <c r="A153" s="40" t="s">
        <v>391</v>
      </c>
      <c r="B153" s="40" t="str">
        <f>B152</f>
        <v>Колбаса</v>
      </c>
      <c r="C153" s="40" t="str">
        <f>C152</f>
        <v>Вареное</v>
      </c>
      <c r="D153" s="40" t="s">
        <v>214</v>
      </c>
      <c r="E153" s="41" t="str">
        <f>VLOOKUP(Рецепты[[#This Row],[Состав]],Ингредиенты[],2,0)</f>
        <v>Оболочка</v>
      </c>
      <c r="F153" s="62">
        <v>1E-3</v>
      </c>
      <c r="G153" s="42">
        <f>IF(Рецепты[[#This Row],[%]]*1000&gt;0,Рецепты[[#This Row],[%]]*1000,"")</f>
        <v>1</v>
      </c>
      <c r="H153" s="43">
        <f>IFERROR(VLOOKUP(Рецепты[[#This Row],[Состав]],Ингредиенты!A:I,3,0)*Рецепты[[#This Row],[г]],"")</f>
        <v>9.7374533266692147</v>
      </c>
      <c r="I153" s="42">
        <f>СводРецепт!$A$1</f>
        <v>1000</v>
      </c>
      <c r="J153" s="42">
        <f>Рецепты[[#This Row],[%]]*Рецепты[[#This Row],[Масса]]</f>
        <v>1</v>
      </c>
      <c r="K153" s="43">
        <f>Рецепты[[#This Row],[Вес ингр-тов]]*VLOOKUP(Рецепты[[#This Row],[Состав]],Ингредиенты[],3,FALSE)</f>
        <v>9.7374533266692147</v>
      </c>
      <c r="L153" s="41">
        <f>IF(VLOOKUP(Рецепты[[#This Row],[Состав]],Ингредиенты[],4,0)="Основа",VLOOKUP(Рецепты[[#This Row],[Способ]],Способ[],2,0),0%)</f>
        <v>0</v>
      </c>
      <c r="M153" s="41">
        <f>VLOOKUP(Рецепты[[#This Row],[Способ]],Способ[],3,0)</f>
        <v>0.7</v>
      </c>
      <c r="N153" s="43">
        <f>Рецепты[[#This Row],[р]]*100%/(100%-Рецепты[[#This Row],[Потери, %]])+Рецепты[[#This Row],[Маржа]]*(Рецепты[[#This Row],[р]]*100%)/(100%-Рецепты[[#This Row],[Потери, %]])</f>
        <v>16.553670655337665</v>
      </c>
      <c r="O153" s="43">
        <f>Рецепты[[#This Row],[Цена за 1 кг]]-(Рецепты[[#This Row],[р]]*100%/(100%-Рецепты[[#This Row],[Потери, %]]))</f>
        <v>6.8162173286684506</v>
      </c>
      <c r="P153" s="40" t="s">
        <v>392</v>
      </c>
      <c r="Q153" s="40" t="s">
        <v>403</v>
      </c>
      <c r="R153" s="44" t="str">
        <f>VLOOKUP(Рецепты[[#This Row],[Состав]],Ингредиенты[],9,0)</f>
        <v>Да</v>
      </c>
      <c r="S153" s="52"/>
    </row>
    <row r="154" spans="1:19" x14ac:dyDescent="0.25">
      <c r="A154" s="40" t="s">
        <v>404</v>
      </c>
      <c r="B154" s="40" t="str">
        <f>B152</f>
        <v>Колбаса</v>
      </c>
      <c r="C154" s="40" t="s">
        <v>27</v>
      </c>
      <c r="D154" s="40" t="s">
        <v>49</v>
      </c>
      <c r="E154" s="41" t="str">
        <f>VLOOKUP(Рецепты[[#This Row],[Состав]],Ингредиенты[],2,0)</f>
        <v>Свинина</v>
      </c>
      <c r="F154" s="62">
        <v>0.9</v>
      </c>
      <c r="G154" s="42">
        <f>IF(Рецепты[[#This Row],[%]]*1000&gt;0,Рецепты[[#This Row],[%]]*1000,"")</f>
        <v>900</v>
      </c>
      <c r="H154" s="43">
        <f>IFERROR(VLOOKUP(Рецепты[[#This Row],[Состав]],Ингредиенты!A:I,3,0)*Рецепты[[#This Row],[г]],"")</f>
        <v>332.1</v>
      </c>
      <c r="I154" s="42">
        <f>СводРецепт!$A$1</f>
        <v>1000</v>
      </c>
      <c r="J154" s="42">
        <f>Рецепты[[#This Row],[%]]*Рецепты[[#This Row],[Масса]]</f>
        <v>900</v>
      </c>
      <c r="K154" s="43">
        <f>Рецепты[[#This Row],[Вес ингр-тов]]*VLOOKUP(Рецепты[[#This Row],[Состав]],Ингредиенты[],3,FALSE)</f>
        <v>332.1</v>
      </c>
      <c r="L154" s="41">
        <f>IF(VLOOKUP(Рецепты[[#This Row],[Состав]],Ингредиенты[],4,0)="Основа",VLOOKUP(Рецепты[[#This Row],[Способ]],Способ[],2,0),0%)</f>
        <v>0.35</v>
      </c>
      <c r="M154" s="41">
        <f>VLOOKUP(Рецепты[[#This Row],[Способ]],Способ[],3,0)</f>
        <v>2</v>
      </c>
      <c r="N154" s="43">
        <f>Рецепты[[#This Row],[р]]*100%/(100%-Рецепты[[#This Row],[Потери, %]])+Рецепты[[#This Row],[Маржа]]*(Рецепты[[#This Row],[р]]*100%)/(100%-Рецепты[[#This Row],[Потери, %]])</f>
        <v>1532.7692307692309</v>
      </c>
      <c r="O154" s="43">
        <f>Рецепты[[#This Row],[Цена за 1 кг]]-(Рецепты[[#This Row],[р]]*100%/(100%-Рецепты[[#This Row],[Потери, %]]))</f>
        <v>1021.846153846154</v>
      </c>
      <c r="P154" s="40" t="s">
        <v>405</v>
      </c>
      <c r="Q154" s="40" t="s">
        <v>406</v>
      </c>
      <c r="R154" s="44" t="str">
        <f>VLOOKUP(Рецепты[[#This Row],[Состав]],Ингредиенты[],9,0)</f>
        <v>Да</v>
      </c>
      <c r="S154" s="52"/>
    </row>
    <row r="155" spans="1:19" x14ac:dyDescent="0.25">
      <c r="A155" s="40" t="s">
        <v>404</v>
      </c>
      <c r="B155" s="40" t="str">
        <f t="shared" ref="B155:B179" si="16">B154</f>
        <v>Колбаса</v>
      </c>
      <c r="C155" s="40" t="str">
        <f t="shared" ref="C155:C179" si="17">C154</f>
        <v>Сыровяленное</v>
      </c>
      <c r="D155" s="40" t="s">
        <v>60</v>
      </c>
      <c r="E155" s="41" t="str">
        <f>VLOOKUP(Рецепты[[#This Row],[Состав]],Ингредиенты[],2,0)</f>
        <v>Свинина</v>
      </c>
      <c r="F155" s="62">
        <v>0.1</v>
      </c>
      <c r="G155" s="42">
        <f>IF(Рецепты[[#This Row],[%]]*1000&gt;0,Рецепты[[#This Row],[%]]*1000,"")</f>
        <v>100</v>
      </c>
      <c r="H155" s="43">
        <f>IFERROR(VLOOKUP(Рецепты[[#This Row],[Состав]],Ингредиенты!A:I,3,0)*Рецепты[[#This Row],[г]],"")</f>
        <v>30</v>
      </c>
      <c r="I155" s="42">
        <f>СводРецепт!$A$1</f>
        <v>1000</v>
      </c>
      <c r="J155" s="42">
        <f>Рецепты[[#This Row],[%]]*Рецепты[[#This Row],[Масса]]</f>
        <v>100</v>
      </c>
      <c r="K155" s="43">
        <f>Рецепты[[#This Row],[Вес ингр-тов]]*VLOOKUP(Рецепты[[#This Row],[Состав]],Ингредиенты[],3,FALSE)</f>
        <v>30</v>
      </c>
      <c r="L155" s="41">
        <f>IF(VLOOKUP(Рецепты[[#This Row],[Состав]],Ингредиенты[],4,0)="Основа",VLOOKUP(Рецепты[[#This Row],[Способ]],Способ[],2,0),0%)</f>
        <v>0.35</v>
      </c>
      <c r="M155" s="41">
        <f>VLOOKUP(Рецепты[[#This Row],[Способ]],Способ[],3,0)</f>
        <v>2</v>
      </c>
      <c r="N155" s="43">
        <f>Рецепты[[#This Row],[р]]*100%/(100%-Рецепты[[#This Row],[Потери, %]])+Рецепты[[#This Row],[Маржа]]*(Рецепты[[#This Row],[р]]*100%)/(100%-Рецепты[[#This Row],[Потери, %]])</f>
        <v>138.46153846153845</v>
      </c>
      <c r="O155" s="43">
        <f>Рецепты[[#This Row],[Цена за 1 кг]]-(Рецепты[[#This Row],[р]]*100%/(100%-Рецепты[[#This Row],[Потери, %]]))</f>
        <v>92.307692307692292</v>
      </c>
      <c r="P155" s="40" t="s">
        <v>405</v>
      </c>
      <c r="Q155" s="40" t="s">
        <v>407</v>
      </c>
      <c r="R155" s="44" t="str">
        <f>VLOOKUP(Рецепты[[#This Row],[Состав]],Ингредиенты[],9,0)</f>
        <v>Нет</v>
      </c>
      <c r="S155" s="52"/>
    </row>
    <row r="156" spans="1:19" x14ac:dyDescent="0.25">
      <c r="A156" s="40" t="s">
        <v>404</v>
      </c>
      <c r="B156" s="40" t="str">
        <f t="shared" si="16"/>
        <v>Колбаса</v>
      </c>
      <c r="C156" s="40" t="str">
        <f t="shared" si="17"/>
        <v>Сыровяленное</v>
      </c>
      <c r="D156" s="40" t="s">
        <v>104</v>
      </c>
      <c r="E156" s="41" t="str">
        <f>VLOOKUP(Рецепты[[#This Row],[Состав]],Ингредиенты[],2,0)</f>
        <v>Добавки</v>
      </c>
      <c r="F156" s="62">
        <v>0.1</v>
      </c>
      <c r="G156" s="42">
        <f>IF(Рецепты[[#This Row],[%]]*1000&gt;0,Рецепты[[#This Row],[%]]*1000,"")</f>
        <v>100</v>
      </c>
      <c r="H156" s="43">
        <f>IFERROR(VLOOKUP(Рецепты[[#This Row],[Состав]],Ингредиенты!A:I,3,0)*Рецепты[[#This Row],[г]],"")</f>
        <v>53.900000000000006</v>
      </c>
      <c r="I156" s="42">
        <f>СводРецепт!$A$1</f>
        <v>1000</v>
      </c>
      <c r="J156" s="42">
        <f>Рецепты[[#This Row],[%]]*Рецепты[[#This Row],[Масса]]</f>
        <v>100</v>
      </c>
      <c r="K156" s="43">
        <f>Рецепты[[#This Row],[Вес ингр-тов]]*VLOOKUP(Рецепты[[#This Row],[Состав]],Ингредиенты[],3,FALSE)</f>
        <v>53.900000000000006</v>
      </c>
      <c r="L156" s="41">
        <f>IF(VLOOKUP(Рецепты[[#This Row],[Состав]],Ингредиенты[],4,0)="Основа",VLOOKUP(Рецепты[[#This Row],[Способ]],Способ[],2,0),0%)</f>
        <v>0</v>
      </c>
      <c r="M156" s="41">
        <f>VLOOKUP(Рецепты[[#This Row],[Способ]],Способ[],3,0)</f>
        <v>2</v>
      </c>
      <c r="N156" s="43">
        <f>Рецепты[[#This Row],[р]]*100%/(100%-Рецепты[[#This Row],[Потери, %]])+Рецепты[[#This Row],[Маржа]]*(Рецепты[[#This Row],[р]]*100%)/(100%-Рецепты[[#This Row],[Потери, %]])</f>
        <v>161.70000000000002</v>
      </c>
      <c r="O156" s="43">
        <f>Рецепты[[#This Row],[Цена за 1 кг]]-(Рецепты[[#This Row],[р]]*100%/(100%-Рецепты[[#This Row],[Потери, %]]))</f>
        <v>107.80000000000001</v>
      </c>
      <c r="P156" s="40" t="s">
        <v>405</v>
      </c>
      <c r="Q156" s="40" t="s">
        <v>408</v>
      </c>
      <c r="R156" s="44" t="str">
        <f>VLOOKUP(Рецепты[[#This Row],[Состав]],Ингредиенты[],9,0)</f>
        <v>Нет</v>
      </c>
      <c r="S156" s="52"/>
    </row>
    <row r="157" spans="1:19" x14ac:dyDescent="0.25">
      <c r="A157" s="40" t="s">
        <v>404</v>
      </c>
      <c r="B157" s="40" t="str">
        <f t="shared" si="16"/>
        <v>Колбаса</v>
      </c>
      <c r="C157" s="40" t="str">
        <f t="shared" si="17"/>
        <v>Сыровяленное</v>
      </c>
      <c r="D157" s="40" t="s">
        <v>109</v>
      </c>
      <c r="E157" s="41" t="str">
        <f>VLOOKUP(Рецепты[[#This Row],[Состав]],Ингредиенты[],2,0)</f>
        <v>Добавки</v>
      </c>
      <c r="F157" s="62">
        <v>0.03</v>
      </c>
      <c r="G157" s="42">
        <f>IF(Рецепты[[#This Row],[%]]*1000&gt;0,Рецепты[[#This Row],[%]]*1000,"")</f>
        <v>30</v>
      </c>
      <c r="H157" s="43">
        <f>IFERROR(VLOOKUP(Рецепты[[#This Row],[Состав]],Ингредиенты!A:I,3,0)*Рецепты[[#This Row],[г]],"")</f>
        <v>16.470000000000002</v>
      </c>
      <c r="I157" s="42">
        <f>СводРецепт!$A$1</f>
        <v>1000</v>
      </c>
      <c r="J157" s="42">
        <f>Рецепты[[#This Row],[%]]*Рецепты[[#This Row],[Масса]]</f>
        <v>30</v>
      </c>
      <c r="K157" s="43">
        <f>Рецепты[[#This Row],[Вес ингр-тов]]*VLOOKUP(Рецепты[[#This Row],[Состав]],Ингредиенты[],3,FALSE)</f>
        <v>16.470000000000002</v>
      </c>
      <c r="L157" s="41">
        <f>IF(VLOOKUP(Рецепты[[#This Row],[Состав]],Ингредиенты[],4,0)="Основа",VLOOKUP(Рецепты[[#This Row],[Способ]],Способ[],2,0),0%)</f>
        <v>0</v>
      </c>
      <c r="M157" s="41">
        <f>VLOOKUP(Рецепты[[#This Row],[Способ]],Способ[],3,0)</f>
        <v>2</v>
      </c>
      <c r="N157" s="43">
        <f>Рецепты[[#This Row],[р]]*100%/(100%-Рецепты[[#This Row],[Потери, %]])+Рецепты[[#This Row],[Маржа]]*(Рецепты[[#This Row],[р]]*100%)/(100%-Рецепты[[#This Row],[Потери, %]])</f>
        <v>49.410000000000011</v>
      </c>
      <c r="O157" s="43">
        <f>Рецепты[[#This Row],[Цена за 1 кг]]-(Рецепты[[#This Row],[р]]*100%/(100%-Рецепты[[#This Row],[Потери, %]]))</f>
        <v>32.940000000000012</v>
      </c>
      <c r="P157" s="40" t="s">
        <v>405</v>
      </c>
      <c r="Q157" s="40" t="s">
        <v>409</v>
      </c>
      <c r="R157" s="44" t="str">
        <f>VLOOKUP(Рецепты[[#This Row],[Состав]],Ингредиенты[],9,0)</f>
        <v>Да</v>
      </c>
      <c r="S157" s="52"/>
    </row>
    <row r="158" spans="1:19" x14ac:dyDescent="0.25">
      <c r="A158" s="40" t="s">
        <v>404</v>
      </c>
      <c r="B158" s="40" t="str">
        <f t="shared" si="16"/>
        <v>Колбаса</v>
      </c>
      <c r="C158" s="40" t="str">
        <f t="shared" si="17"/>
        <v>Сыровяленное</v>
      </c>
      <c r="D158" s="40" t="s">
        <v>125</v>
      </c>
      <c r="E158" s="41" t="str">
        <f>VLOOKUP(Рецепты[[#This Row],[Состав]],Ингредиенты[],2,0)</f>
        <v>Специи</v>
      </c>
      <c r="F158" s="62">
        <v>2.5999999999999999E-2</v>
      </c>
      <c r="G158" s="42">
        <f>IF(Рецепты[[#This Row],[%]]*1000&gt;0,Рецепты[[#This Row],[%]]*1000,"")</f>
        <v>26</v>
      </c>
      <c r="H158" s="43">
        <f>IFERROR(VLOOKUP(Рецепты[[#This Row],[Состав]],Ингредиенты!A:I,3,0)*Рецепты[[#This Row],[г]],"")</f>
        <v>3.3280000000000003</v>
      </c>
      <c r="I158" s="42">
        <f>СводРецепт!$A$1</f>
        <v>1000</v>
      </c>
      <c r="J158" s="42">
        <f>Рецепты[[#This Row],[%]]*Рецепты[[#This Row],[Масса]]</f>
        <v>26</v>
      </c>
      <c r="K158" s="43">
        <f>Рецепты[[#This Row],[Вес ингр-тов]]*VLOOKUP(Рецепты[[#This Row],[Состав]],Ингредиенты[],3,FALSE)</f>
        <v>3.3280000000000003</v>
      </c>
      <c r="L158" s="41">
        <f>IF(VLOOKUP(Рецепты[[#This Row],[Состав]],Ингредиенты[],4,0)="Основа",VLOOKUP(Рецепты[[#This Row],[Способ]],Способ[],2,0),0%)</f>
        <v>0</v>
      </c>
      <c r="M158" s="41">
        <f>VLOOKUP(Рецепты[[#This Row],[Способ]],Способ[],3,0)</f>
        <v>2</v>
      </c>
      <c r="N158" s="43">
        <f>Рецепты[[#This Row],[р]]*100%/(100%-Рецепты[[#This Row],[Потери, %]])+Рецепты[[#This Row],[Маржа]]*(Рецепты[[#This Row],[р]]*100%)/(100%-Рецепты[[#This Row],[Потери, %]])</f>
        <v>9.9840000000000018</v>
      </c>
      <c r="O158" s="43">
        <f>Рецепты[[#This Row],[Цена за 1 кг]]-(Рецепты[[#This Row],[р]]*100%/(100%-Рецепты[[#This Row],[Потери, %]]))</f>
        <v>6.6560000000000015</v>
      </c>
      <c r="P158" s="40" t="s">
        <v>405</v>
      </c>
      <c r="Q158" s="40" t="s">
        <v>410</v>
      </c>
      <c r="R158" s="44" t="str">
        <f>VLOOKUP(Рецепты[[#This Row],[Состав]],Ингредиенты[],9,0)</f>
        <v>Да</v>
      </c>
      <c r="S158" s="52"/>
    </row>
    <row r="159" spans="1:19" x14ac:dyDescent="0.25">
      <c r="A159" s="40" t="s">
        <v>404</v>
      </c>
      <c r="B159" s="40" t="str">
        <f t="shared" si="16"/>
        <v>Колбаса</v>
      </c>
      <c r="C159" s="40" t="str">
        <f t="shared" si="17"/>
        <v>Сыровяленное</v>
      </c>
      <c r="D159" s="40" t="s">
        <v>133</v>
      </c>
      <c r="E159" s="41" t="str">
        <f>VLOOKUP(Рецепты[[#This Row],[Состав]],Ингредиенты[],2,0)</f>
        <v>Специи</v>
      </c>
      <c r="F159" s="62">
        <v>2E-3</v>
      </c>
      <c r="G159" s="42">
        <f>IF(Рецепты[[#This Row],[%]]*1000&gt;0,Рецепты[[#This Row],[%]]*1000,"")</f>
        <v>2</v>
      </c>
      <c r="H159" s="43">
        <f>IFERROR(VLOOKUP(Рецепты[[#This Row],[Состав]],Ингредиенты!A:I,3,0)*Рецепты[[#This Row],[г]],"")</f>
        <v>2.189090909090909</v>
      </c>
      <c r="I159" s="42">
        <f>СводРецепт!$A$1</f>
        <v>1000</v>
      </c>
      <c r="J159" s="42">
        <f>Рецепты[[#This Row],[%]]*Рецепты[[#This Row],[Масса]]</f>
        <v>2</v>
      </c>
      <c r="K159" s="43">
        <f>Рецепты[[#This Row],[Вес ингр-тов]]*VLOOKUP(Рецепты[[#This Row],[Состав]],Ингредиенты[],3,FALSE)</f>
        <v>2.189090909090909</v>
      </c>
      <c r="L159" s="41">
        <f>IF(VLOOKUP(Рецепты[[#This Row],[Состав]],Ингредиенты[],4,0)="Основа",VLOOKUP(Рецепты[[#This Row],[Способ]],Способ[],2,0),0%)</f>
        <v>0</v>
      </c>
      <c r="M159" s="41">
        <f>VLOOKUP(Рецепты[[#This Row],[Способ]],Способ[],3,0)</f>
        <v>2</v>
      </c>
      <c r="N159" s="43">
        <f>Рецепты[[#This Row],[р]]*100%/(100%-Рецепты[[#This Row],[Потери, %]])+Рецепты[[#This Row],[Маржа]]*(Рецепты[[#This Row],[р]]*100%)/(100%-Рецепты[[#This Row],[Потери, %]])</f>
        <v>6.5672727272727265</v>
      </c>
      <c r="O159" s="43">
        <f>Рецепты[[#This Row],[Цена за 1 кг]]-(Рецепты[[#This Row],[р]]*100%/(100%-Рецепты[[#This Row],[Потери, %]]))</f>
        <v>4.3781818181818171</v>
      </c>
      <c r="P159" s="40" t="s">
        <v>405</v>
      </c>
      <c r="Q159" s="40" t="s">
        <v>411</v>
      </c>
      <c r="R159" s="44" t="str">
        <f>VLOOKUP(Рецепты[[#This Row],[Состав]],Ингредиенты[],9,0)</f>
        <v>Да</v>
      </c>
      <c r="S159" s="52"/>
    </row>
    <row r="160" spans="1:19" x14ac:dyDescent="0.25">
      <c r="A160" s="40" t="s">
        <v>404</v>
      </c>
      <c r="B160" s="40" t="str">
        <f t="shared" si="16"/>
        <v>Колбаса</v>
      </c>
      <c r="C160" s="40" t="str">
        <f t="shared" si="17"/>
        <v>Сыровяленное</v>
      </c>
      <c r="D160" s="40" t="s">
        <v>135</v>
      </c>
      <c r="E160" s="41" t="str">
        <f>VLOOKUP(Рецепты[[#This Row],[Состав]],Ингредиенты[],2,0)</f>
        <v>Специи</v>
      </c>
      <c r="F160" s="62">
        <v>1E-3</v>
      </c>
      <c r="G160" s="42">
        <f>IF(Рецепты[[#This Row],[%]]*1000&gt;0,Рецепты[[#This Row],[%]]*1000,"")</f>
        <v>1</v>
      </c>
      <c r="H160" s="43">
        <f>IFERROR(VLOOKUP(Рецепты[[#This Row],[Состав]],Ингредиенты!A:I,3,0)*Рецепты[[#This Row],[г]],"")</f>
        <v>1.58</v>
      </c>
      <c r="I160" s="42">
        <f>СводРецепт!$A$1</f>
        <v>1000</v>
      </c>
      <c r="J160" s="42">
        <f>Рецепты[[#This Row],[%]]*Рецепты[[#This Row],[Масса]]</f>
        <v>1</v>
      </c>
      <c r="K160" s="43">
        <f>Рецепты[[#This Row],[Вес ингр-тов]]*VLOOKUP(Рецепты[[#This Row],[Состав]],Ингредиенты[],3,FALSE)</f>
        <v>1.58</v>
      </c>
      <c r="L160" s="41">
        <f>IF(VLOOKUP(Рецепты[[#This Row],[Состав]],Ингредиенты[],4,0)="Основа",VLOOKUP(Рецепты[[#This Row],[Способ]],Способ[],2,0),0%)</f>
        <v>0</v>
      </c>
      <c r="M160" s="41">
        <f>VLOOKUP(Рецепты[[#This Row],[Способ]],Способ[],3,0)</f>
        <v>2</v>
      </c>
      <c r="N160" s="43">
        <f>Рецепты[[#This Row],[р]]*100%/(100%-Рецепты[[#This Row],[Потери, %]])+Рецепты[[#This Row],[Маржа]]*(Рецепты[[#This Row],[р]]*100%)/(100%-Рецепты[[#This Row],[Потери, %]])</f>
        <v>4.74</v>
      </c>
      <c r="O160" s="43">
        <f>Рецепты[[#This Row],[Цена за 1 кг]]-(Рецепты[[#This Row],[р]]*100%/(100%-Рецепты[[#This Row],[Потери, %]]))</f>
        <v>3.16</v>
      </c>
      <c r="P160" s="40" t="s">
        <v>405</v>
      </c>
      <c r="Q160" s="40" t="s">
        <v>412</v>
      </c>
      <c r="R160" s="44" t="str">
        <f>VLOOKUP(Рецепты[[#This Row],[Состав]],Ингредиенты[],9,0)</f>
        <v>Да</v>
      </c>
      <c r="S160" s="52"/>
    </row>
    <row r="161" spans="1:19" x14ac:dyDescent="0.25">
      <c r="A161" s="40" t="s">
        <v>404</v>
      </c>
      <c r="B161" s="40" t="str">
        <f t="shared" si="16"/>
        <v>Колбаса</v>
      </c>
      <c r="C161" s="40" t="str">
        <f t="shared" si="17"/>
        <v>Сыровяленное</v>
      </c>
      <c r="D161" s="40" t="s">
        <v>153</v>
      </c>
      <c r="E161" s="41" t="str">
        <f>VLOOKUP(Рецепты[[#This Row],[Состав]],Ингредиенты[],2,0)</f>
        <v>Специи</v>
      </c>
      <c r="F161" s="62">
        <v>1E-3</v>
      </c>
      <c r="G161" s="42">
        <f>IF(Рецепты[[#This Row],[%]]*1000&gt;0,Рецепты[[#This Row],[%]]*1000,"")</f>
        <v>1</v>
      </c>
      <c r="H161" s="43">
        <f>IFERROR(VLOOKUP(Рецепты[[#This Row],[Состав]],Ингредиенты!A:I,3,0)*Рецепты[[#This Row],[г]],"")</f>
        <v>1.5133333333333334</v>
      </c>
      <c r="I161" s="42">
        <f>СводРецепт!$A$1</f>
        <v>1000</v>
      </c>
      <c r="J161" s="42">
        <f>Рецепты[[#This Row],[%]]*Рецепты[[#This Row],[Масса]]</f>
        <v>1</v>
      </c>
      <c r="K161" s="43">
        <f>Рецепты[[#This Row],[Вес ингр-тов]]*VLOOKUP(Рецепты[[#This Row],[Состав]],Ингредиенты[],3,FALSE)</f>
        <v>1.5133333333333334</v>
      </c>
      <c r="L161" s="41">
        <f>IF(VLOOKUP(Рецепты[[#This Row],[Состав]],Ингредиенты[],4,0)="Основа",VLOOKUP(Рецепты[[#This Row],[Способ]],Способ[],2,0),0%)</f>
        <v>0</v>
      </c>
      <c r="M161" s="41">
        <f>VLOOKUP(Рецепты[[#This Row],[Способ]],Способ[],3,0)</f>
        <v>2</v>
      </c>
      <c r="N161" s="43">
        <f>Рецепты[[#This Row],[р]]*100%/(100%-Рецепты[[#This Row],[Потери, %]])+Рецепты[[#This Row],[Маржа]]*(Рецепты[[#This Row],[р]]*100%)/(100%-Рецепты[[#This Row],[Потери, %]])</f>
        <v>4.54</v>
      </c>
      <c r="O161" s="43">
        <f>Рецепты[[#This Row],[Цена за 1 кг]]-(Рецепты[[#This Row],[р]]*100%/(100%-Рецепты[[#This Row],[Потери, %]]))</f>
        <v>3.0266666666666664</v>
      </c>
      <c r="P161" s="40" t="s">
        <v>405</v>
      </c>
      <c r="Q161" s="40" t="s">
        <v>413</v>
      </c>
      <c r="R161" s="44" t="str">
        <f>VLOOKUP(Рецепты[[#This Row],[Состав]],Ингредиенты[],9,0)</f>
        <v>Да</v>
      </c>
      <c r="S161" s="52"/>
    </row>
    <row r="162" spans="1:19" x14ac:dyDescent="0.25">
      <c r="A162" s="40" t="s">
        <v>404</v>
      </c>
      <c r="B162" s="40" t="str">
        <f>B161</f>
        <v>Колбаса</v>
      </c>
      <c r="C162" s="40" t="str">
        <f>C161</f>
        <v>Сыровяленное</v>
      </c>
      <c r="D162" s="40" t="s">
        <v>225</v>
      </c>
      <c r="E162" s="41" t="str">
        <f>VLOOKUP(Рецепты[[#This Row],[Состав]],Ингредиенты[],2,0)</f>
        <v>Оболочка</v>
      </c>
      <c r="F162" s="62">
        <v>1E-3</v>
      </c>
      <c r="G162" s="42">
        <f>IF(Рецепты[[#This Row],[%]]*1000&gt;0,Рецепты[[#This Row],[%]]*1000,"")</f>
        <v>1</v>
      </c>
      <c r="H162" s="43">
        <f>IFERROR(VLOOKUP(Рецепты[[#This Row],[Состав]],Ингредиенты!A:I,3,0)*Рецепты[[#This Row],[г]],"")</f>
        <v>32.760032760032757</v>
      </c>
      <c r="I162" s="42">
        <f>СводРецепт!$A$1</f>
        <v>1000</v>
      </c>
      <c r="J162" s="42">
        <f>Рецепты[[#This Row],[%]]*Рецепты[[#This Row],[Масса]]</f>
        <v>1</v>
      </c>
      <c r="K162" s="43">
        <f>Рецепты[[#This Row],[Вес ингр-тов]]*VLOOKUP(Рецепты[[#This Row],[Состав]],Ингредиенты[],3,FALSE)</f>
        <v>32.760032760032757</v>
      </c>
      <c r="L162" s="41">
        <f>IF(VLOOKUP(Рецепты[[#This Row],[Состав]],Ингредиенты[],4,0)="Основа",VLOOKUP(Рецепты[[#This Row],[Способ]],Способ[],2,0),0%)</f>
        <v>0</v>
      </c>
      <c r="M162" s="41">
        <f>VLOOKUP(Рецепты[[#This Row],[Способ]],Способ[],3,0)</f>
        <v>2</v>
      </c>
      <c r="N162" s="43">
        <f>Рецепты[[#This Row],[р]]*100%/(100%-Рецепты[[#This Row],[Потери, %]])+Рецепты[[#This Row],[Маржа]]*(Рецепты[[#This Row],[р]]*100%)/(100%-Рецепты[[#This Row],[Потери, %]])</f>
        <v>98.280098280098272</v>
      </c>
      <c r="O162" s="43">
        <f>Рецепты[[#This Row],[Цена за 1 кг]]-(Рецепты[[#This Row],[р]]*100%/(100%-Рецепты[[#This Row],[Потери, %]]))</f>
        <v>65.520065520065515</v>
      </c>
      <c r="P162" s="40" t="s">
        <v>405</v>
      </c>
      <c r="Q162" s="40" t="s">
        <v>414</v>
      </c>
      <c r="R162" s="44" t="str">
        <f>VLOOKUP(Рецепты[[#This Row],[Состав]],Ингредиенты[],9,0)</f>
        <v>Да</v>
      </c>
      <c r="S162" s="52"/>
    </row>
    <row r="163" spans="1:19" x14ac:dyDescent="0.25">
      <c r="A163" s="40" t="s">
        <v>415</v>
      </c>
      <c r="B163" s="40" t="str">
        <f>B161</f>
        <v>Колбаса</v>
      </c>
      <c r="C163" s="40" t="str">
        <f>C161</f>
        <v>Сыровяленное</v>
      </c>
      <c r="D163" s="40" t="s">
        <v>49</v>
      </c>
      <c r="E163" s="41" t="str">
        <f>VLOOKUP(Рецепты[[#This Row],[Состав]],Ингредиенты[],2,0)</f>
        <v>Свинина</v>
      </c>
      <c r="F163" s="62">
        <v>0.8</v>
      </c>
      <c r="G163" s="42">
        <f>IF(Рецепты[[#This Row],[%]]*1000&gt;0,Рецепты[[#This Row],[%]]*1000,"")</f>
        <v>800</v>
      </c>
      <c r="H163" s="43">
        <f>IFERROR(VLOOKUP(Рецепты[[#This Row],[Состав]],Ингредиенты!A:I,3,0)*Рецепты[[#This Row],[г]],"")</f>
        <v>295.2</v>
      </c>
      <c r="I163" s="42">
        <f>СводРецепт!$A$1</f>
        <v>1000</v>
      </c>
      <c r="J163" s="42">
        <f>Рецепты[[#This Row],[%]]*Рецепты[[#This Row],[Масса]]</f>
        <v>800</v>
      </c>
      <c r="K163" s="43">
        <f>Рецепты[[#This Row],[Вес ингр-тов]]*VLOOKUP(Рецепты[[#This Row],[Состав]],Ингредиенты[],3,FALSE)</f>
        <v>295.2</v>
      </c>
      <c r="L163" s="41">
        <f>IF(VLOOKUP(Рецепты[[#This Row],[Состав]],Ингредиенты[],4,0)="Основа",VLOOKUP(Рецепты[[#This Row],[Способ]],Способ[],2,0),0%)</f>
        <v>0.35</v>
      </c>
      <c r="M163" s="41">
        <f>VLOOKUP(Рецепты[[#This Row],[Способ]],Способ[],3,0)</f>
        <v>2</v>
      </c>
      <c r="N163" s="43">
        <f>Рецепты[[#This Row],[р]]*100%/(100%-Рецепты[[#This Row],[Потери, %]])+Рецепты[[#This Row],[Маржа]]*(Рецепты[[#This Row],[р]]*100%)/(100%-Рецепты[[#This Row],[Потери, %]])</f>
        <v>1362.4615384615383</v>
      </c>
      <c r="O163" s="43">
        <f>Рецепты[[#This Row],[Цена за 1 кг]]-(Рецепты[[#This Row],[р]]*100%/(100%-Рецепты[[#This Row],[Потери, %]]))</f>
        <v>908.30769230769215</v>
      </c>
      <c r="P163" s="40" t="s">
        <v>416</v>
      </c>
      <c r="Q163" s="40" t="s">
        <v>417</v>
      </c>
      <c r="R163" s="44" t="str">
        <f>VLOOKUP(Рецепты[[#This Row],[Состав]],Ингредиенты[],9,0)</f>
        <v>Да</v>
      </c>
      <c r="S163" s="52"/>
    </row>
    <row r="164" spans="1:19" x14ac:dyDescent="0.25">
      <c r="A164" s="40" t="s">
        <v>415</v>
      </c>
      <c r="B164" s="40" t="str">
        <f t="shared" si="16"/>
        <v>Колбаса</v>
      </c>
      <c r="C164" s="40" t="str">
        <f t="shared" si="17"/>
        <v>Сыровяленное</v>
      </c>
      <c r="D164" s="40" t="s">
        <v>54</v>
      </c>
      <c r="E164" s="41" t="str">
        <f>VLOOKUP(Рецепты[[#This Row],[Состав]],Ингредиенты[],2,0)</f>
        <v>Свинина</v>
      </c>
      <c r="F164" s="62">
        <v>0.2</v>
      </c>
      <c r="G164" s="42">
        <f>IF(Рецепты[[#This Row],[%]]*1000&gt;0,Рецепты[[#This Row],[%]]*1000,"")</f>
        <v>200</v>
      </c>
      <c r="H164" s="43">
        <f>IFERROR(VLOOKUP(Рецепты[[#This Row],[Состав]],Ингредиенты!A:I,3,0)*Рецепты[[#This Row],[г]],"")</f>
        <v>85.99799999999999</v>
      </c>
      <c r="I164" s="42">
        <f>СводРецепт!$A$1</f>
        <v>1000</v>
      </c>
      <c r="J164" s="42">
        <f>Рецепты[[#This Row],[%]]*Рецепты[[#This Row],[Масса]]</f>
        <v>200</v>
      </c>
      <c r="K164" s="43">
        <f>Рецепты[[#This Row],[Вес ингр-тов]]*VLOOKUP(Рецепты[[#This Row],[Состав]],Ингредиенты[],3,FALSE)</f>
        <v>85.99799999999999</v>
      </c>
      <c r="L164" s="41">
        <f>IF(VLOOKUP(Рецепты[[#This Row],[Состав]],Ингредиенты[],4,0)="Основа",VLOOKUP(Рецепты[[#This Row],[Способ]],Способ[],2,0),0%)</f>
        <v>0.35</v>
      </c>
      <c r="M164" s="41">
        <f>VLOOKUP(Рецепты[[#This Row],[Способ]],Способ[],3,0)</f>
        <v>2</v>
      </c>
      <c r="N164" s="43">
        <f>Рецепты[[#This Row],[р]]*100%/(100%-Рецепты[[#This Row],[Потери, %]])+Рецепты[[#This Row],[Маржа]]*(Рецепты[[#This Row],[р]]*100%)/(100%-Рецепты[[#This Row],[Потери, %]])</f>
        <v>396.91384615384612</v>
      </c>
      <c r="O164" s="43">
        <f>Рецепты[[#This Row],[Цена за 1 кг]]-(Рецепты[[#This Row],[р]]*100%/(100%-Рецепты[[#This Row],[Потери, %]]))</f>
        <v>264.60923076923075</v>
      </c>
      <c r="P164" s="40" t="s">
        <v>416</v>
      </c>
      <c r="Q164" s="40" t="s">
        <v>418</v>
      </c>
      <c r="R164" s="44" t="str">
        <f>VLOOKUP(Рецепты[[#This Row],[Состав]],Ингредиенты[],9,0)</f>
        <v>Нет</v>
      </c>
      <c r="S164" s="52"/>
    </row>
    <row r="165" spans="1:19" x14ac:dyDescent="0.25">
      <c r="A165" s="40" t="s">
        <v>415</v>
      </c>
      <c r="B165" s="40" t="str">
        <f t="shared" si="16"/>
        <v>Колбаса</v>
      </c>
      <c r="C165" s="40" t="str">
        <f t="shared" si="17"/>
        <v>Сыровяленное</v>
      </c>
      <c r="D165" s="40" t="s">
        <v>104</v>
      </c>
      <c r="E165" s="41" t="str">
        <f>VLOOKUP(Рецепты[[#This Row],[Состав]],Ингредиенты[],2,0)</f>
        <v>Добавки</v>
      </c>
      <c r="F165" s="62">
        <v>0.05</v>
      </c>
      <c r="G165" s="42">
        <f>IF(Рецепты[[#This Row],[%]]*1000&gt;0,Рецепты[[#This Row],[%]]*1000,"")</f>
        <v>50</v>
      </c>
      <c r="H165" s="43">
        <f>IFERROR(VLOOKUP(Рецепты[[#This Row],[Состав]],Ингредиенты!A:I,3,0)*Рецепты[[#This Row],[г]],"")</f>
        <v>26.950000000000003</v>
      </c>
      <c r="I165" s="42">
        <f>СводРецепт!$A$1</f>
        <v>1000</v>
      </c>
      <c r="J165" s="42">
        <f>Рецепты[[#This Row],[%]]*Рецепты[[#This Row],[Масса]]</f>
        <v>50</v>
      </c>
      <c r="K165" s="43">
        <f>Рецепты[[#This Row],[Вес ингр-тов]]*VLOOKUP(Рецепты[[#This Row],[Состав]],Ингредиенты[],3,FALSE)</f>
        <v>26.950000000000003</v>
      </c>
      <c r="L165" s="41">
        <f>IF(VLOOKUP(Рецепты[[#This Row],[Состав]],Ингредиенты[],4,0)="Основа",VLOOKUP(Рецепты[[#This Row],[Способ]],Способ[],2,0),0%)</f>
        <v>0</v>
      </c>
      <c r="M165" s="41">
        <f>VLOOKUP(Рецепты[[#This Row],[Способ]],Способ[],3,0)</f>
        <v>2</v>
      </c>
      <c r="N165" s="43">
        <f>Рецепты[[#This Row],[р]]*100%/(100%-Рецепты[[#This Row],[Потери, %]])+Рецепты[[#This Row],[Маржа]]*(Рецепты[[#This Row],[р]]*100%)/(100%-Рецепты[[#This Row],[Потери, %]])</f>
        <v>80.850000000000009</v>
      </c>
      <c r="O165" s="43">
        <f>Рецепты[[#This Row],[Цена за 1 кг]]-(Рецепты[[#This Row],[р]]*100%/(100%-Рецепты[[#This Row],[Потери, %]]))</f>
        <v>53.900000000000006</v>
      </c>
      <c r="P165" s="40" t="s">
        <v>416</v>
      </c>
      <c r="Q165" s="40" t="s">
        <v>419</v>
      </c>
      <c r="R165" s="44" t="str">
        <f>VLOOKUP(Рецепты[[#This Row],[Состав]],Ингредиенты[],9,0)</f>
        <v>Нет</v>
      </c>
      <c r="S165" s="52"/>
    </row>
    <row r="166" spans="1:19" x14ac:dyDescent="0.25">
      <c r="A166" s="40" t="s">
        <v>415</v>
      </c>
      <c r="B166" s="40" t="str">
        <f t="shared" si="16"/>
        <v>Колбаса</v>
      </c>
      <c r="C166" s="40" t="str">
        <f t="shared" si="17"/>
        <v>Сыровяленное</v>
      </c>
      <c r="D166" s="40" t="s">
        <v>125</v>
      </c>
      <c r="E166" s="41" t="str">
        <f>VLOOKUP(Рецепты[[#This Row],[Состав]],Ингредиенты[],2,0)</f>
        <v>Специи</v>
      </c>
      <c r="F166" s="62">
        <v>2.7E-2</v>
      </c>
      <c r="G166" s="42">
        <f>IF(Рецепты[[#This Row],[%]]*1000&gt;0,Рецепты[[#This Row],[%]]*1000,"")</f>
        <v>27</v>
      </c>
      <c r="H166" s="43">
        <f>IFERROR(VLOOKUP(Рецепты[[#This Row],[Состав]],Ингредиенты!A:I,3,0)*Рецепты[[#This Row],[г]],"")</f>
        <v>3.456</v>
      </c>
      <c r="I166" s="42">
        <f>СводРецепт!$A$1</f>
        <v>1000</v>
      </c>
      <c r="J166" s="42">
        <f>Рецепты[[#This Row],[%]]*Рецепты[[#This Row],[Масса]]</f>
        <v>27</v>
      </c>
      <c r="K166" s="43">
        <f>Рецепты[[#This Row],[Вес ингр-тов]]*VLOOKUP(Рецепты[[#This Row],[Состав]],Ингредиенты[],3,FALSE)</f>
        <v>3.456</v>
      </c>
      <c r="L166" s="41">
        <f>IF(VLOOKUP(Рецепты[[#This Row],[Состав]],Ингредиенты[],4,0)="Основа",VLOOKUP(Рецепты[[#This Row],[Способ]],Способ[],2,0),0%)</f>
        <v>0</v>
      </c>
      <c r="M166" s="41">
        <f>VLOOKUP(Рецепты[[#This Row],[Способ]],Способ[],3,0)</f>
        <v>2</v>
      </c>
      <c r="N166" s="43">
        <f>Рецепты[[#This Row],[р]]*100%/(100%-Рецепты[[#This Row],[Потери, %]])+Рецепты[[#This Row],[Маржа]]*(Рецепты[[#This Row],[р]]*100%)/(100%-Рецепты[[#This Row],[Потери, %]])</f>
        <v>10.368</v>
      </c>
      <c r="O166" s="43">
        <f>Рецепты[[#This Row],[Цена за 1 кг]]-(Рецепты[[#This Row],[р]]*100%/(100%-Рецепты[[#This Row],[Потери, %]]))</f>
        <v>6.9120000000000008</v>
      </c>
      <c r="P166" s="40" t="s">
        <v>416</v>
      </c>
      <c r="Q166" s="40" t="s">
        <v>420</v>
      </c>
      <c r="R166" s="44" t="str">
        <f>VLOOKUP(Рецепты[[#This Row],[Состав]],Ингредиенты[],9,0)</f>
        <v>Да</v>
      </c>
      <c r="S166" s="52"/>
    </row>
    <row r="167" spans="1:19" x14ac:dyDescent="0.25">
      <c r="A167" s="40" t="s">
        <v>415</v>
      </c>
      <c r="B167" s="40" t="str">
        <f t="shared" si="16"/>
        <v>Колбаса</v>
      </c>
      <c r="C167" s="40" t="str">
        <f t="shared" si="17"/>
        <v>Сыровяленное</v>
      </c>
      <c r="D167" s="40" t="s">
        <v>131</v>
      </c>
      <c r="E167" s="41" t="str">
        <f>VLOOKUP(Рецепты[[#This Row],[Состав]],Ингредиенты[],2,0)</f>
        <v>Специи</v>
      </c>
      <c r="F167" s="62">
        <v>1E-3</v>
      </c>
      <c r="G167" s="42">
        <f>IF(Рецепты[[#This Row],[%]]*1000&gt;0,Рецепты[[#This Row],[%]]*1000,"")</f>
        <v>1</v>
      </c>
      <c r="H167" s="43">
        <f>IFERROR(VLOOKUP(Рецепты[[#This Row],[Состав]],Ингредиенты!A:I,3,0)*Рецепты[[#This Row],[г]],"")</f>
        <v>8.0882352941176475E-2</v>
      </c>
      <c r="I167" s="42">
        <f>СводРецепт!$A$1</f>
        <v>1000</v>
      </c>
      <c r="J167" s="42">
        <f>Рецепты[[#This Row],[%]]*Рецепты[[#This Row],[Масса]]</f>
        <v>1</v>
      </c>
      <c r="K167" s="43">
        <f>Рецепты[[#This Row],[Вес ингр-тов]]*VLOOKUP(Рецепты[[#This Row],[Состав]],Ингредиенты[],3,FALSE)</f>
        <v>8.0882352941176475E-2</v>
      </c>
      <c r="L167" s="41">
        <f>IF(VLOOKUP(Рецепты[[#This Row],[Состав]],Ингредиенты[],4,0)="Основа",VLOOKUP(Рецепты[[#This Row],[Способ]],Способ[],2,0),0%)</f>
        <v>0</v>
      </c>
      <c r="M167" s="41">
        <f>VLOOKUP(Рецепты[[#This Row],[Способ]],Способ[],3,0)</f>
        <v>2</v>
      </c>
      <c r="N167" s="43">
        <f>Рецепты[[#This Row],[р]]*100%/(100%-Рецепты[[#This Row],[Потери, %]])+Рецепты[[#This Row],[Маржа]]*(Рецепты[[#This Row],[р]]*100%)/(100%-Рецепты[[#This Row],[Потери, %]])</f>
        <v>0.24264705882352944</v>
      </c>
      <c r="O167" s="43">
        <f>Рецепты[[#This Row],[Цена за 1 кг]]-(Рецепты[[#This Row],[р]]*100%/(100%-Рецепты[[#This Row],[Потери, %]]))</f>
        <v>0.16176470588235298</v>
      </c>
      <c r="P167" s="40" t="s">
        <v>416</v>
      </c>
      <c r="Q167" s="40" t="s">
        <v>421</v>
      </c>
      <c r="R167" s="44" t="str">
        <f>VLOOKUP(Рецепты[[#This Row],[Состав]],Ингредиенты[],9,0)</f>
        <v>Да</v>
      </c>
      <c r="S167" s="52"/>
    </row>
    <row r="168" spans="1:19" x14ac:dyDescent="0.25">
      <c r="A168" s="40" t="s">
        <v>415</v>
      </c>
      <c r="B168" s="40" t="str">
        <f t="shared" si="16"/>
        <v>Колбаса</v>
      </c>
      <c r="C168" s="40" t="str">
        <f t="shared" si="17"/>
        <v>Сыровяленное</v>
      </c>
      <c r="D168" s="40" t="s">
        <v>147</v>
      </c>
      <c r="E168" s="41" t="str">
        <f>VLOOKUP(Рецепты[[#This Row],[Состав]],Ингредиенты[],2,0)</f>
        <v>Специи</v>
      </c>
      <c r="F168" s="62">
        <v>0.02</v>
      </c>
      <c r="G168" s="42">
        <f>IF(Рецепты[[#This Row],[%]]*1000&gt;0,Рецепты[[#This Row],[%]]*1000,"")</f>
        <v>20</v>
      </c>
      <c r="H168" s="43">
        <f>IFERROR(VLOOKUP(Рецепты[[#This Row],[Состав]],Ингредиенты!A:I,3,0)*Рецепты[[#This Row],[г]],"")</f>
        <v>17.920000000000002</v>
      </c>
      <c r="I168" s="42">
        <f>СводРецепт!$A$1</f>
        <v>1000</v>
      </c>
      <c r="J168" s="42">
        <f>Рецепты[[#This Row],[%]]*Рецепты[[#This Row],[Масса]]</f>
        <v>20</v>
      </c>
      <c r="K168" s="43">
        <f>Рецепты[[#This Row],[Вес ингр-тов]]*VLOOKUP(Рецепты[[#This Row],[Состав]],Ингредиенты[],3,FALSE)</f>
        <v>17.920000000000002</v>
      </c>
      <c r="L168" s="41">
        <f>IF(VLOOKUP(Рецепты[[#This Row],[Состав]],Ингредиенты[],4,0)="Основа",VLOOKUP(Рецепты[[#This Row],[Способ]],Способ[],2,0),0%)</f>
        <v>0</v>
      </c>
      <c r="M168" s="41">
        <f>VLOOKUP(Рецепты[[#This Row],[Способ]],Способ[],3,0)</f>
        <v>2</v>
      </c>
      <c r="N168" s="43">
        <f>Рецепты[[#This Row],[р]]*100%/(100%-Рецепты[[#This Row],[Потери, %]])+Рецепты[[#This Row],[Маржа]]*(Рецепты[[#This Row],[р]]*100%)/(100%-Рецепты[[#This Row],[Потери, %]])</f>
        <v>53.760000000000005</v>
      </c>
      <c r="O168" s="43">
        <f>Рецепты[[#This Row],[Цена за 1 кг]]-(Рецепты[[#This Row],[р]]*100%/(100%-Рецепты[[#This Row],[Потери, %]]))</f>
        <v>35.840000000000003</v>
      </c>
      <c r="P168" s="40" t="s">
        <v>416</v>
      </c>
      <c r="Q168" s="40" t="s">
        <v>422</v>
      </c>
      <c r="R168" s="44" t="str">
        <f>VLOOKUP(Рецепты[[#This Row],[Состав]],Ингредиенты[],9,0)</f>
        <v>Да</v>
      </c>
      <c r="S168" s="52"/>
    </row>
    <row r="169" spans="1:19" x14ac:dyDescent="0.25">
      <c r="A169" s="40" t="s">
        <v>415</v>
      </c>
      <c r="B169" s="40" t="str">
        <f t="shared" si="16"/>
        <v>Колбаса</v>
      </c>
      <c r="C169" s="40" t="str">
        <f t="shared" si="17"/>
        <v>Сыровяленное</v>
      </c>
      <c r="D169" s="40" t="s">
        <v>139</v>
      </c>
      <c r="E169" s="41" t="str">
        <f>VLOOKUP(Рецепты[[#This Row],[Состав]],Ингредиенты[],2,0)</f>
        <v>Специи</v>
      </c>
      <c r="F169" s="62">
        <v>2E-3</v>
      </c>
      <c r="G169" s="42">
        <f>IF(Рецепты[[#This Row],[%]]*1000&gt;0,Рецепты[[#This Row],[%]]*1000,"")</f>
        <v>2</v>
      </c>
      <c r="H169" s="43">
        <f>IFERROR(VLOOKUP(Рецепты[[#This Row],[Состав]],Ингредиенты!A:I,3,0)*Рецепты[[#This Row],[г]],"")</f>
        <v>1.5527272727272727</v>
      </c>
      <c r="I169" s="42">
        <f>СводРецепт!$A$1</f>
        <v>1000</v>
      </c>
      <c r="J169" s="42">
        <f>Рецепты[[#This Row],[%]]*Рецепты[[#This Row],[Масса]]</f>
        <v>2</v>
      </c>
      <c r="K169" s="43">
        <f>Рецепты[[#This Row],[Вес ингр-тов]]*VLOOKUP(Рецепты[[#This Row],[Состав]],Ингредиенты[],3,FALSE)</f>
        <v>1.5527272727272727</v>
      </c>
      <c r="L169" s="41">
        <f>IF(VLOOKUP(Рецепты[[#This Row],[Состав]],Ингредиенты[],4,0)="Основа",VLOOKUP(Рецепты[[#This Row],[Способ]],Способ[],2,0),0%)</f>
        <v>0</v>
      </c>
      <c r="M169" s="41">
        <f>VLOOKUP(Рецепты[[#This Row],[Способ]],Способ[],3,0)</f>
        <v>2</v>
      </c>
      <c r="N169" s="43">
        <f>Рецепты[[#This Row],[р]]*100%/(100%-Рецепты[[#This Row],[Потери, %]])+Рецепты[[#This Row],[Маржа]]*(Рецепты[[#This Row],[р]]*100%)/(100%-Рецепты[[#This Row],[Потери, %]])</f>
        <v>4.6581818181818182</v>
      </c>
      <c r="O169" s="43">
        <f>Рецепты[[#This Row],[Цена за 1 кг]]-(Рецепты[[#This Row],[р]]*100%/(100%-Рецепты[[#This Row],[Потери, %]]))</f>
        <v>3.1054545454545455</v>
      </c>
      <c r="P169" s="40" t="s">
        <v>416</v>
      </c>
      <c r="Q169" s="40" t="s">
        <v>423</v>
      </c>
      <c r="R169" s="44" t="str">
        <f>VLOOKUP(Рецепты[[#This Row],[Состав]],Ингредиенты[],9,0)</f>
        <v>Нет</v>
      </c>
      <c r="S169" s="52"/>
    </row>
    <row r="170" spans="1:19" x14ac:dyDescent="0.25">
      <c r="A170" s="40" t="s">
        <v>415</v>
      </c>
      <c r="B170" s="40" t="str">
        <f t="shared" si="16"/>
        <v>Колбаса</v>
      </c>
      <c r="C170" s="40" t="str">
        <f t="shared" si="17"/>
        <v>Сыровяленное</v>
      </c>
      <c r="D170" s="40" t="s">
        <v>151</v>
      </c>
      <c r="E170" s="41" t="str">
        <f>VLOOKUP(Рецепты[[#This Row],[Состав]],Ингредиенты[],2,0)</f>
        <v>Специи</v>
      </c>
      <c r="F170" s="62">
        <v>2E-3</v>
      </c>
      <c r="G170" s="42">
        <f>IF(Рецепты[[#This Row],[%]]*1000&gt;0,Рецепты[[#This Row],[%]]*1000,"")</f>
        <v>2</v>
      </c>
      <c r="H170" s="43">
        <f>IFERROR(VLOOKUP(Рецепты[[#This Row],[Состав]],Ингредиенты!A:I,3,0)*Рецепты[[#This Row],[г]],"")</f>
        <v>1.7566666666666666</v>
      </c>
      <c r="I170" s="42">
        <f>СводРецепт!$A$1</f>
        <v>1000</v>
      </c>
      <c r="J170" s="42">
        <f>Рецепты[[#This Row],[%]]*Рецепты[[#This Row],[Масса]]</f>
        <v>2</v>
      </c>
      <c r="K170" s="43">
        <f>Рецепты[[#This Row],[Вес ингр-тов]]*VLOOKUP(Рецепты[[#This Row],[Состав]],Ингредиенты[],3,FALSE)</f>
        <v>1.7566666666666666</v>
      </c>
      <c r="L170" s="41">
        <f>IF(VLOOKUP(Рецепты[[#This Row],[Состав]],Ингредиенты[],4,0)="Основа",VLOOKUP(Рецепты[[#This Row],[Способ]],Способ[],2,0),0%)</f>
        <v>0</v>
      </c>
      <c r="M170" s="41">
        <f>VLOOKUP(Рецепты[[#This Row],[Способ]],Способ[],3,0)</f>
        <v>2</v>
      </c>
      <c r="N170" s="43">
        <f>Рецепты[[#This Row],[р]]*100%/(100%-Рецепты[[#This Row],[Потери, %]])+Рецепты[[#This Row],[Маржа]]*(Рецепты[[#This Row],[р]]*100%)/(100%-Рецепты[[#This Row],[Потери, %]])</f>
        <v>5.27</v>
      </c>
      <c r="O170" s="43">
        <f>Рецепты[[#This Row],[Цена за 1 кг]]-(Рецепты[[#This Row],[р]]*100%/(100%-Рецепты[[#This Row],[Потери, %]]))</f>
        <v>3.5133333333333328</v>
      </c>
      <c r="P170" s="40" t="s">
        <v>416</v>
      </c>
      <c r="Q170" s="40" t="s">
        <v>424</v>
      </c>
      <c r="R170" s="44" t="str">
        <f>VLOOKUP(Рецепты[[#This Row],[Состав]],Ингредиенты[],9,0)</f>
        <v>Да</v>
      </c>
      <c r="S170" s="52"/>
    </row>
    <row r="171" spans="1:19" x14ac:dyDescent="0.25">
      <c r="A171" s="40" t="s">
        <v>415</v>
      </c>
      <c r="B171" s="40" t="str">
        <f>B170</f>
        <v>Колбаса</v>
      </c>
      <c r="C171" s="40" t="str">
        <f>C170</f>
        <v>Сыровяленное</v>
      </c>
      <c r="D171" s="40" t="s">
        <v>225</v>
      </c>
      <c r="E171" s="41" t="str">
        <f>VLOOKUP(Рецепты[[#This Row],[Состав]],Ингредиенты[],2,0)</f>
        <v>Оболочка</v>
      </c>
      <c r="F171" s="62">
        <v>1E-3</v>
      </c>
      <c r="G171" s="42">
        <f>IF(Рецепты[[#This Row],[%]]*1000&gt;0,Рецепты[[#This Row],[%]]*1000,"")</f>
        <v>1</v>
      </c>
      <c r="H171" s="43">
        <f>IFERROR(VLOOKUP(Рецепты[[#This Row],[Состав]],Ингредиенты!A:I,3,0)*Рецепты[[#This Row],[г]],"")</f>
        <v>32.760032760032757</v>
      </c>
      <c r="I171" s="42">
        <f>СводРецепт!$A$1</f>
        <v>1000</v>
      </c>
      <c r="J171" s="42">
        <f>Рецепты[[#This Row],[%]]*Рецепты[[#This Row],[Масса]]</f>
        <v>1</v>
      </c>
      <c r="K171" s="43">
        <f>Рецепты[[#This Row],[Вес ингр-тов]]*VLOOKUP(Рецепты[[#This Row],[Состав]],Ингредиенты[],3,FALSE)</f>
        <v>32.760032760032757</v>
      </c>
      <c r="L171" s="41">
        <f>IF(VLOOKUP(Рецепты[[#This Row],[Состав]],Ингредиенты[],4,0)="Основа",VLOOKUP(Рецепты[[#This Row],[Способ]],Способ[],2,0),0%)</f>
        <v>0</v>
      </c>
      <c r="M171" s="41">
        <f>VLOOKUP(Рецепты[[#This Row],[Способ]],Способ[],3,0)</f>
        <v>2</v>
      </c>
      <c r="N171" s="43">
        <f>Рецепты[[#This Row],[р]]*100%/(100%-Рецепты[[#This Row],[Потери, %]])+Рецепты[[#This Row],[Маржа]]*(Рецепты[[#This Row],[р]]*100%)/(100%-Рецепты[[#This Row],[Потери, %]])</f>
        <v>98.280098280098272</v>
      </c>
      <c r="O171" s="43">
        <f>Рецепты[[#This Row],[Цена за 1 кг]]-(Рецепты[[#This Row],[р]]*100%/(100%-Рецепты[[#This Row],[Потери, %]]))</f>
        <v>65.520065520065515</v>
      </c>
      <c r="P171" s="40" t="s">
        <v>416</v>
      </c>
      <c r="Q171" s="40" t="s">
        <v>425</v>
      </c>
      <c r="R171" s="44" t="str">
        <f>VLOOKUP(Рецепты[[#This Row],[Состав]],Ингредиенты[],9,0)</f>
        <v>Да</v>
      </c>
      <c r="S171" s="52"/>
    </row>
    <row r="172" spans="1:19" x14ac:dyDescent="0.25">
      <c r="A172" s="40" t="s">
        <v>426</v>
      </c>
      <c r="B172" s="40" t="str">
        <f>B170</f>
        <v>Колбаса</v>
      </c>
      <c r="C172" s="40" t="str">
        <f>C170</f>
        <v>Сыровяленное</v>
      </c>
      <c r="D172" s="40" t="s">
        <v>49</v>
      </c>
      <c r="E172" s="41" t="str">
        <f>VLOOKUP(Рецепты[[#This Row],[Состав]],Ингредиенты[],2,0)</f>
        <v>Свинина</v>
      </c>
      <c r="F172" s="62">
        <v>1</v>
      </c>
      <c r="G172" s="42">
        <f>IF(Рецепты[[#This Row],[%]]*1000&gt;0,Рецепты[[#This Row],[%]]*1000,"")</f>
        <v>1000</v>
      </c>
      <c r="H172" s="43">
        <f>IFERROR(VLOOKUP(Рецепты[[#This Row],[Состав]],Ингредиенты!A:I,3,0)*Рецепты[[#This Row],[г]],"")</f>
        <v>369</v>
      </c>
      <c r="I172" s="42">
        <f>СводРецепт!$A$1</f>
        <v>1000</v>
      </c>
      <c r="J172" s="42">
        <f>Рецепты[[#This Row],[%]]*Рецепты[[#This Row],[Масса]]</f>
        <v>1000</v>
      </c>
      <c r="K172" s="43">
        <f>Рецепты[[#This Row],[Вес ингр-тов]]*VLOOKUP(Рецепты[[#This Row],[Состав]],Ингредиенты[],3,FALSE)</f>
        <v>369</v>
      </c>
      <c r="L172" s="41">
        <f>IF(VLOOKUP(Рецепты[[#This Row],[Состав]],Ингредиенты[],4,0)="Основа",VLOOKUP(Рецепты[[#This Row],[Способ]],Способ[],2,0),0%)</f>
        <v>0.35</v>
      </c>
      <c r="M172" s="41">
        <f>VLOOKUP(Рецепты[[#This Row],[Способ]],Способ[],3,0)</f>
        <v>2</v>
      </c>
      <c r="N172" s="43">
        <f>Рецепты[[#This Row],[р]]*100%/(100%-Рецепты[[#This Row],[Потери, %]])+Рецепты[[#This Row],[Маржа]]*(Рецепты[[#This Row],[р]]*100%)/(100%-Рецепты[[#This Row],[Потери, %]])</f>
        <v>1703.0769230769229</v>
      </c>
      <c r="O172" s="43">
        <f>Рецепты[[#This Row],[Цена за 1 кг]]-(Рецепты[[#This Row],[р]]*100%/(100%-Рецепты[[#This Row],[Потери, %]]))</f>
        <v>1135.3846153846152</v>
      </c>
      <c r="P172" s="40" t="s">
        <v>427</v>
      </c>
      <c r="Q172" s="40" t="s">
        <v>428</v>
      </c>
      <c r="R172" s="44" t="str">
        <f>VLOOKUP(Рецепты[[#This Row],[Состав]],Ингредиенты[],9,0)</f>
        <v>Да</v>
      </c>
      <c r="S172" s="52"/>
    </row>
    <row r="173" spans="1:19" x14ac:dyDescent="0.25">
      <c r="A173" s="40" t="s">
        <v>426</v>
      </c>
      <c r="B173" s="40" t="str">
        <f t="shared" si="16"/>
        <v>Колбаса</v>
      </c>
      <c r="C173" s="40" t="str">
        <f t="shared" si="17"/>
        <v>Сыровяленное</v>
      </c>
      <c r="D173" s="40" t="s">
        <v>102</v>
      </c>
      <c r="E173" s="41" t="str">
        <f>VLOOKUP(Рецепты[[#This Row],[Состав]],Ингредиенты[],2,0)</f>
        <v>Добавки</v>
      </c>
      <c r="F173" s="62">
        <v>0.02</v>
      </c>
      <c r="G173" s="42">
        <f>IF(Рецепты[[#This Row],[%]]*1000&gt;0,Рецепты[[#This Row],[%]]*1000,"")</f>
        <v>20</v>
      </c>
      <c r="H173" s="43">
        <f>IFERROR(VLOOKUP(Рецепты[[#This Row],[Состав]],Ингредиенты!A:I,3,0)*Рецепты[[#This Row],[г]],"")</f>
        <v>10.34</v>
      </c>
      <c r="I173" s="42">
        <f>СводРецепт!$A$1</f>
        <v>1000</v>
      </c>
      <c r="J173" s="42">
        <f>Рецепты[[#This Row],[%]]*Рецепты[[#This Row],[Масса]]</f>
        <v>20</v>
      </c>
      <c r="K173" s="43">
        <f>Рецепты[[#This Row],[Вес ингр-тов]]*VLOOKUP(Рецепты[[#This Row],[Состав]],Ингредиенты[],3,FALSE)</f>
        <v>10.34</v>
      </c>
      <c r="L173" s="41">
        <f>IF(VLOOKUP(Рецепты[[#This Row],[Состав]],Ингредиенты[],4,0)="Основа",VLOOKUP(Рецепты[[#This Row],[Способ]],Способ[],2,0),0%)</f>
        <v>0</v>
      </c>
      <c r="M173" s="41">
        <f>VLOOKUP(Рецепты[[#This Row],[Способ]],Способ[],3,0)</f>
        <v>2</v>
      </c>
      <c r="N173" s="43">
        <f>Рецепты[[#This Row],[р]]*100%/(100%-Рецепты[[#This Row],[Потери, %]])+Рецепты[[#This Row],[Маржа]]*(Рецепты[[#This Row],[р]]*100%)/(100%-Рецепты[[#This Row],[Потери, %]])</f>
        <v>31.02</v>
      </c>
      <c r="O173" s="43">
        <f>Рецепты[[#This Row],[Цена за 1 кг]]-(Рецепты[[#This Row],[р]]*100%/(100%-Рецепты[[#This Row],[Потери, %]]))</f>
        <v>20.68</v>
      </c>
      <c r="P173" s="40" t="s">
        <v>427</v>
      </c>
      <c r="Q173" s="40" t="s">
        <v>429</v>
      </c>
      <c r="R173" s="44" t="str">
        <f>VLOOKUP(Рецепты[[#This Row],[Состав]],Ингредиенты[],9,0)</f>
        <v>Да</v>
      </c>
      <c r="S173" s="52"/>
    </row>
    <row r="174" spans="1:19" x14ac:dyDescent="0.25">
      <c r="A174" s="40" t="s">
        <v>426</v>
      </c>
      <c r="B174" s="40" t="str">
        <f t="shared" si="16"/>
        <v>Колбаса</v>
      </c>
      <c r="C174" s="40" t="str">
        <f t="shared" si="17"/>
        <v>Сыровяленное</v>
      </c>
      <c r="D174" s="40" t="s">
        <v>109</v>
      </c>
      <c r="E174" s="41" t="str">
        <f>VLOOKUP(Рецепты[[#This Row],[Состав]],Ингредиенты[],2,0)</f>
        <v>Добавки</v>
      </c>
      <c r="F174" s="62">
        <v>0.01</v>
      </c>
      <c r="G174" s="42">
        <f>IF(Рецепты[[#This Row],[%]]*1000&gt;0,Рецепты[[#This Row],[%]]*1000,"")</f>
        <v>10</v>
      </c>
      <c r="H174" s="43">
        <f>IFERROR(VLOOKUP(Рецепты[[#This Row],[Состав]],Ингредиенты!A:I,3,0)*Рецепты[[#This Row],[г]],"")</f>
        <v>5.49</v>
      </c>
      <c r="I174" s="42">
        <f>СводРецепт!$A$1</f>
        <v>1000</v>
      </c>
      <c r="J174" s="42">
        <f>Рецепты[[#This Row],[%]]*Рецепты[[#This Row],[Масса]]</f>
        <v>10</v>
      </c>
      <c r="K174" s="43">
        <f>Рецепты[[#This Row],[Вес ингр-тов]]*VLOOKUP(Рецепты[[#This Row],[Состав]],Ингредиенты[],3,FALSE)</f>
        <v>5.49</v>
      </c>
      <c r="L174" s="41">
        <f>IF(VLOOKUP(Рецепты[[#This Row],[Состав]],Ингредиенты[],4,0)="Основа",VLOOKUP(Рецепты[[#This Row],[Способ]],Способ[],2,0),0%)</f>
        <v>0</v>
      </c>
      <c r="M174" s="41">
        <f>VLOOKUP(Рецепты[[#This Row],[Способ]],Способ[],3,0)</f>
        <v>2</v>
      </c>
      <c r="N174" s="43">
        <f>Рецепты[[#This Row],[р]]*100%/(100%-Рецепты[[#This Row],[Потери, %]])+Рецепты[[#This Row],[Маржа]]*(Рецепты[[#This Row],[р]]*100%)/(100%-Рецепты[[#This Row],[Потери, %]])</f>
        <v>16.47</v>
      </c>
      <c r="O174" s="43">
        <f>Рецепты[[#This Row],[Цена за 1 кг]]-(Рецепты[[#This Row],[р]]*100%/(100%-Рецепты[[#This Row],[Потери, %]]))</f>
        <v>10.979999999999999</v>
      </c>
      <c r="P174" s="40" t="s">
        <v>427</v>
      </c>
      <c r="Q174" s="40" t="s">
        <v>430</v>
      </c>
      <c r="R174" s="44" t="str">
        <f>VLOOKUP(Рецепты[[#This Row],[Состав]],Ингредиенты[],9,0)</f>
        <v>Да</v>
      </c>
      <c r="S174" s="52"/>
    </row>
    <row r="175" spans="1:19" x14ac:dyDescent="0.25">
      <c r="A175" s="40" t="s">
        <v>426</v>
      </c>
      <c r="B175" s="40" t="str">
        <f t="shared" si="16"/>
        <v>Колбаса</v>
      </c>
      <c r="C175" s="40" t="str">
        <f t="shared" si="17"/>
        <v>Сыровяленное</v>
      </c>
      <c r="D175" s="40" t="s">
        <v>125</v>
      </c>
      <c r="E175" s="41" t="str">
        <f>VLOOKUP(Рецепты[[#This Row],[Состав]],Ингредиенты[],2,0)</f>
        <v>Специи</v>
      </c>
      <c r="F175" s="62">
        <v>0.03</v>
      </c>
      <c r="G175" s="42">
        <f>IF(Рецепты[[#This Row],[%]]*1000&gt;0,Рецепты[[#This Row],[%]]*1000,"")</f>
        <v>30</v>
      </c>
      <c r="H175" s="43">
        <f>IFERROR(VLOOKUP(Рецепты[[#This Row],[Состав]],Ингредиенты!A:I,3,0)*Рецепты[[#This Row],[г]],"")</f>
        <v>3.84</v>
      </c>
      <c r="I175" s="42">
        <f>СводРецепт!$A$1</f>
        <v>1000</v>
      </c>
      <c r="J175" s="42">
        <f>Рецепты[[#This Row],[%]]*Рецепты[[#This Row],[Масса]]</f>
        <v>30</v>
      </c>
      <c r="K175" s="43">
        <f>Рецепты[[#This Row],[Вес ингр-тов]]*VLOOKUP(Рецепты[[#This Row],[Состав]],Ингредиенты[],3,FALSE)</f>
        <v>3.84</v>
      </c>
      <c r="L175" s="41">
        <f>IF(VLOOKUP(Рецепты[[#This Row],[Состав]],Ингредиенты[],4,0)="Основа",VLOOKUP(Рецепты[[#This Row],[Способ]],Способ[],2,0),0%)</f>
        <v>0</v>
      </c>
      <c r="M175" s="41">
        <f>VLOOKUP(Рецепты[[#This Row],[Способ]],Способ[],3,0)</f>
        <v>2</v>
      </c>
      <c r="N175" s="43">
        <f>Рецепты[[#This Row],[р]]*100%/(100%-Рецепты[[#This Row],[Потери, %]])+Рецепты[[#This Row],[Маржа]]*(Рецепты[[#This Row],[р]]*100%)/(100%-Рецепты[[#This Row],[Потери, %]])</f>
        <v>11.52</v>
      </c>
      <c r="O175" s="43">
        <f>Рецепты[[#This Row],[Цена за 1 кг]]-(Рецепты[[#This Row],[р]]*100%/(100%-Рецепты[[#This Row],[Потери, %]]))</f>
        <v>7.68</v>
      </c>
      <c r="P175" s="40" t="s">
        <v>427</v>
      </c>
      <c r="Q175" s="40" t="s">
        <v>431</v>
      </c>
      <c r="R175" s="44" t="str">
        <f>VLOOKUP(Рецепты[[#This Row],[Состав]],Ингредиенты[],9,0)</f>
        <v>Да</v>
      </c>
      <c r="S175" s="52"/>
    </row>
    <row r="176" spans="1:19" x14ac:dyDescent="0.25">
      <c r="A176" s="40" t="s">
        <v>426</v>
      </c>
      <c r="B176" s="40" t="str">
        <f t="shared" si="16"/>
        <v>Колбаса</v>
      </c>
      <c r="C176" s="40" t="str">
        <f t="shared" si="17"/>
        <v>Сыровяленное</v>
      </c>
      <c r="D176" s="40" t="s">
        <v>171</v>
      </c>
      <c r="E176" s="41" t="str">
        <f>VLOOKUP(Рецепты[[#This Row],[Состав]],Ингредиенты[],2,0)</f>
        <v>Специи</v>
      </c>
      <c r="F176" s="62">
        <v>3.0000000000000001E-3</v>
      </c>
      <c r="G176" s="42">
        <f>IF(Рецепты[[#This Row],[%]]*1000&gt;0,Рецепты[[#This Row],[%]]*1000,"")</f>
        <v>3</v>
      </c>
      <c r="H176" s="43">
        <f>IFERROR(VLOOKUP(Рецепты[[#This Row],[Состав]],Ингредиенты!A:I,3,0)*Рецепты[[#This Row],[г]],"")</f>
        <v>4.2315789473684209</v>
      </c>
      <c r="I176" s="42">
        <f>СводРецепт!$A$1</f>
        <v>1000</v>
      </c>
      <c r="J176" s="42">
        <f>Рецепты[[#This Row],[%]]*Рецепты[[#This Row],[Масса]]</f>
        <v>3</v>
      </c>
      <c r="K176" s="43">
        <f>Рецепты[[#This Row],[Вес ингр-тов]]*VLOOKUP(Рецепты[[#This Row],[Состав]],Ингредиенты[],3,FALSE)</f>
        <v>4.2315789473684209</v>
      </c>
      <c r="L176" s="41">
        <f>IF(VLOOKUP(Рецепты[[#This Row],[Состав]],Ингредиенты[],4,0)="Основа",VLOOKUP(Рецепты[[#This Row],[Способ]],Способ[],2,0),0%)</f>
        <v>0</v>
      </c>
      <c r="M176" s="41">
        <f>VLOOKUP(Рецепты[[#This Row],[Способ]],Способ[],3,0)</f>
        <v>2</v>
      </c>
      <c r="N176" s="43">
        <f>Рецепты[[#This Row],[р]]*100%/(100%-Рецепты[[#This Row],[Потери, %]])+Рецепты[[#This Row],[Маржа]]*(Рецепты[[#This Row],[р]]*100%)/(100%-Рецепты[[#This Row],[Потери, %]])</f>
        <v>12.694736842105263</v>
      </c>
      <c r="O176" s="43">
        <f>Рецепты[[#This Row],[Цена за 1 кг]]-(Рецепты[[#This Row],[р]]*100%/(100%-Рецепты[[#This Row],[Потери, %]]))</f>
        <v>8.4631578947368418</v>
      </c>
      <c r="P176" s="40" t="s">
        <v>427</v>
      </c>
      <c r="Q176" s="40" t="s">
        <v>432</v>
      </c>
      <c r="R176" s="44" t="str">
        <f>VLOOKUP(Рецепты[[#This Row],[Состав]],Ингредиенты[],9,0)</f>
        <v>Да</v>
      </c>
      <c r="S176" s="52"/>
    </row>
    <row r="177" spans="1:19" x14ac:dyDescent="0.25">
      <c r="A177" s="40" t="s">
        <v>426</v>
      </c>
      <c r="B177" s="40" t="str">
        <f t="shared" si="16"/>
        <v>Колбаса</v>
      </c>
      <c r="C177" s="40" t="str">
        <f t="shared" si="17"/>
        <v>Сыровяленное</v>
      </c>
      <c r="D177" s="40" t="s">
        <v>133</v>
      </c>
      <c r="E177" s="41" t="str">
        <f>VLOOKUP(Рецепты[[#This Row],[Состав]],Ингредиенты[],2,0)</f>
        <v>Специи</v>
      </c>
      <c r="F177" s="62">
        <v>2.5000000000000001E-3</v>
      </c>
      <c r="G177" s="42">
        <f>IF(Рецепты[[#This Row],[%]]*1000&gt;0,Рецепты[[#This Row],[%]]*1000,"")</f>
        <v>2.5</v>
      </c>
      <c r="H177" s="43">
        <f>IFERROR(VLOOKUP(Рецепты[[#This Row],[Состав]],Ингредиенты!A:I,3,0)*Рецепты[[#This Row],[г]],"")</f>
        <v>2.7363636363636363</v>
      </c>
      <c r="I177" s="42">
        <f>СводРецепт!$A$1</f>
        <v>1000</v>
      </c>
      <c r="J177" s="42">
        <f>Рецепты[[#This Row],[%]]*Рецепты[[#This Row],[Масса]]</f>
        <v>2.5</v>
      </c>
      <c r="K177" s="43">
        <f>Рецепты[[#This Row],[Вес ингр-тов]]*VLOOKUP(Рецепты[[#This Row],[Состав]],Ингредиенты[],3,FALSE)</f>
        <v>2.7363636363636363</v>
      </c>
      <c r="L177" s="41">
        <f>IF(VLOOKUP(Рецепты[[#This Row],[Состав]],Ингредиенты[],4,0)="Основа",VLOOKUP(Рецепты[[#This Row],[Способ]],Способ[],2,0),0%)</f>
        <v>0</v>
      </c>
      <c r="M177" s="41">
        <f>VLOOKUP(Рецепты[[#This Row],[Способ]],Способ[],3,0)</f>
        <v>2</v>
      </c>
      <c r="N177" s="43">
        <f>Рецепты[[#This Row],[р]]*100%/(100%-Рецепты[[#This Row],[Потери, %]])+Рецепты[[#This Row],[Маржа]]*(Рецепты[[#This Row],[р]]*100%)/(100%-Рецепты[[#This Row],[Потери, %]])</f>
        <v>8.209090909090909</v>
      </c>
      <c r="O177" s="43">
        <f>Рецепты[[#This Row],[Цена за 1 кг]]-(Рецепты[[#This Row],[р]]*100%/(100%-Рецепты[[#This Row],[Потери, %]]))</f>
        <v>5.4727272727272727</v>
      </c>
      <c r="P177" s="40" t="s">
        <v>427</v>
      </c>
      <c r="Q177" s="40" t="s">
        <v>433</v>
      </c>
      <c r="R177" s="44" t="str">
        <f>VLOOKUP(Рецепты[[#This Row],[Состав]],Ингредиенты[],9,0)</f>
        <v>Да</v>
      </c>
      <c r="S177" s="52"/>
    </row>
    <row r="178" spans="1:19" x14ac:dyDescent="0.25">
      <c r="A178" s="40" t="s">
        <v>426</v>
      </c>
      <c r="B178" s="40" t="str">
        <f t="shared" si="16"/>
        <v>Колбаса</v>
      </c>
      <c r="C178" s="40" t="str">
        <f t="shared" si="17"/>
        <v>Сыровяленное</v>
      </c>
      <c r="D178" s="40" t="s">
        <v>135</v>
      </c>
      <c r="E178" s="41" t="str">
        <f>VLOOKUP(Рецепты[[#This Row],[Состав]],Ингредиенты[],2,0)</f>
        <v>Специи</v>
      </c>
      <c r="F178" s="62">
        <v>2E-3</v>
      </c>
      <c r="G178" s="42">
        <f>IF(Рецепты[[#This Row],[%]]*1000&gt;0,Рецепты[[#This Row],[%]]*1000,"")</f>
        <v>2</v>
      </c>
      <c r="H178" s="43">
        <f>IFERROR(VLOOKUP(Рецепты[[#This Row],[Состав]],Ингредиенты!A:I,3,0)*Рецепты[[#This Row],[г]],"")</f>
        <v>3.16</v>
      </c>
      <c r="I178" s="42">
        <f>СводРецепт!$A$1</f>
        <v>1000</v>
      </c>
      <c r="J178" s="42">
        <f>Рецепты[[#This Row],[%]]*Рецепты[[#This Row],[Масса]]</f>
        <v>2</v>
      </c>
      <c r="K178" s="43">
        <f>Рецепты[[#This Row],[Вес ингр-тов]]*VLOOKUP(Рецепты[[#This Row],[Состав]],Ингредиенты[],3,FALSE)</f>
        <v>3.16</v>
      </c>
      <c r="L178" s="41">
        <f>IF(VLOOKUP(Рецепты[[#This Row],[Состав]],Ингредиенты[],4,0)="Основа",VLOOKUP(Рецепты[[#This Row],[Способ]],Способ[],2,0),0%)</f>
        <v>0</v>
      </c>
      <c r="M178" s="41">
        <f>VLOOKUP(Рецепты[[#This Row],[Способ]],Способ[],3,0)</f>
        <v>2</v>
      </c>
      <c r="N178" s="43">
        <f>Рецепты[[#This Row],[р]]*100%/(100%-Рецепты[[#This Row],[Потери, %]])+Рецепты[[#This Row],[Маржа]]*(Рецепты[[#This Row],[р]]*100%)/(100%-Рецепты[[#This Row],[Потери, %]])</f>
        <v>9.48</v>
      </c>
      <c r="O178" s="43">
        <f>Рецепты[[#This Row],[Цена за 1 кг]]-(Рецепты[[#This Row],[р]]*100%/(100%-Рецепты[[#This Row],[Потери, %]]))</f>
        <v>6.32</v>
      </c>
      <c r="P178" s="40" t="s">
        <v>427</v>
      </c>
      <c r="Q178" s="40" t="s">
        <v>434</v>
      </c>
      <c r="R178" s="44" t="str">
        <f>VLOOKUP(Рецепты[[#This Row],[Состав]],Ингредиенты[],9,0)</f>
        <v>Да</v>
      </c>
      <c r="S178" s="52"/>
    </row>
    <row r="179" spans="1:19" x14ac:dyDescent="0.25">
      <c r="A179" s="40" t="s">
        <v>426</v>
      </c>
      <c r="B179" s="40" t="str">
        <f t="shared" si="16"/>
        <v>Колбаса</v>
      </c>
      <c r="C179" s="40" t="str">
        <f t="shared" si="17"/>
        <v>Сыровяленное</v>
      </c>
      <c r="D179" s="40" t="s">
        <v>151</v>
      </c>
      <c r="E179" s="41" t="str">
        <f>VLOOKUP(Рецепты[[#This Row],[Состав]],Ингредиенты[],2,0)</f>
        <v>Специи</v>
      </c>
      <c r="F179" s="62">
        <v>2E-3</v>
      </c>
      <c r="G179" s="42">
        <f>IF(Рецепты[[#This Row],[%]]*1000&gt;0,Рецепты[[#This Row],[%]]*1000,"")</f>
        <v>2</v>
      </c>
      <c r="H179" s="43">
        <f>IFERROR(VLOOKUP(Рецепты[[#This Row],[Состав]],Ингредиенты!A:I,3,0)*Рецепты[[#This Row],[г]],"")</f>
        <v>1.7566666666666666</v>
      </c>
      <c r="I179" s="42">
        <f>СводРецепт!$A$1</f>
        <v>1000</v>
      </c>
      <c r="J179" s="42">
        <f>Рецепты[[#This Row],[%]]*Рецепты[[#This Row],[Масса]]</f>
        <v>2</v>
      </c>
      <c r="K179" s="43">
        <f>Рецепты[[#This Row],[Вес ингр-тов]]*VLOOKUP(Рецепты[[#This Row],[Состав]],Ингредиенты[],3,FALSE)</f>
        <v>1.7566666666666666</v>
      </c>
      <c r="L179" s="41">
        <f>IF(VLOOKUP(Рецепты[[#This Row],[Состав]],Ингредиенты[],4,0)="Основа",VLOOKUP(Рецепты[[#This Row],[Способ]],Способ[],2,0),0%)</f>
        <v>0</v>
      </c>
      <c r="M179" s="41">
        <f>VLOOKUP(Рецепты[[#This Row],[Способ]],Способ[],3,0)</f>
        <v>2</v>
      </c>
      <c r="N179" s="43">
        <f>Рецепты[[#This Row],[р]]*100%/(100%-Рецепты[[#This Row],[Потери, %]])+Рецепты[[#This Row],[Маржа]]*(Рецепты[[#This Row],[р]]*100%)/(100%-Рецепты[[#This Row],[Потери, %]])</f>
        <v>5.27</v>
      </c>
      <c r="O179" s="43">
        <f>Рецепты[[#This Row],[Цена за 1 кг]]-(Рецепты[[#This Row],[р]]*100%/(100%-Рецепты[[#This Row],[Потери, %]]))</f>
        <v>3.5133333333333328</v>
      </c>
      <c r="P179" s="40" t="s">
        <v>427</v>
      </c>
      <c r="Q179" s="40" t="s">
        <v>435</v>
      </c>
      <c r="R179" s="44" t="str">
        <f>VLOOKUP(Рецепты[[#This Row],[Состав]],Ингредиенты[],9,0)</f>
        <v>Да</v>
      </c>
      <c r="S179" s="52"/>
    </row>
    <row r="180" spans="1:19" x14ac:dyDescent="0.25">
      <c r="A180" s="40" t="s">
        <v>426</v>
      </c>
      <c r="B180" s="40" t="str">
        <f>B179</f>
        <v>Колбаса</v>
      </c>
      <c r="C180" s="40" t="str">
        <f>C179</f>
        <v>Сыровяленное</v>
      </c>
      <c r="D180" s="40" t="s">
        <v>225</v>
      </c>
      <c r="E180" s="41" t="str">
        <f>VLOOKUP(Рецепты[[#This Row],[Состав]],Ингредиенты[],2,0)</f>
        <v>Оболочка</v>
      </c>
      <c r="F180" s="62">
        <v>1E-3</v>
      </c>
      <c r="G180" s="42">
        <f>IF(Рецепты[[#This Row],[%]]*1000&gt;0,Рецепты[[#This Row],[%]]*1000,"")</f>
        <v>1</v>
      </c>
      <c r="H180" s="43">
        <f>IFERROR(VLOOKUP(Рецепты[[#This Row],[Состав]],Ингредиенты!A:I,3,0)*Рецепты[[#This Row],[г]],"")</f>
        <v>32.760032760032757</v>
      </c>
      <c r="I180" s="42">
        <f>СводРецепт!$A$1</f>
        <v>1000</v>
      </c>
      <c r="J180" s="42">
        <f>Рецепты[[#This Row],[%]]*Рецепты[[#This Row],[Масса]]</f>
        <v>1</v>
      </c>
      <c r="K180" s="43">
        <f>Рецепты[[#This Row],[Вес ингр-тов]]*VLOOKUP(Рецепты[[#This Row],[Состав]],Ингредиенты[],3,FALSE)</f>
        <v>32.760032760032757</v>
      </c>
      <c r="L180" s="41">
        <f>IF(VLOOKUP(Рецепты[[#This Row],[Состав]],Ингредиенты[],4,0)="Основа",VLOOKUP(Рецепты[[#This Row],[Способ]],Способ[],2,0),0%)</f>
        <v>0</v>
      </c>
      <c r="M180" s="41">
        <f>VLOOKUP(Рецепты[[#This Row],[Способ]],Способ[],3,0)</f>
        <v>2</v>
      </c>
      <c r="N180" s="43">
        <f>Рецепты[[#This Row],[р]]*100%/(100%-Рецепты[[#This Row],[Потери, %]])+Рецепты[[#This Row],[Маржа]]*(Рецепты[[#This Row],[р]]*100%)/(100%-Рецепты[[#This Row],[Потери, %]])</f>
        <v>98.280098280098272</v>
      </c>
      <c r="O180" s="43">
        <f>Рецепты[[#This Row],[Цена за 1 кг]]-(Рецепты[[#This Row],[р]]*100%/(100%-Рецепты[[#This Row],[Потери, %]]))</f>
        <v>65.520065520065515</v>
      </c>
      <c r="P180" s="40" t="s">
        <v>427</v>
      </c>
      <c r="Q180" s="40" t="s">
        <v>436</v>
      </c>
      <c r="R180" s="44" t="str">
        <f>VLOOKUP(Рецепты[[#This Row],[Состав]],Ингредиенты[],9,0)</f>
        <v>Да</v>
      </c>
      <c r="S180" s="52"/>
    </row>
    <row r="181" spans="1:19" x14ac:dyDescent="0.25">
      <c r="A181" s="40" t="s">
        <v>437</v>
      </c>
      <c r="B181" s="40" t="s">
        <v>17</v>
      </c>
      <c r="C181" s="40" t="s">
        <v>18</v>
      </c>
      <c r="D181" s="40" t="s">
        <v>58</v>
      </c>
      <c r="E181" s="41" t="str">
        <f>VLOOKUP(Рецепты[[#This Row],[Состав]],Ингредиенты[],2,0)</f>
        <v>Свинина</v>
      </c>
      <c r="F181" s="62">
        <v>1</v>
      </c>
      <c r="G181" s="42">
        <f>IF(Рецепты[[#This Row],[%]]*1000&gt;0,Рецепты[[#This Row],[%]]*1000,"")</f>
        <v>1000</v>
      </c>
      <c r="H181" s="43">
        <f>IFERROR(VLOOKUP(Рецепты[[#This Row],[Состав]],Ингредиенты!A:I,3,0)*Рецепты[[#This Row],[г]],"")</f>
        <v>300</v>
      </c>
      <c r="I181" s="42">
        <f>СводРецепт!$A$1</f>
        <v>1000</v>
      </c>
      <c r="J181" s="42">
        <f>Рецепты[[#This Row],[%]]*Рецепты[[#This Row],[Масса]]</f>
        <v>1000</v>
      </c>
      <c r="K181" s="43">
        <f>Рецепты[[#This Row],[Вес ингр-тов]]*VLOOKUP(Рецепты[[#This Row],[Состав]],Ингредиенты[],3,FALSE)</f>
        <v>300</v>
      </c>
      <c r="L181" s="41">
        <f>IF(VLOOKUP(Рецепты[[#This Row],[Состав]],Ингредиенты[],4,0)="Основа",VLOOKUP(Рецепты[[#This Row],[Способ]],Способ[],2,0),0%)</f>
        <v>0.05</v>
      </c>
      <c r="M181" s="41">
        <f>VLOOKUP(Рецепты[[#This Row],[Способ]],Способ[],3,0)</f>
        <v>0.5</v>
      </c>
      <c r="N181" s="43">
        <f>Рецепты[[#This Row],[р]]*100%/(100%-Рецепты[[#This Row],[Потери, %]])+Рецепты[[#This Row],[Маржа]]*(Рецепты[[#This Row],[р]]*100%)/(100%-Рецепты[[#This Row],[Потери, %]])</f>
        <v>473.68421052631578</v>
      </c>
      <c r="O181" s="43">
        <f>Рецепты[[#This Row],[Цена за 1 кг]]-(Рецепты[[#This Row],[р]]*100%/(100%-Рецепты[[#This Row],[Потери, %]]))</f>
        <v>157.89473684210526</v>
      </c>
      <c r="P181" s="40" t="s">
        <v>438</v>
      </c>
      <c r="Q181" s="40" t="s">
        <v>439</v>
      </c>
      <c r="R181" s="44" t="str">
        <f>VLOOKUP(Рецепты[[#This Row],[Состав]],Ингредиенты[],9,0)</f>
        <v>Да</v>
      </c>
      <c r="S181" s="52"/>
    </row>
    <row r="182" spans="1:19" x14ac:dyDescent="0.25">
      <c r="A182" s="40" t="s">
        <v>437</v>
      </c>
      <c r="B182" s="40" t="str">
        <f t="shared" ref="B182:C185" si="18">B181</f>
        <v>Цельное</v>
      </c>
      <c r="C182" s="40" t="str">
        <f t="shared" si="18"/>
        <v>Соленое</v>
      </c>
      <c r="D182" s="40" t="s">
        <v>93</v>
      </c>
      <c r="E182" s="41" t="str">
        <f>VLOOKUP(Рецепты[[#This Row],[Состав]],Ингредиенты[],2,0)</f>
        <v>Добавки</v>
      </c>
      <c r="F182" s="62">
        <v>1</v>
      </c>
      <c r="G182" s="42">
        <f>IF(Рецепты[[#This Row],[%]]*1000&gt;0,Рецепты[[#This Row],[%]]*1000,"")</f>
        <v>1000</v>
      </c>
      <c r="H182" s="43">
        <f>IFERROR(VLOOKUP(Рецепты[[#This Row],[Состав]],Ингредиенты!A:I,3,0)*Рецепты[[#This Row],[г]],"")</f>
        <v>1</v>
      </c>
      <c r="I182" s="42">
        <f>СводРецепт!$A$1</f>
        <v>1000</v>
      </c>
      <c r="J182" s="42">
        <f>Рецепты[[#This Row],[%]]*Рецепты[[#This Row],[Масса]]</f>
        <v>1000</v>
      </c>
      <c r="K182" s="43">
        <f>Рецепты[[#This Row],[Вес ингр-тов]]*VLOOKUP(Рецепты[[#This Row],[Состав]],Ингредиенты[],3,FALSE)</f>
        <v>1</v>
      </c>
      <c r="L182" s="41">
        <f>IF(VLOOKUP(Рецепты[[#This Row],[Состав]],Ингредиенты[],4,0)="Основа",VLOOKUP(Рецепты[[#This Row],[Способ]],Способ[],2,0),0%)</f>
        <v>0</v>
      </c>
      <c r="M182" s="41">
        <f>VLOOKUP(Рецепты[[#This Row],[Способ]],Способ[],3,0)</f>
        <v>0.5</v>
      </c>
      <c r="N182" s="43">
        <f>Рецепты[[#This Row],[р]]*100%/(100%-Рецепты[[#This Row],[Потери, %]])+Рецепты[[#This Row],[Маржа]]*(Рецепты[[#This Row],[р]]*100%)/(100%-Рецепты[[#This Row],[Потери, %]])</f>
        <v>1.5</v>
      </c>
      <c r="O182" s="43">
        <f>Рецепты[[#This Row],[Цена за 1 кг]]-(Рецепты[[#This Row],[р]]*100%/(100%-Рецепты[[#This Row],[Потери, %]]))</f>
        <v>0.5</v>
      </c>
      <c r="P182" s="40" t="s">
        <v>438</v>
      </c>
      <c r="Q182" s="40" t="s">
        <v>440</v>
      </c>
      <c r="R182" s="44" t="str">
        <f>VLOOKUP(Рецепты[[#This Row],[Состав]],Ингредиенты[],9,0)</f>
        <v>Да</v>
      </c>
      <c r="S182" s="52"/>
    </row>
    <row r="183" spans="1:19" x14ac:dyDescent="0.25">
      <c r="A183" s="40" t="s">
        <v>437</v>
      </c>
      <c r="B183" s="40" t="str">
        <f t="shared" si="18"/>
        <v>Цельное</v>
      </c>
      <c r="C183" s="40" t="str">
        <f t="shared" si="18"/>
        <v>Соленое</v>
      </c>
      <c r="D183" s="40" t="s">
        <v>128</v>
      </c>
      <c r="E183" s="41" t="str">
        <f>VLOOKUP(Рецепты[[#This Row],[Состав]],Ингредиенты[],2,0)</f>
        <v>Специи</v>
      </c>
      <c r="F183" s="62">
        <v>0.1</v>
      </c>
      <c r="G183" s="42">
        <f>IF(Рецепты[[#This Row],[%]]*1000&gt;0,Рецепты[[#This Row],[%]]*1000,"")</f>
        <v>100</v>
      </c>
      <c r="H183" s="43">
        <f>IFERROR(VLOOKUP(Рецепты[[#This Row],[Состав]],Ингредиенты!A:I,3,0)*Рецепты[[#This Row],[г]],"")</f>
        <v>3.85</v>
      </c>
      <c r="I183" s="42">
        <f>СводРецепт!$A$1</f>
        <v>1000</v>
      </c>
      <c r="J183" s="42">
        <f>Рецепты[[#This Row],[%]]*Рецепты[[#This Row],[Масса]]</f>
        <v>100</v>
      </c>
      <c r="K183" s="43">
        <f>Рецепты[[#This Row],[Вес ингр-тов]]*VLOOKUP(Рецепты[[#This Row],[Состав]],Ингредиенты[],3,FALSE)</f>
        <v>3.85</v>
      </c>
      <c r="L183" s="41">
        <f>IF(VLOOKUP(Рецепты[[#This Row],[Состав]],Ингредиенты[],4,0)="Основа",VLOOKUP(Рецепты[[#This Row],[Способ]],Способ[],2,0),0%)</f>
        <v>0</v>
      </c>
      <c r="M183" s="41">
        <f>VLOOKUP(Рецепты[[#This Row],[Способ]],Способ[],3,0)</f>
        <v>0.5</v>
      </c>
      <c r="N183" s="43">
        <f>Рецепты[[#This Row],[р]]*100%/(100%-Рецепты[[#This Row],[Потери, %]])+Рецепты[[#This Row],[Маржа]]*(Рецепты[[#This Row],[р]]*100%)/(100%-Рецепты[[#This Row],[Потери, %]])</f>
        <v>5.7750000000000004</v>
      </c>
      <c r="O183" s="43">
        <f>Рецепты[[#This Row],[Цена за 1 кг]]-(Рецепты[[#This Row],[р]]*100%/(100%-Рецепты[[#This Row],[Потери, %]]))</f>
        <v>1.9250000000000003</v>
      </c>
      <c r="P183" s="40" t="s">
        <v>438</v>
      </c>
      <c r="Q183" s="40" t="s">
        <v>441</v>
      </c>
      <c r="R183" s="44" t="str">
        <f>VLOOKUP(Рецепты[[#This Row],[Состав]],Ингредиенты[],9,0)</f>
        <v>Да</v>
      </c>
      <c r="S183" s="52"/>
    </row>
    <row r="184" spans="1:19" x14ac:dyDescent="0.25">
      <c r="A184" s="40" t="s">
        <v>437</v>
      </c>
      <c r="B184" s="40" t="str">
        <f t="shared" si="18"/>
        <v>Цельное</v>
      </c>
      <c r="C184" s="40" t="str">
        <f t="shared" si="18"/>
        <v>Соленое</v>
      </c>
      <c r="D184" s="40" t="s">
        <v>93</v>
      </c>
      <c r="E184" s="41" t="str">
        <f>VLOOKUP(Рецепты[[#This Row],[Состав]],Ингредиенты[],2,0)</f>
        <v>Добавки</v>
      </c>
      <c r="F184" s="62">
        <v>1</v>
      </c>
      <c r="G184" s="42">
        <f>IF(Рецепты[[#This Row],[%]]*1000&gt;0,Рецепты[[#This Row],[%]]*1000,"")</f>
        <v>1000</v>
      </c>
      <c r="H184" s="43">
        <f>IFERROR(VLOOKUP(Рецепты[[#This Row],[Состав]],Ингредиенты!A:I,3,0)*Рецепты[[#This Row],[г]],"")</f>
        <v>1</v>
      </c>
      <c r="I184" s="42">
        <f>СводРецепт!$A$1</f>
        <v>1000</v>
      </c>
      <c r="J184" s="42">
        <f>Рецепты[[#This Row],[%]]*Рецепты[[#This Row],[Масса]]</f>
        <v>1000</v>
      </c>
      <c r="K184" s="43">
        <f>Рецепты[[#This Row],[Вес ингр-тов]]*VLOOKUP(Рецепты[[#This Row],[Состав]],Ингредиенты[],3,FALSE)</f>
        <v>1</v>
      </c>
      <c r="L184" s="41">
        <f>IF(VLOOKUP(Рецепты[[#This Row],[Состав]],Ингредиенты[],4,0)="Основа",VLOOKUP(Рецепты[[#This Row],[Способ]],Способ[],2,0),0%)</f>
        <v>0</v>
      </c>
      <c r="M184" s="41">
        <f>VLOOKUP(Рецепты[[#This Row],[Способ]],Способ[],3,0)</f>
        <v>0.5</v>
      </c>
      <c r="N184" s="43">
        <f>Рецепты[[#This Row],[р]]*100%/(100%-Рецепты[[#This Row],[Потери, %]])+Рецепты[[#This Row],[Маржа]]*(Рецепты[[#This Row],[р]]*100%)/(100%-Рецепты[[#This Row],[Потери, %]])</f>
        <v>1.5</v>
      </c>
      <c r="O184" s="43">
        <f>Рецепты[[#This Row],[Цена за 1 кг]]-(Рецепты[[#This Row],[р]]*100%/(100%-Рецепты[[#This Row],[Потери, %]]))</f>
        <v>0.5</v>
      </c>
      <c r="P184" s="40" t="s">
        <v>438</v>
      </c>
      <c r="Q184" s="40" t="s">
        <v>442</v>
      </c>
      <c r="R184" s="44" t="str">
        <f>VLOOKUP(Рецепты[[#This Row],[Состав]],Ингредиенты[],9,0)</f>
        <v>Да</v>
      </c>
      <c r="S184" s="52"/>
    </row>
    <row r="185" spans="1:19" x14ac:dyDescent="0.25">
      <c r="A185" s="40" t="s">
        <v>437</v>
      </c>
      <c r="B185" s="40" t="str">
        <f t="shared" si="18"/>
        <v>Цельное</v>
      </c>
      <c r="C185" s="40" t="str">
        <f t="shared" si="18"/>
        <v>Соленое</v>
      </c>
      <c r="D185" s="40" t="s">
        <v>128</v>
      </c>
      <c r="E185" s="41" t="str">
        <f>VLOOKUP(Рецепты[[#This Row],[Состав]],Ингредиенты[],2,0)</f>
        <v>Специи</v>
      </c>
      <c r="F185" s="62">
        <v>0.11</v>
      </c>
      <c r="G185" s="42">
        <f>IF(Рецепты[[#This Row],[%]]*1000&gt;0,Рецепты[[#This Row],[%]]*1000,"")</f>
        <v>110</v>
      </c>
      <c r="H185" s="43">
        <f>IFERROR(VLOOKUP(Рецепты[[#This Row],[Состав]],Ингредиенты!A:I,3,0)*Рецепты[[#This Row],[г]],"")</f>
        <v>4.2350000000000003</v>
      </c>
      <c r="I185" s="42">
        <f>СводРецепт!$A$1</f>
        <v>1000</v>
      </c>
      <c r="J185" s="42">
        <f>Рецепты[[#This Row],[%]]*Рецепты[[#This Row],[Масса]]</f>
        <v>110</v>
      </c>
      <c r="K185" s="43">
        <f>Рецепты[[#This Row],[Вес ингр-тов]]*VLOOKUP(Рецепты[[#This Row],[Состав]],Ингредиенты[],3,FALSE)</f>
        <v>4.2350000000000003</v>
      </c>
      <c r="L185" s="41">
        <f>IF(VLOOKUP(Рецепты[[#This Row],[Состав]],Ингредиенты[],4,0)="Основа",VLOOKUP(Рецепты[[#This Row],[Способ]],Способ[],2,0),0%)</f>
        <v>0</v>
      </c>
      <c r="M185" s="41">
        <f>VLOOKUP(Рецепты[[#This Row],[Способ]],Способ[],3,0)</f>
        <v>0.5</v>
      </c>
      <c r="N185" s="43">
        <f>Рецепты[[#This Row],[р]]*100%/(100%-Рецепты[[#This Row],[Потери, %]])+Рецепты[[#This Row],[Маржа]]*(Рецепты[[#This Row],[р]]*100%)/(100%-Рецепты[[#This Row],[Потери, %]])</f>
        <v>6.3525000000000009</v>
      </c>
      <c r="O185" s="43">
        <f>Рецепты[[#This Row],[Цена за 1 кг]]-(Рецепты[[#This Row],[р]]*100%/(100%-Рецепты[[#This Row],[Потери, %]]))</f>
        <v>2.1175000000000006</v>
      </c>
      <c r="P185" s="40" t="s">
        <v>438</v>
      </c>
      <c r="Q185" s="40" t="s">
        <v>443</v>
      </c>
      <c r="R185" s="44" t="str">
        <f>VLOOKUP(Рецепты[[#This Row],[Состав]],Ингредиенты[],9,0)</f>
        <v>Да</v>
      </c>
      <c r="S185" s="52"/>
    </row>
    <row r="186" spans="1:19" x14ac:dyDescent="0.25">
      <c r="A186" s="40" t="s">
        <v>444</v>
      </c>
      <c r="B186" s="40" t="s">
        <v>8</v>
      </c>
      <c r="C186" s="40" t="s">
        <v>5</v>
      </c>
      <c r="D186" s="40" t="s">
        <v>12</v>
      </c>
      <c r="E186" s="41" t="str">
        <f>VLOOKUP(Рецепты[[#This Row],[Состав]],Ингредиенты[],2,0)</f>
        <v>Говядина</v>
      </c>
      <c r="F186" s="62">
        <v>0.3</v>
      </c>
      <c r="G186" s="42">
        <f>IF(Рецепты[[#This Row],[%]]*1000&gt;0,Рецепты[[#This Row],[%]]*1000,"")</f>
        <v>300</v>
      </c>
      <c r="H186" s="43">
        <f>IFERROR(VLOOKUP(Рецепты[[#This Row],[Состав]],Ингредиенты!A:I,3,0)*Рецепты[[#This Row],[г]],"")</f>
        <v>212.99700000000001</v>
      </c>
      <c r="I186" s="42">
        <f>СводРецепт!$A$1</f>
        <v>1000</v>
      </c>
      <c r="J186" s="42">
        <f>Рецепты[[#This Row],[%]]*Рецепты[[#This Row],[Масса]]</f>
        <v>300</v>
      </c>
      <c r="K186" s="43">
        <f>Рецепты[[#This Row],[Вес ингр-тов]]*VLOOKUP(Рецепты[[#This Row],[Состав]],Ингредиенты[],3,FALSE)</f>
        <v>212.99700000000001</v>
      </c>
      <c r="L186" s="41">
        <f>IF(VLOOKUP(Рецепты[[#This Row],[Состав]],Ингредиенты[],4,0)="Основа",VLOOKUP(Рецепты[[#This Row],[Способ]],Способ[],2,0),0%)</f>
        <v>0.15</v>
      </c>
      <c r="M186" s="41">
        <f>VLOOKUP(Рецепты[[#This Row],[Способ]],Способ[],3,0)</f>
        <v>0.9</v>
      </c>
      <c r="N186" s="43">
        <f>Рецепты[[#This Row],[р]]*100%/(100%-Рецепты[[#This Row],[Потери, %]])+Рецепты[[#This Row],[Маржа]]*(Рецепты[[#This Row],[р]]*100%)/(100%-Рецепты[[#This Row],[Потери, %]])</f>
        <v>476.11094117647065</v>
      </c>
      <c r="O186" s="43">
        <f>Рецепты[[#This Row],[Цена за 1 кг]]-(Рецепты[[#This Row],[р]]*100%/(100%-Рецепты[[#This Row],[Потери, %]]))</f>
        <v>225.52623529411767</v>
      </c>
      <c r="P186" s="40" t="s">
        <v>445</v>
      </c>
      <c r="Q186" s="40" t="s">
        <v>446</v>
      </c>
      <c r="R186" s="44" t="str">
        <f>VLOOKUP(Рецепты[[#This Row],[Состав]],Ингредиенты[],9,0)</f>
        <v>Да</v>
      </c>
      <c r="S186" s="52"/>
    </row>
    <row r="187" spans="1:19" x14ac:dyDescent="0.25">
      <c r="A187" s="40" t="s">
        <v>444</v>
      </c>
      <c r="B187" s="40" t="str">
        <f t="shared" ref="B187:C194" si="19">B186</f>
        <v>Колбаса</v>
      </c>
      <c r="C187" s="40" t="str">
        <f t="shared" si="19"/>
        <v>ГК</v>
      </c>
      <c r="D187" s="40" t="s">
        <v>49</v>
      </c>
      <c r="E187" s="41" t="str">
        <f>VLOOKUP(Рецепты[[#This Row],[Состав]],Ингредиенты[],2,0)</f>
        <v>Свинина</v>
      </c>
      <c r="F187" s="62">
        <v>0.4</v>
      </c>
      <c r="G187" s="42">
        <f>IF(Рецепты[[#This Row],[%]]*1000&gt;0,Рецепты[[#This Row],[%]]*1000,"")</f>
        <v>400</v>
      </c>
      <c r="H187" s="43">
        <f>IFERROR(VLOOKUP(Рецепты[[#This Row],[Состав]],Ингредиенты!A:I,3,0)*Рецепты[[#This Row],[г]],"")</f>
        <v>147.6</v>
      </c>
      <c r="I187" s="42">
        <f>СводРецепт!$A$1</f>
        <v>1000</v>
      </c>
      <c r="J187" s="42">
        <f>Рецепты[[#This Row],[%]]*Рецепты[[#This Row],[Масса]]</f>
        <v>400</v>
      </c>
      <c r="K187" s="43">
        <f>Рецепты[[#This Row],[Вес ингр-тов]]*VLOOKUP(Рецепты[[#This Row],[Состав]],Ингредиенты[],3,FALSE)</f>
        <v>147.6</v>
      </c>
      <c r="L187" s="41">
        <f>IF(VLOOKUP(Рецепты[[#This Row],[Состав]],Ингредиенты[],4,0)="Основа",VLOOKUP(Рецепты[[#This Row],[Способ]],Способ[],2,0),0%)</f>
        <v>0.15</v>
      </c>
      <c r="M187" s="41">
        <f>VLOOKUP(Рецепты[[#This Row],[Способ]],Способ[],3,0)</f>
        <v>0.9</v>
      </c>
      <c r="N187" s="43">
        <f>Рецепты[[#This Row],[р]]*100%/(100%-Рецепты[[#This Row],[Потери, %]])+Рецепты[[#This Row],[Маржа]]*(Рецепты[[#This Row],[р]]*100%)/(100%-Рецепты[[#This Row],[Потери, %]])</f>
        <v>329.92941176470589</v>
      </c>
      <c r="O187" s="43">
        <f>Рецепты[[#This Row],[Цена за 1 кг]]-(Рецепты[[#This Row],[р]]*100%/(100%-Рецепты[[#This Row],[Потери, %]]))</f>
        <v>156.28235294117647</v>
      </c>
      <c r="P187" s="40" t="s">
        <v>445</v>
      </c>
      <c r="Q187" s="40" t="s">
        <v>446</v>
      </c>
      <c r="R187" s="44" t="str">
        <f>VLOOKUP(Рецепты[[#This Row],[Состав]],Ингредиенты[],9,0)</f>
        <v>Да</v>
      </c>
      <c r="S187" s="52"/>
    </row>
    <row r="188" spans="1:19" x14ac:dyDescent="0.25">
      <c r="A188" s="40" t="s">
        <v>444</v>
      </c>
      <c r="B188" s="40" t="str">
        <f t="shared" si="19"/>
        <v>Колбаса</v>
      </c>
      <c r="C188" s="40" t="str">
        <f t="shared" si="19"/>
        <v>ГК</v>
      </c>
      <c r="D188" s="40" t="s">
        <v>54</v>
      </c>
      <c r="E188" s="41" t="str">
        <f>VLOOKUP(Рецепты[[#This Row],[Состав]],Ингредиенты[],2,0)</f>
        <v>Свинина</v>
      </c>
      <c r="F188" s="62">
        <v>0.3</v>
      </c>
      <c r="G188" s="42">
        <f>IF(Рецепты[[#This Row],[%]]*1000&gt;0,Рецепты[[#This Row],[%]]*1000,"")</f>
        <v>300</v>
      </c>
      <c r="H188" s="43">
        <f>IFERROR(VLOOKUP(Рецепты[[#This Row],[Состав]],Ингредиенты!A:I,3,0)*Рецепты[[#This Row],[г]],"")</f>
        <v>128.99699999999999</v>
      </c>
      <c r="I188" s="42">
        <f>СводРецепт!$A$1</f>
        <v>1000</v>
      </c>
      <c r="J188" s="42">
        <f>Рецепты[[#This Row],[%]]*Рецепты[[#This Row],[Масса]]</f>
        <v>300</v>
      </c>
      <c r="K188" s="43">
        <f>Рецепты[[#This Row],[Вес ингр-тов]]*VLOOKUP(Рецепты[[#This Row],[Состав]],Ингредиенты[],3,FALSE)</f>
        <v>128.99699999999999</v>
      </c>
      <c r="L188" s="41">
        <f>IF(VLOOKUP(Рецепты[[#This Row],[Состав]],Ингредиенты[],4,0)="Основа",VLOOKUP(Рецепты[[#This Row],[Способ]],Способ[],2,0),0%)</f>
        <v>0.15</v>
      </c>
      <c r="M188" s="41">
        <f>VLOOKUP(Рецепты[[#This Row],[Способ]],Способ[],3,0)</f>
        <v>0.9</v>
      </c>
      <c r="N188" s="43">
        <f>Рецепты[[#This Row],[р]]*100%/(100%-Рецепты[[#This Row],[Потери, %]])+Рецепты[[#This Row],[Маржа]]*(Рецепты[[#This Row],[р]]*100%)/(100%-Рецепты[[#This Row],[Потери, %]])</f>
        <v>288.34623529411761</v>
      </c>
      <c r="O188" s="43">
        <f>Рецепты[[#This Row],[Цена за 1 кг]]-(Рецепты[[#This Row],[р]]*100%/(100%-Рецепты[[#This Row],[Потери, %]]))</f>
        <v>136.58505882352938</v>
      </c>
      <c r="P188" s="40" t="s">
        <v>445</v>
      </c>
      <c r="Q188" s="40" t="s">
        <v>446</v>
      </c>
      <c r="R188" s="44" t="str">
        <f>VLOOKUP(Рецепты[[#This Row],[Состав]],Ингредиенты[],9,0)</f>
        <v>Нет</v>
      </c>
      <c r="S188" s="52"/>
    </row>
    <row r="189" spans="1:19" x14ac:dyDescent="0.25">
      <c r="A189" s="40" t="s">
        <v>444</v>
      </c>
      <c r="B189" s="40" t="str">
        <f t="shared" si="19"/>
        <v>Колбаса</v>
      </c>
      <c r="C189" s="40" t="str">
        <f t="shared" si="19"/>
        <v>ГК</v>
      </c>
      <c r="D189" s="40" t="s">
        <v>128</v>
      </c>
      <c r="E189" s="41" t="str">
        <f>VLOOKUP(Рецепты[[#This Row],[Состав]],Ингредиенты[],2,0)</f>
        <v>Специи</v>
      </c>
      <c r="F189" s="62">
        <v>0.01</v>
      </c>
      <c r="G189" s="42">
        <f>IF(Рецепты[[#This Row],[%]]*1000&gt;0,Рецепты[[#This Row],[%]]*1000,"")</f>
        <v>10</v>
      </c>
      <c r="H189" s="43">
        <f>IFERROR(VLOOKUP(Рецепты[[#This Row],[Состав]],Ингредиенты!A:I,3,0)*Рецепты[[#This Row],[г]],"")</f>
        <v>0.38500000000000001</v>
      </c>
      <c r="I189" s="42">
        <f>СводРецепт!$A$1</f>
        <v>1000</v>
      </c>
      <c r="J189" s="42">
        <f>Рецепты[[#This Row],[%]]*Рецепты[[#This Row],[Масса]]</f>
        <v>10</v>
      </c>
      <c r="K189" s="43">
        <f>Рецепты[[#This Row],[Вес ингр-тов]]*VLOOKUP(Рецепты[[#This Row],[Состав]],Ингредиенты[],3,FALSE)</f>
        <v>0.38500000000000001</v>
      </c>
      <c r="L189" s="41">
        <f>IF(VLOOKUP(Рецепты[[#This Row],[Состав]],Ингредиенты[],4,0)="Основа",VLOOKUP(Рецепты[[#This Row],[Способ]],Способ[],2,0),0%)</f>
        <v>0</v>
      </c>
      <c r="M189" s="41">
        <f>VLOOKUP(Рецепты[[#This Row],[Способ]],Способ[],3,0)</f>
        <v>0.9</v>
      </c>
      <c r="N189" s="43">
        <f>Рецепты[[#This Row],[р]]*100%/(100%-Рецепты[[#This Row],[Потери, %]])+Рецепты[[#This Row],[Маржа]]*(Рецепты[[#This Row],[р]]*100%)/(100%-Рецепты[[#This Row],[Потери, %]])</f>
        <v>0.73150000000000004</v>
      </c>
      <c r="O189" s="43">
        <f>Рецепты[[#This Row],[Цена за 1 кг]]-(Рецепты[[#This Row],[р]]*100%/(100%-Рецепты[[#This Row],[Потери, %]]))</f>
        <v>0.34650000000000003</v>
      </c>
      <c r="P189" s="40" t="s">
        <v>445</v>
      </c>
      <c r="Q189" s="40" t="s">
        <v>446</v>
      </c>
      <c r="R189" s="44" t="str">
        <f>VLOOKUP(Рецепты[[#This Row],[Состав]],Ингредиенты[],9,0)</f>
        <v>Да</v>
      </c>
      <c r="S189" s="52"/>
    </row>
    <row r="190" spans="1:19" x14ac:dyDescent="0.25">
      <c r="A190" s="40" t="s">
        <v>444</v>
      </c>
      <c r="B190" s="40" t="str">
        <f t="shared" si="19"/>
        <v>Колбаса</v>
      </c>
      <c r="C190" s="40" t="str">
        <f t="shared" si="19"/>
        <v>ГК</v>
      </c>
      <c r="D190" s="40" t="s">
        <v>125</v>
      </c>
      <c r="E190" s="41" t="str">
        <f>VLOOKUP(Рецепты[[#This Row],[Состав]],Ингредиенты[],2,0)</f>
        <v>Специи</v>
      </c>
      <c r="F190" s="62">
        <v>0.01</v>
      </c>
      <c r="G190" s="42">
        <f>IF(Рецепты[[#This Row],[%]]*1000&gt;0,Рецепты[[#This Row],[%]]*1000,"")</f>
        <v>10</v>
      </c>
      <c r="H190" s="43">
        <f>IFERROR(VLOOKUP(Рецепты[[#This Row],[Состав]],Ингредиенты!A:I,3,0)*Рецепты[[#This Row],[г]],"")</f>
        <v>1.28</v>
      </c>
      <c r="I190" s="42">
        <f>СводРецепт!$A$1</f>
        <v>1000</v>
      </c>
      <c r="J190" s="42">
        <f>Рецепты[[#This Row],[%]]*Рецепты[[#This Row],[Масса]]</f>
        <v>10</v>
      </c>
      <c r="K190" s="43">
        <f>Рецепты[[#This Row],[Вес ингр-тов]]*VLOOKUP(Рецепты[[#This Row],[Состав]],Ингредиенты[],3,FALSE)</f>
        <v>1.28</v>
      </c>
      <c r="L190" s="41">
        <f>IF(VLOOKUP(Рецепты[[#This Row],[Состав]],Ингредиенты[],4,0)="Основа",VLOOKUP(Рецепты[[#This Row],[Способ]],Способ[],2,0),0%)</f>
        <v>0</v>
      </c>
      <c r="M190" s="41">
        <f>VLOOKUP(Рецепты[[#This Row],[Способ]],Способ[],3,0)</f>
        <v>0.9</v>
      </c>
      <c r="N190" s="43">
        <f>Рецепты[[#This Row],[р]]*100%/(100%-Рецепты[[#This Row],[Потери, %]])+Рецепты[[#This Row],[Маржа]]*(Рецепты[[#This Row],[р]]*100%)/(100%-Рецепты[[#This Row],[Потери, %]])</f>
        <v>2.4320000000000004</v>
      </c>
      <c r="O190" s="43">
        <f>Рецепты[[#This Row],[Цена за 1 кг]]-(Рецепты[[#This Row],[р]]*100%/(100%-Рецепты[[#This Row],[Потери, %]]))</f>
        <v>1.1520000000000004</v>
      </c>
      <c r="P190" s="40" t="s">
        <v>445</v>
      </c>
      <c r="Q190" s="40" t="s">
        <v>446</v>
      </c>
      <c r="R190" s="44" t="str">
        <f>VLOOKUP(Рецепты[[#This Row],[Состав]],Ингредиенты[],9,0)</f>
        <v>Да</v>
      </c>
      <c r="S190" s="52"/>
    </row>
    <row r="191" spans="1:19" x14ac:dyDescent="0.25">
      <c r="A191" s="40" t="s">
        <v>444</v>
      </c>
      <c r="B191" s="40" t="str">
        <f t="shared" si="19"/>
        <v>Колбаса</v>
      </c>
      <c r="C191" s="40" t="str">
        <f t="shared" si="19"/>
        <v>ГК</v>
      </c>
      <c r="D191" s="40" t="s">
        <v>131</v>
      </c>
      <c r="E191" s="41" t="str">
        <f>VLOOKUP(Рецепты[[#This Row],[Состав]],Ингредиенты[],2,0)</f>
        <v>Специи</v>
      </c>
      <c r="F191" s="62">
        <v>1E-3</v>
      </c>
      <c r="G191" s="42">
        <f>IF(Рецепты[[#This Row],[%]]*1000&gt;0,Рецепты[[#This Row],[%]]*1000,"")</f>
        <v>1</v>
      </c>
      <c r="H191" s="43">
        <f>IFERROR(VLOOKUP(Рецепты[[#This Row],[Состав]],Ингредиенты!A:I,3,0)*Рецепты[[#This Row],[г]],"")</f>
        <v>8.0882352941176475E-2</v>
      </c>
      <c r="I191" s="42">
        <f>СводРецепт!$A$1</f>
        <v>1000</v>
      </c>
      <c r="J191" s="42">
        <f>Рецепты[[#This Row],[%]]*Рецепты[[#This Row],[Масса]]</f>
        <v>1</v>
      </c>
      <c r="K191" s="43">
        <f>Рецепты[[#This Row],[Вес ингр-тов]]*VLOOKUP(Рецепты[[#This Row],[Состав]],Ингредиенты[],3,FALSE)</f>
        <v>8.0882352941176475E-2</v>
      </c>
      <c r="L191" s="41">
        <f>IF(VLOOKUP(Рецепты[[#This Row],[Состав]],Ингредиенты[],4,0)="Основа",VLOOKUP(Рецепты[[#This Row],[Способ]],Способ[],2,0),0%)</f>
        <v>0</v>
      </c>
      <c r="M191" s="41">
        <f>VLOOKUP(Рецепты[[#This Row],[Способ]],Способ[],3,0)</f>
        <v>0.9</v>
      </c>
      <c r="N191" s="43">
        <f>Рецепты[[#This Row],[р]]*100%/(100%-Рецепты[[#This Row],[Потери, %]])+Рецепты[[#This Row],[Маржа]]*(Рецепты[[#This Row],[р]]*100%)/(100%-Рецепты[[#This Row],[Потери, %]])</f>
        <v>0.1536764705882353</v>
      </c>
      <c r="O191" s="43">
        <f>Рецепты[[#This Row],[Цена за 1 кг]]-(Рецепты[[#This Row],[р]]*100%/(100%-Рецепты[[#This Row],[Потери, %]]))</f>
        <v>7.2794117647058829E-2</v>
      </c>
      <c r="P191" s="40" t="s">
        <v>445</v>
      </c>
      <c r="Q191" s="40" t="s">
        <v>446</v>
      </c>
      <c r="R191" s="44" t="str">
        <f>VLOOKUP(Рецепты[[#This Row],[Состав]],Ингредиенты[],9,0)</f>
        <v>Да</v>
      </c>
      <c r="S191" s="52"/>
    </row>
    <row r="192" spans="1:19" x14ac:dyDescent="0.25">
      <c r="A192" s="40" t="s">
        <v>444</v>
      </c>
      <c r="B192" s="40" t="str">
        <f t="shared" si="19"/>
        <v>Колбаса</v>
      </c>
      <c r="C192" s="40" t="str">
        <f t="shared" si="19"/>
        <v>ГК</v>
      </c>
      <c r="D192" s="40" t="s">
        <v>133</v>
      </c>
      <c r="E192" s="41" t="str">
        <f>VLOOKUP(Рецепты[[#This Row],[Состав]],Ингредиенты[],2,0)</f>
        <v>Специи</v>
      </c>
      <c r="F192" s="62">
        <v>5.0000000000000001E-4</v>
      </c>
      <c r="G192" s="42">
        <f>IF(Рецепты[[#This Row],[%]]*1000&gt;0,Рецепты[[#This Row],[%]]*1000,"")</f>
        <v>0.5</v>
      </c>
      <c r="H192" s="43">
        <f>IFERROR(VLOOKUP(Рецепты[[#This Row],[Состав]],Ингредиенты!A:I,3,0)*Рецепты[[#This Row],[г]],"")</f>
        <v>0.54727272727272724</v>
      </c>
      <c r="I192" s="42">
        <f>СводРецепт!$A$1</f>
        <v>1000</v>
      </c>
      <c r="J192" s="42">
        <f>Рецепты[[#This Row],[%]]*Рецепты[[#This Row],[Масса]]</f>
        <v>0.5</v>
      </c>
      <c r="K192" s="43">
        <f>Рецепты[[#This Row],[Вес ингр-тов]]*VLOOKUP(Рецепты[[#This Row],[Состав]],Ингредиенты[],3,FALSE)</f>
        <v>0.54727272727272724</v>
      </c>
      <c r="L192" s="41">
        <f>IF(VLOOKUP(Рецепты[[#This Row],[Состав]],Ингредиенты[],4,0)="Основа",VLOOKUP(Рецепты[[#This Row],[Способ]],Способ[],2,0),0%)</f>
        <v>0</v>
      </c>
      <c r="M192" s="41">
        <f>VLOOKUP(Рецепты[[#This Row],[Способ]],Способ[],3,0)</f>
        <v>0.9</v>
      </c>
      <c r="N192" s="43">
        <f>Рецепты[[#This Row],[р]]*100%/(100%-Рецепты[[#This Row],[Потери, %]])+Рецепты[[#This Row],[Маржа]]*(Рецепты[[#This Row],[р]]*100%)/(100%-Рецепты[[#This Row],[Потери, %]])</f>
        <v>1.0398181818181818</v>
      </c>
      <c r="O192" s="43">
        <f>Рецепты[[#This Row],[Цена за 1 кг]]-(Рецепты[[#This Row],[р]]*100%/(100%-Рецепты[[#This Row],[Потери, %]]))</f>
        <v>0.49254545454545451</v>
      </c>
      <c r="P192" s="40" t="s">
        <v>445</v>
      </c>
      <c r="Q192" s="40" t="s">
        <v>446</v>
      </c>
      <c r="R192" s="44" t="str">
        <f>VLOOKUP(Рецепты[[#This Row],[Состав]],Ингредиенты[],9,0)</f>
        <v>Да</v>
      </c>
      <c r="S192" s="52"/>
    </row>
    <row r="193" spans="1:19" x14ac:dyDescent="0.25">
      <c r="A193" s="40" t="s">
        <v>444</v>
      </c>
      <c r="B193" s="40" t="str">
        <f t="shared" si="19"/>
        <v>Колбаса</v>
      </c>
      <c r="C193" s="40" t="str">
        <f t="shared" si="19"/>
        <v>ГК</v>
      </c>
      <c r="D193" s="40" t="s">
        <v>137</v>
      </c>
      <c r="E193" s="41" t="str">
        <f>VLOOKUP(Рецепты[[#This Row],[Состав]],Ингредиенты[],2,0)</f>
        <v>Специи</v>
      </c>
      <c r="F193" s="62">
        <v>5.0000000000000001E-4</v>
      </c>
      <c r="G193" s="42">
        <f>IF(Рецепты[[#This Row],[%]]*1000&gt;0,Рецепты[[#This Row],[%]]*1000,"")</f>
        <v>0.5</v>
      </c>
      <c r="H193" s="43">
        <f>IFERROR(VLOOKUP(Рецепты[[#This Row],[Состав]],Ингредиенты!A:I,3,0)*Рецепты[[#This Row],[г]],"")</f>
        <v>0.998</v>
      </c>
      <c r="I193" s="42">
        <f>СводРецепт!$A$1</f>
        <v>1000</v>
      </c>
      <c r="J193" s="42">
        <f>Рецепты[[#This Row],[%]]*Рецепты[[#This Row],[Масса]]</f>
        <v>0.5</v>
      </c>
      <c r="K193" s="43">
        <f>Рецепты[[#This Row],[Вес ингр-тов]]*VLOOKUP(Рецепты[[#This Row],[Состав]],Ингредиенты[],3,FALSE)</f>
        <v>0.998</v>
      </c>
      <c r="L193" s="41">
        <f>IF(VLOOKUP(Рецепты[[#This Row],[Состав]],Ингредиенты[],4,0)="Основа",VLOOKUP(Рецепты[[#This Row],[Способ]],Способ[],2,0),0%)</f>
        <v>0</v>
      </c>
      <c r="M193" s="41">
        <f>VLOOKUP(Рецепты[[#This Row],[Способ]],Способ[],3,0)</f>
        <v>0.9</v>
      </c>
      <c r="N193" s="43">
        <f>Рецепты[[#This Row],[р]]*100%/(100%-Рецепты[[#This Row],[Потери, %]])+Рецепты[[#This Row],[Маржа]]*(Рецепты[[#This Row],[р]]*100%)/(100%-Рецепты[[#This Row],[Потери, %]])</f>
        <v>1.8961999999999999</v>
      </c>
      <c r="O193" s="43">
        <f>Рецепты[[#This Row],[Цена за 1 кг]]-(Рецепты[[#This Row],[р]]*100%/(100%-Рецепты[[#This Row],[Потери, %]]))</f>
        <v>0.89819999999999989</v>
      </c>
      <c r="P193" s="40" t="s">
        <v>445</v>
      </c>
      <c r="Q193" s="40" t="s">
        <v>446</v>
      </c>
      <c r="R193" s="44" t="str">
        <f>VLOOKUP(Рецепты[[#This Row],[Состав]],Ингредиенты[],9,0)</f>
        <v>Да</v>
      </c>
      <c r="S193" s="52"/>
    </row>
    <row r="194" spans="1:19" x14ac:dyDescent="0.25">
      <c r="A194" s="40" t="s">
        <v>444</v>
      </c>
      <c r="B194" s="40" t="str">
        <f t="shared" si="19"/>
        <v>Колбаса</v>
      </c>
      <c r="C194" s="40" t="str">
        <f t="shared" si="19"/>
        <v>ГК</v>
      </c>
      <c r="D194" s="40" t="s">
        <v>151</v>
      </c>
      <c r="E194" s="41" t="str">
        <f>VLOOKUP(Рецепты[[#This Row],[Состав]],Ингредиенты[],2,0)</f>
        <v>Специи</v>
      </c>
      <c r="F194" s="62">
        <v>5.0000000000000001E-4</v>
      </c>
      <c r="G194" s="42">
        <f>IF(Рецепты[[#This Row],[%]]*1000&gt;0,Рецепты[[#This Row],[%]]*1000,"")</f>
        <v>0.5</v>
      </c>
      <c r="H194" s="43">
        <f>IFERROR(VLOOKUP(Рецепты[[#This Row],[Состав]],Ингредиенты!A:I,3,0)*Рецепты[[#This Row],[г]],"")</f>
        <v>0.43916666666666665</v>
      </c>
      <c r="I194" s="42">
        <f>СводРецепт!$A$1</f>
        <v>1000</v>
      </c>
      <c r="J194" s="42">
        <f>Рецепты[[#This Row],[%]]*Рецепты[[#This Row],[Масса]]</f>
        <v>0.5</v>
      </c>
      <c r="K194" s="43">
        <f>Рецепты[[#This Row],[Вес ингр-тов]]*VLOOKUP(Рецепты[[#This Row],[Состав]],Ингредиенты[],3,FALSE)</f>
        <v>0.43916666666666665</v>
      </c>
      <c r="L194" s="41">
        <f>IF(VLOOKUP(Рецепты[[#This Row],[Состав]],Ингредиенты[],4,0)="Основа",VLOOKUP(Рецепты[[#This Row],[Способ]],Способ[],2,0),0%)</f>
        <v>0</v>
      </c>
      <c r="M194" s="41">
        <f>VLOOKUP(Рецепты[[#This Row],[Способ]],Способ[],3,0)</f>
        <v>0.9</v>
      </c>
      <c r="N194" s="43">
        <f>Рецепты[[#This Row],[р]]*100%/(100%-Рецепты[[#This Row],[Потери, %]])+Рецепты[[#This Row],[Маржа]]*(Рецепты[[#This Row],[р]]*100%)/(100%-Рецепты[[#This Row],[Потери, %]])</f>
        <v>0.83441666666666658</v>
      </c>
      <c r="O194" s="43">
        <f>Рецепты[[#This Row],[Цена за 1 кг]]-(Рецепты[[#This Row],[р]]*100%/(100%-Рецепты[[#This Row],[Потери, %]]))</f>
        <v>0.39524999999999993</v>
      </c>
      <c r="P194" s="40" t="s">
        <v>445</v>
      </c>
      <c r="Q194" s="40" t="s">
        <v>446</v>
      </c>
      <c r="R194" s="44" t="str">
        <f>VLOOKUP(Рецепты[[#This Row],[Состав]],Ингредиенты[],9,0)</f>
        <v>Да</v>
      </c>
      <c r="S194" s="52"/>
    </row>
    <row r="195" spans="1:19" x14ac:dyDescent="0.25">
      <c r="A195" s="40" t="s">
        <v>444</v>
      </c>
      <c r="B195" s="40" t="str">
        <f>B194</f>
        <v>Колбаса</v>
      </c>
      <c r="C195" s="40" t="str">
        <f>C194</f>
        <v>ГК</v>
      </c>
      <c r="D195" s="40" t="s">
        <v>218</v>
      </c>
      <c r="E195" s="41" t="str">
        <f>VLOOKUP(Рецепты[[#This Row],[Состав]],Ингредиенты[],2,0)</f>
        <v>Оболочка</v>
      </c>
      <c r="F195" s="62">
        <v>1E-3</v>
      </c>
      <c r="G195" s="42">
        <f>IF(Рецепты[[#This Row],[%]]*1000&gt;0,Рецепты[[#This Row],[%]]*1000,"")</f>
        <v>1</v>
      </c>
      <c r="H195" s="43">
        <f>IFERROR(VLOOKUP(Рецепты[[#This Row],[Состав]],Ингредиенты!A:I,3,0)*Рецепты[[#This Row],[г]],"")</f>
        <v>26.014326334208224</v>
      </c>
      <c r="I195" s="42">
        <f>СводРецепт!$A$1</f>
        <v>1000</v>
      </c>
      <c r="J195" s="42">
        <f>Рецепты[[#This Row],[%]]*Рецепты[[#This Row],[Масса]]</f>
        <v>1</v>
      </c>
      <c r="K195" s="43">
        <f>Рецепты[[#This Row],[Вес ингр-тов]]*VLOOKUP(Рецепты[[#This Row],[Состав]],Ингредиенты[],3,FALSE)</f>
        <v>26.014326334208224</v>
      </c>
      <c r="L195" s="41">
        <f>IF(VLOOKUP(Рецепты[[#This Row],[Состав]],Ингредиенты[],4,0)="Основа",VLOOKUP(Рецепты[[#This Row],[Способ]],Способ[],2,0),0%)</f>
        <v>0</v>
      </c>
      <c r="M195" s="41">
        <f>VLOOKUP(Рецепты[[#This Row],[Способ]],Способ[],3,0)</f>
        <v>0.9</v>
      </c>
      <c r="N195" s="43">
        <f>Рецепты[[#This Row],[р]]*100%/(100%-Рецепты[[#This Row],[Потери, %]])+Рецепты[[#This Row],[Маржа]]*(Рецепты[[#This Row],[р]]*100%)/(100%-Рецепты[[#This Row],[Потери, %]])</f>
        <v>49.427220034995628</v>
      </c>
      <c r="O195" s="43">
        <f>Рецепты[[#This Row],[Цена за 1 кг]]-(Рецепты[[#This Row],[р]]*100%/(100%-Рецепты[[#This Row],[Потери, %]]))</f>
        <v>23.412893700787404</v>
      </c>
      <c r="P195" s="40" t="s">
        <v>445</v>
      </c>
      <c r="Q195" s="40" t="s">
        <v>446</v>
      </c>
      <c r="R195" s="44" t="str">
        <f>VLOOKUP(Рецепты[[#This Row],[Состав]],Ингредиенты[],9,0)</f>
        <v>Да</v>
      </c>
      <c r="S195" s="52"/>
    </row>
    <row r="196" spans="1:19" x14ac:dyDescent="0.25">
      <c r="A196" s="40" t="s">
        <v>447</v>
      </c>
      <c r="B196" s="40" t="str">
        <f>B194</f>
        <v>Колбаса</v>
      </c>
      <c r="C196" s="40" t="s">
        <v>9</v>
      </c>
      <c r="D196" s="40" t="s">
        <v>49</v>
      </c>
      <c r="E196" s="41" t="str">
        <f>VLOOKUP(Рецепты[[#This Row],[Состав]],Ингредиенты[],2,0)</f>
        <v>Свинина</v>
      </c>
      <c r="F196" s="62">
        <v>1</v>
      </c>
      <c r="G196" s="42">
        <f>IF(Рецепты[[#This Row],[%]]*1000&gt;0,Рецепты[[#This Row],[%]]*1000,"")</f>
        <v>1000</v>
      </c>
      <c r="H196" s="43">
        <f>IFERROR(VLOOKUP(Рецепты[[#This Row],[Состав]],Ингредиенты!A:I,3,0)*Рецепты[[#This Row],[г]],"")</f>
        <v>369</v>
      </c>
      <c r="I196" s="42">
        <f>СводРецепт!$A$1</f>
        <v>1000</v>
      </c>
      <c r="J196" s="42">
        <f>Рецепты[[#This Row],[%]]*Рецепты[[#This Row],[Масса]]</f>
        <v>1000</v>
      </c>
      <c r="K196" s="43">
        <f>Рецепты[[#This Row],[Вес ингр-тов]]*VLOOKUP(Рецепты[[#This Row],[Состав]],Ингредиенты[],3,FALSE)</f>
        <v>369</v>
      </c>
      <c r="L196" s="41">
        <f>IF(VLOOKUP(Рецепты[[#This Row],[Состав]],Ингредиенты[],4,0)="Основа",VLOOKUP(Рецепты[[#This Row],[Способ]],Способ[],2,0),0%)</f>
        <v>0.15</v>
      </c>
      <c r="M196" s="41">
        <f>VLOOKUP(Рецепты[[#This Row],[Способ]],Способ[],3,0)</f>
        <v>0.7</v>
      </c>
      <c r="N196" s="43">
        <f>Рецепты[[#This Row],[р]]*100%/(100%-Рецепты[[#This Row],[Потери, %]])+Рецепты[[#This Row],[Маржа]]*(Рецепты[[#This Row],[р]]*100%)/(100%-Рецепты[[#This Row],[Потери, %]])</f>
        <v>738</v>
      </c>
      <c r="O196" s="43">
        <f>Рецепты[[#This Row],[Цена за 1 кг]]-(Рецепты[[#This Row],[р]]*100%/(100%-Рецепты[[#This Row],[Потери, %]]))</f>
        <v>303.88235294117646</v>
      </c>
      <c r="P196" s="40" t="s">
        <v>448</v>
      </c>
      <c r="Q196" s="40" t="s">
        <v>449</v>
      </c>
      <c r="R196" s="44" t="str">
        <f>VLOOKUP(Рецепты[[#This Row],[Состав]],Ингредиенты[],9,0)</f>
        <v>Да</v>
      </c>
      <c r="S196" s="52"/>
    </row>
    <row r="197" spans="1:19" x14ac:dyDescent="0.25">
      <c r="A197" s="40" t="s">
        <v>447</v>
      </c>
      <c r="B197" s="40" t="str">
        <f t="shared" ref="B197:B215" si="20">B196</f>
        <v>Колбаса</v>
      </c>
      <c r="C197" s="40" t="str">
        <f t="shared" ref="C197:C215" si="21">C196</f>
        <v>Вареное</v>
      </c>
      <c r="D197" s="40" t="s">
        <v>93</v>
      </c>
      <c r="E197" s="41" t="str">
        <f>VLOOKUP(Рецепты[[#This Row],[Состав]],Ингредиенты[],2,0)</f>
        <v>Добавки</v>
      </c>
      <c r="F197" s="62">
        <v>0.13</v>
      </c>
      <c r="G197" s="42">
        <f>IF(Рецепты[[#This Row],[%]]*1000&gt;0,Рецепты[[#This Row],[%]]*1000,"")</f>
        <v>130</v>
      </c>
      <c r="H197" s="43">
        <f>IFERROR(VLOOKUP(Рецепты[[#This Row],[Состав]],Ингредиенты!A:I,3,0)*Рецепты[[#This Row],[г]],"")</f>
        <v>0.13</v>
      </c>
      <c r="I197" s="42">
        <f>СводРецепт!$A$1</f>
        <v>1000</v>
      </c>
      <c r="J197" s="42">
        <f>Рецепты[[#This Row],[%]]*Рецепты[[#This Row],[Масса]]</f>
        <v>130</v>
      </c>
      <c r="K197" s="43">
        <f>Рецепты[[#This Row],[Вес ингр-тов]]*VLOOKUP(Рецепты[[#This Row],[Состав]],Ингредиенты[],3,FALSE)</f>
        <v>0.13</v>
      </c>
      <c r="L197" s="41">
        <f>IF(VLOOKUP(Рецепты[[#This Row],[Состав]],Ингредиенты[],4,0)="Основа",VLOOKUP(Рецепты[[#This Row],[Способ]],Способ[],2,0),0%)</f>
        <v>0</v>
      </c>
      <c r="M197" s="41">
        <f>VLOOKUP(Рецепты[[#This Row],[Способ]],Способ[],3,0)</f>
        <v>0.7</v>
      </c>
      <c r="N197" s="43">
        <f>Рецепты[[#This Row],[р]]*100%/(100%-Рецепты[[#This Row],[Потери, %]])+Рецепты[[#This Row],[Маржа]]*(Рецепты[[#This Row],[р]]*100%)/(100%-Рецепты[[#This Row],[Потери, %]])</f>
        <v>0.221</v>
      </c>
      <c r="O197" s="43">
        <f>Рецепты[[#This Row],[Цена за 1 кг]]-(Рецепты[[#This Row],[р]]*100%/(100%-Рецепты[[#This Row],[Потери, %]]))</f>
        <v>9.0999999999999998E-2</v>
      </c>
      <c r="P197" s="40" t="s">
        <v>448</v>
      </c>
      <c r="Q197" s="40" t="s">
        <v>449</v>
      </c>
      <c r="R197" s="44" t="str">
        <f>VLOOKUP(Рецепты[[#This Row],[Состав]],Ингредиенты[],9,0)</f>
        <v>Да</v>
      </c>
      <c r="S197" s="52"/>
    </row>
    <row r="198" spans="1:19" x14ac:dyDescent="0.25">
      <c r="A198" s="40" t="s">
        <v>447</v>
      </c>
      <c r="B198" s="40" t="str">
        <f t="shared" si="20"/>
        <v>Колбаса</v>
      </c>
      <c r="C198" s="40" t="str">
        <f t="shared" si="21"/>
        <v>Вареное</v>
      </c>
      <c r="D198" s="40" t="s">
        <v>125</v>
      </c>
      <c r="E198" s="41" t="str">
        <f>VLOOKUP(Рецепты[[#This Row],[Состав]],Ингредиенты[],2,0)</f>
        <v>Специи</v>
      </c>
      <c r="F198" s="62">
        <v>0.02</v>
      </c>
      <c r="G198" s="42">
        <f>IF(Рецепты[[#This Row],[%]]*1000&gt;0,Рецепты[[#This Row],[%]]*1000,"")</f>
        <v>20</v>
      </c>
      <c r="H198" s="43">
        <f>IFERROR(VLOOKUP(Рецепты[[#This Row],[Состав]],Ингредиенты!A:I,3,0)*Рецепты[[#This Row],[г]],"")</f>
        <v>2.56</v>
      </c>
      <c r="I198" s="42">
        <f>СводРецепт!$A$1</f>
        <v>1000</v>
      </c>
      <c r="J198" s="42">
        <f>Рецепты[[#This Row],[%]]*Рецепты[[#This Row],[Масса]]</f>
        <v>20</v>
      </c>
      <c r="K198" s="43">
        <f>Рецепты[[#This Row],[Вес ингр-тов]]*VLOOKUP(Рецепты[[#This Row],[Состав]],Ингредиенты[],3,FALSE)</f>
        <v>2.56</v>
      </c>
      <c r="L198" s="41">
        <f>IF(VLOOKUP(Рецепты[[#This Row],[Состав]],Ингредиенты[],4,0)="Основа",VLOOKUP(Рецепты[[#This Row],[Способ]],Способ[],2,0),0%)</f>
        <v>0</v>
      </c>
      <c r="M198" s="41">
        <f>VLOOKUP(Рецепты[[#This Row],[Способ]],Способ[],3,0)</f>
        <v>0.7</v>
      </c>
      <c r="N198" s="43">
        <f>Рецепты[[#This Row],[р]]*100%/(100%-Рецепты[[#This Row],[Потери, %]])+Рецепты[[#This Row],[Маржа]]*(Рецепты[[#This Row],[р]]*100%)/(100%-Рецепты[[#This Row],[Потери, %]])</f>
        <v>4.3520000000000003</v>
      </c>
      <c r="O198" s="43">
        <f>Рецепты[[#This Row],[Цена за 1 кг]]-(Рецепты[[#This Row],[р]]*100%/(100%-Рецепты[[#This Row],[Потери, %]]))</f>
        <v>1.7920000000000003</v>
      </c>
      <c r="P198" s="40" t="s">
        <v>448</v>
      </c>
      <c r="Q198" s="40" t="s">
        <v>449</v>
      </c>
      <c r="R198" s="44" t="str">
        <f>VLOOKUP(Рецепты[[#This Row],[Состав]],Ингредиенты[],9,0)</f>
        <v>Да</v>
      </c>
      <c r="S198" s="52"/>
    </row>
    <row r="199" spans="1:19" x14ac:dyDescent="0.25">
      <c r="A199" s="40" t="s">
        <v>447</v>
      </c>
      <c r="B199" s="40" t="str">
        <f t="shared" si="20"/>
        <v>Колбаса</v>
      </c>
      <c r="C199" s="40" t="str">
        <f t="shared" si="21"/>
        <v>Вареное</v>
      </c>
      <c r="D199" s="40" t="s">
        <v>131</v>
      </c>
      <c r="E199" s="41" t="str">
        <f>VLOOKUP(Рецепты[[#This Row],[Состав]],Ингредиенты[],2,0)</f>
        <v>Специи</v>
      </c>
      <c r="F199" s="62">
        <v>2E-3</v>
      </c>
      <c r="G199" s="42">
        <f>IF(Рецепты[[#This Row],[%]]*1000&gt;0,Рецепты[[#This Row],[%]]*1000,"")</f>
        <v>2</v>
      </c>
      <c r="H199" s="43">
        <f>IFERROR(VLOOKUP(Рецепты[[#This Row],[Состав]],Ингредиенты!A:I,3,0)*Рецепты[[#This Row],[г]],"")</f>
        <v>0.16176470588235295</v>
      </c>
      <c r="I199" s="42">
        <f>СводРецепт!$A$1</f>
        <v>1000</v>
      </c>
      <c r="J199" s="42">
        <f>Рецепты[[#This Row],[%]]*Рецепты[[#This Row],[Масса]]</f>
        <v>2</v>
      </c>
      <c r="K199" s="43">
        <f>Рецепты[[#This Row],[Вес ингр-тов]]*VLOOKUP(Рецепты[[#This Row],[Состав]],Ингредиенты[],3,FALSE)</f>
        <v>0.16176470588235295</v>
      </c>
      <c r="L199" s="41">
        <f>IF(VLOOKUP(Рецепты[[#This Row],[Состав]],Ингредиенты[],4,0)="Основа",VLOOKUP(Рецепты[[#This Row],[Способ]],Способ[],2,0),0%)</f>
        <v>0</v>
      </c>
      <c r="M199" s="41">
        <f>VLOOKUP(Рецепты[[#This Row],[Способ]],Способ[],3,0)</f>
        <v>0.7</v>
      </c>
      <c r="N199" s="43">
        <f>Рецепты[[#This Row],[р]]*100%/(100%-Рецепты[[#This Row],[Потери, %]])+Рецепты[[#This Row],[Маржа]]*(Рецепты[[#This Row],[р]]*100%)/(100%-Рецепты[[#This Row],[Потери, %]])</f>
        <v>0.27500000000000002</v>
      </c>
      <c r="O199" s="43">
        <f>Рецепты[[#This Row],[Цена за 1 кг]]-(Рецепты[[#This Row],[р]]*100%/(100%-Рецепты[[#This Row],[Потери, %]]))</f>
        <v>0.11323529411764707</v>
      </c>
      <c r="P199" s="40" t="s">
        <v>448</v>
      </c>
      <c r="Q199" s="40" t="s">
        <v>449</v>
      </c>
      <c r="R199" s="44" t="str">
        <f>VLOOKUP(Рецепты[[#This Row],[Состав]],Ингредиенты[],9,0)</f>
        <v>Да</v>
      </c>
      <c r="S199" s="52"/>
    </row>
    <row r="200" spans="1:19" x14ac:dyDescent="0.25">
      <c r="A200" s="40" t="s">
        <v>447</v>
      </c>
      <c r="B200" s="40" t="str">
        <f t="shared" si="20"/>
        <v>Колбаса</v>
      </c>
      <c r="C200" s="40" t="str">
        <f t="shared" si="21"/>
        <v>Вареное</v>
      </c>
      <c r="D200" s="40" t="s">
        <v>157</v>
      </c>
      <c r="E200" s="41" t="str">
        <f>VLOOKUP(Рецепты[[#This Row],[Состав]],Ингредиенты[],2,0)</f>
        <v>Специи</v>
      </c>
      <c r="F200" s="62">
        <v>2E-3</v>
      </c>
      <c r="G200" s="42">
        <f>IF(Рецепты[[#This Row],[%]]*1000&gt;0,Рецепты[[#This Row],[%]]*1000,"")</f>
        <v>2</v>
      </c>
      <c r="H200" s="43">
        <f>IFERROR(VLOOKUP(Рецепты[[#This Row],[Состав]],Ингредиенты!A:I,3,0)*Рецепты[[#This Row],[г]],"")</f>
        <v>1.496</v>
      </c>
      <c r="I200" s="42">
        <f>СводРецепт!$A$1</f>
        <v>1000</v>
      </c>
      <c r="J200" s="42">
        <f>Рецепты[[#This Row],[%]]*Рецепты[[#This Row],[Масса]]</f>
        <v>2</v>
      </c>
      <c r="K200" s="43">
        <f>Рецепты[[#This Row],[Вес ингр-тов]]*VLOOKUP(Рецепты[[#This Row],[Состав]],Ингредиенты[],3,FALSE)</f>
        <v>1.496</v>
      </c>
      <c r="L200" s="41">
        <f>IF(VLOOKUP(Рецепты[[#This Row],[Состав]],Ингредиенты[],4,0)="Основа",VLOOKUP(Рецепты[[#This Row],[Способ]],Способ[],2,0),0%)</f>
        <v>0</v>
      </c>
      <c r="M200" s="41">
        <f>VLOOKUP(Рецепты[[#This Row],[Способ]],Способ[],3,0)</f>
        <v>0.7</v>
      </c>
      <c r="N200" s="43">
        <f>Рецепты[[#This Row],[р]]*100%/(100%-Рецепты[[#This Row],[Потери, %]])+Рецепты[[#This Row],[Маржа]]*(Рецепты[[#This Row],[р]]*100%)/(100%-Рецепты[[#This Row],[Потери, %]])</f>
        <v>2.5431999999999997</v>
      </c>
      <c r="O200" s="43">
        <f>Рецепты[[#This Row],[Цена за 1 кг]]-(Рецепты[[#This Row],[р]]*100%/(100%-Рецепты[[#This Row],[Потери, %]]))</f>
        <v>1.0471999999999997</v>
      </c>
      <c r="P200" s="40" t="s">
        <v>448</v>
      </c>
      <c r="Q200" s="40" t="s">
        <v>449</v>
      </c>
      <c r="R200" s="44" t="str">
        <f>VLOOKUP(Рецепты[[#This Row],[Состав]],Ингредиенты[],9,0)</f>
        <v>Да</v>
      </c>
      <c r="S200" s="52"/>
    </row>
    <row r="201" spans="1:19" x14ac:dyDescent="0.25">
      <c r="A201" s="40" t="s">
        <v>447</v>
      </c>
      <c r="B201" s="40" t="str">
        <f t="shared" si="20"/>
        <v>Колбаса</v>
      </c>
      <c r="C201" s="40" t="str">
        <f t="shared" si="21"/>
        <v>Вареное</v>
      </c>
      <c r="D201" s="40" t="s">
        <v>133</v>
      </c>
      <c r="E201" s="41" t="str">
        <f>VLOOKUP(Рецепты[[#This Row],[Состав]],Ингредиенты[],2,0)</f>
        <v>Специи</v>
      </c>
      <c r="F201" s="62">
        <v>2E-3</v>
      </c>
      <c r="G201" s="42">
        <f>IF(Рецепты[[#This Row],[%]]*1000&gt;0,Рецепты[[#This Row],[%]]*1000,"")</f>
        <v>2</v>
      </c>
      <c r="H201" s="43">
        <f>IFERROR(VLOOKUP(Рецепты[[#This Row],[Состав]],Ингредиенты!A:I,3,0)*Рецепты[[#This Row],[г]],"")</f>
        <v>2.189090909090909</v>
      </c>
      <c r="I201" s="42">
        <f>СводРецепт!$A$1</f>
        <v>1000</v>
      </c>
      <c r="J201" s="42">
        <f>Рецепты[[#This Row],[%]]*Рецепты[[#This Row],[Масса]]</f>
        <v>2</v>
      </c>
      <c r="K201" s="43">
        <f>Рецепты[[#This Row],[Вес ингр-тов]]*VLOOKUP(Рецепты[[#This Row],[Состав]],Ингредиенты[],3,FALSE)</f>
        <v>2.189090909090909</v>
      </c>
      <c r="L201" s="41">
        <f>IF(VLOOKUP(Рецепты[[#This Row],[Состав]],Ингредиенты[],4,0)="Основа",VLOOKUP(Рецепты[[#This Row],[Способ]],Способ[],2,0),0%)</f>
        <v>0</v>
      </c>
      <c r="M201" s="41">
        <f>VLOOKUP(Рецепты[[#This Row],[Способ]],Способ[],3,0)</f>
        <v>0.7</v>
      </c>
      <c r="N201" s="43">
        <f>Рецепты[[#This Row],[р]]*100%/(100%-Рецепты[[#This Row],[Потери, %]])+Рецепты[[#This Row],[Маржа]]*(Рецепты[[#This Row],[р]]*100%)/(100%-Рецепты[[#This Row],[Потери, %]])</f>
        <v>3.7214545454545451</v>
      </c>
      <c r="O201" s="43">
        <f>Рецепты[[#This Row],[Цена за 1 кг]]-(Рецепты[[#This Row],[р]]*100%/(100%-Рецепты[[#This Row],[Потери, %]]))</f>
        <v>1.5323636363636362</v>
      </c>
      <c r="P201" s="40" t="s">
        <v>448</v>
      </c>
      <c r="Q201" s="40" t="s">
        <v>449</v>
      </c>
      <c r="R201" s="44" t="str">
        <f>VLOOKUP(Рецепты[[#This Row],[Состав]],Ингредиенты[],9,0)</f>
        <v>Да</v>
      </c>
      <c r="S201" s="52"/>
    </row>
    <row r="202" spans="1:19" x14ac:dyDescent="0.25">
      <c r="A202" s="40" t="s">
        <v>447</v>
      </c>
      <c r="B202" s="40" t="str">
        <f t="shared" si="20"/>
        <v>Колбаса</v>
      </c>
      <c r="C202" s="40" t="str">
        <f t="shared" si="21"/>
        <v>Вареное</v>
      </c>
      <c r="D202" s="40" t="s">
        <v>137</v>
      </c>
      <c r="E202" s="41" t="str">
        <f>VLOOKUP(Рецепты[[#This Row],[Состав]],Ингредиенты[],2,0)</f>
        <v>Специи</v>
      </c>
      <c r="F202" s="62">
        <v>1E-3</v>
      </c>
      <c r="G202" s="42">
        <f>IF(Рецепты[[#This Row],[%]]*1000&gt;0,Рецепты[[#This Row],[%]]*1000,"")</f>
        <v>1</v>
      </c>
      <c r="H202" s="43">
        <f>IFERROR(VLOOKUP(Рецепты[[#This Row],[Состав]],Ингредиенты!A:I,3,0)*Рецепты[[#This Row],[г]],"")</f>
        <v>1.996</v>
      </c>
      <c r="I202" s="42">
        <f>СводРецепт!$A$1</f>
        <v>1000</v>
      </c>
      <c r="J202" s="42">
        <f>Рецепты[[#This Row],[%]]*Рецепты[[#This Row],[Масса]]</f>
        <v>1</v>
      </c>
      <c r="K202" s="43">
        <f>Рецепты[[#This Row],[Вес ингр-тов]]*VLOOKUP(Рецепты[[#This Row],[Состав]],Ингредиенты[],3,FALSE)</f>
        <v>1.996</v>
      </c>
      <c r="L202" s="41">
        <f>IF(VLOOKUP(Рецепты[[#This Row],[Состав]],Ингредиенты[],4,0)="Основа",VLOOKUP(Рецепты[[#This Row],[Способ]],Способ[],2,0),0%)</f>
        <v>0</v>
      </c>
      <c r="M202" s="41">
        <f>VLOOKUP(Рецепты[[#This Row],[Способ]],Способ[],3,0)</f>
        <v>0.7</v>
      </c>
      <c r="N202" s="43">
        <f>Рецепты[[#This Row],[р]]*100%/(100%-Рецепты[[#This Row],[Потери, %]])+Рецепты[[#This Row],[Маржа]]*(Рецепты[[#This Row],[р]]*100%)/(100%-Рецепты[[#This Row],[Потери, %]])</f>
        <v>3.3932000000000002</v>
      </c>
      <c r="O202" s="43">
        <f>Рецепты[[#This Row],[Цена за 1 кг]]-(Рецепты[[#This Row],[р]]*100%/(100%-Рецепты[[#This Row],[Потери, %]]))</f>
        <v>1.3972000000000002</v>
      </c>
      <c r="P202" s="40" t="s">
        <v>448</v>
      </c>
      <c r="Q202" s="40" t="s">
        <v>449</v>
      </c>
      <c r="R202" s="44" t="str">
        <f>VLOOKUP(Рецепты[[#This Row],[Состав]],Ингредиенты[],9,0)</f>
        <v>Да</v>
      </c>
      <c r="S202" s="52"/>
    </row>
    <row r="203" spans="1:19" x14ac:dyDescent="0.25">
      <c r="A203" s="40" t="s">
        <v>447</v>
      </c>
      <c r="B203" s="40" t="str">
        <f t="shared" si="20"/>
        <v>Колбаса</v>
      </c>
      <c r="C203" s="40" t="str">
        <f t="shared" si="21"/>
        <v>Вареное</v>
      </c>
      <c r="D203" s="40" t="s">
        <v>143</v>
      </c>
      <c r="E203" s="41" t="str">
        <f>VLOOKUP(Рецепты[[#This Row],[Состав]],Ингредиенты[],2,0)</f>
        <v>Специи</v>
      </c>
      <c r="F203" s="62">
        <v>2E-3</v>
      </c>
      <c r="G203" s="42">
        <f>IF(Рецепты[[#This Row],[%]]*1000&gt;0,Рецепты[[#This Row],[%]]*1000,"")</f>
        <v>2</v>
      </c>
      <c r="H203" s="43">
        <f>IFERROR(VLOOKUP(Рецепты[[#This Row],[Состав]],Ингредиенты!A:I,3,0)*Рецепты[[#This Row],[г]],"")</f>
        <v>2.2639999999999998</v>
      </c>
      <c r="I203" s="42">
        <f>СводРецепт!$A$1</f>
        <v>1000</v>
      </c>
      <c r="J203" s="42">
        <f>Рецепты[[#This Row],[%]]*Рецепты[[#This Row],[Масса]]</f>
        <v>2</v>
      </c>
      <c r="K203" s="43">
        <f>Рецепты[[#This Row],[Вес ингр-тов]]*VLOOKUP(Рецепты[[#This Row],[Состав]],Ингредиенты[],3,FALSE)</f>
        <v>2.2639999999999998</v>
      </c>
      <c r="L203" s="41">
        <f>IF(VLOOKUP(Рецепты[[#This Row],[Состав]],Ингредиенты[],4,0)="Основа",VLOOKUP(Рецепты[[#This Row],[Способ]],Способ[],2,0),0%)</f>
        <v>0</v>
      </c>
      <c r="M203" s="41">
        <f>VLOOKUP(Рецепты[[#This Row],[Способ]],Способ[],3,0)</f>
        <v>0.7</v>
      </c>
      <c r="N203" s="43">
        <f>Рецепты[[#This Row],[р]]*100%/(100%-Рецепты[[#This Row],[Потери, %]])+Рецепты[[#This Row],[Маржа]]*(Рецепты[[#This Row],[р]]*100%)/(100%-Рецепты[[#This Row],[Потери, %]])</f>
        <v>3.8487999999999998</v>
      </c>
      <c r="O203" s="43">
        <f>Рецепты[[#This Row],[Цена за 1 кг]]-(Рецепты[[#This Row],[р]]*100%/(100%-Рецепты[[#This Row],[Потери, %]]))</f>
        <v>1.5848</v>
      </c>
      <c r="P203" s="40" t="s">
        <v>448</v>
      </c>
      <c r="Q203" s="40" t="s">
        <v>449</v>
      </c>
      <c r="R203" s="44" t="str">
        <f>VLOOKUP(Рецепты[[#This Row],[Состав]],Ингредиенты[],9,0)</f>
        <v>Да</v>
      </c>
      <c r="S203" s="52"/>
    </row>
    <row r="204" spans="1:19" x14ac:dyDescent="0.25">
      <c r="A204" s="40" t="s">
        <v>447</v>
      </c>
      <c r="B204" s="40" t="str">
        <f t="shared" si="20"/>
        <v>Колбаса</v>
      </c>
      <c r="C204" s="40" t="str">
        <f t="shared" si="21"/>
        <v>Вареное</v>
      </c>
      <c r="D204" s="40" t="s">
        <v>151</v>
      </c>
      <c r="E204" s="41" t="str">
        <f>VLOOKUP(Рецепты[[#This Row],[Состав]],Ингредиенты[],2,0)</f>
        <v>Специи</v>
      </c>
      <c r="F204" s="62">
        <v>3.0000000000000001E-3</v>
      </c>
      <c r="G204" s="42">
        <f>IF(Рецепты[[#This Row],[%]]*1000&gt;0,Рецепты[[#This Row],[%]]*1000,"")</f>
        <v>3</v>
      </c>
      <c r="H204" s="43">
        <f>IFERROR(VLOOKUP(Рецепты[[#This Row],[Состав]],Ингредиенты!A:I,3,0)*Рецепты[[#This Row],[г]],"")</f>
        <v>2.6349999999999998</v>
      </c>
      <c r="I204" s="42">
        <f>СводРецепт!$A$1</f>
        <v>1000</v>
      </c>
      <c r="J204" s="42">
        <f>Рецепты[[#This Row],[%]]*Рецепты[[#This Row],[Масса]]</f>
        <v>3</v>
      </c>
      <c r="K204" s="43">
        <f>Рецепты[[#This Row],[Вес ингр-тов]]*VLOOKUP(Рецепты[[#This Row],[Состав]],Ингредиенты[],3,FALSE)</f>
        <v>2.6349999999999998</v>
      </c>
      <c r="L204" s="41">
        <f>IF(VLOOKUP(Рецепты[[#This Row],[Состав]],Ингредиенты[],4,0)="Основа",VLOOKUP(Рецепты[[#This Row],[Способ]],Способ[],2,0),0%)</f>
        <v>0</v>
      </c>
      <c r="M204" s="41">
        <f>VLOOKUP(Рецепты[[#This Row],[Способ]],Способ[],3,0)</f>
        <v>0.7</v>
      </c>
      <c r="N204" s="43">
        <f>Рецепты[[#This Row],[р]]*100%/(100%-Рецепты[[#This Row],[Потери, %]])+Рецепты[[#This Row],[Маржа]]*(Рецепты[[#This Row],[р]]*100%)/(100%-Рецепты[[#This Row],[Потери, %]])</f>
        <v>4.4794999999999998</v>
      </c>
      <c r="O204" s="43">
        <f>Рецепты[[#This Row],[Цена за 1 кг]]-(Рецепты[[#This Row],[р]]*100%/(100%-Рецепты[[#This Row],[Потери, %]]))</f>
        <v>1.8445</v>
      </c>
      <c r="P204" s="40" t="s">
        <v>448</v>
      </c>
      <c r="Q204" s="40" t="s">
        <v>449</v>
      </c>
      <c r="R204" s="44" t="str">
        <f>VLOOKUP(Рецепты[[#This Row],[Состав]],Ингредиенты[],9,0)</f>
        <v>Да</v>
      </c>
      <c r="S204" s="52"/>
    </row>
    <row r="205" spans="1:19" x14ac:dyDescent="0.25">
      <c r="A205" s="40" t="s">
        <v>447</v>
      </c>
      <c r="B205" s="40" t="str">
        <f>B204</f>
        <v>Колбаса</v>
      </c>
      <c r="C205" s="40" t="str">
        <f>C204</f>
        <v>Вареное</v>
      </c>
      <c r="D205" s="40" t="s">
        <v>227</v>
      </c>
      <c r="E205" s="41" t="str">
        <f>VLOOKUP(Рецепты[[#This Row],[Состав]],Ингредиенты[],2,0)</f>
        <v>Оболочка</v>
      </c>
      <c r="F205" s="62">
        <v>1E-3</v>
      </c>
      <c r="G205" s="42">
        <f>IF(Рецепты[[#This Row],[%]]*1000&gt;0,Рецепты[[#This Row],[%]]*1000,"")</f>
        <v>1</v>
      </c>
      <c r="H205" s="43">
        <f>IFERROR(VLOOKUP(Рецепты[[#This Row],[Состав]],Ингредиенты!A:I,3,0)*Рецепты[[#This Row],[г]],"")</f>
        <v>29.333333333333332</v>
      </c>
      <c r="I205" s="42">
        <f>СводРецепт!$A$1</f>
        <v>1000</v>
      </c>
      <c r="J205" s="42">
        <f>Рецепты[[#This Row],[%]]*Рецепты[[#This Row],[Масса]]</f>
        <v>1</v>
      </c>
      <c r="K205" s="43">
        <f>Рецепты[[#This Row],[Вес ингр-тов]]*VLOOKUP(Рецепты[[#This Row],[Состав]],Ингредиенты[],3,FALSE)</f>
        <v>29.333333333333332</v>
      </c>
      <c r="L205" s="41">
        <f>IF(VLOOKUP(Рецепты[[#This Row],[Состав]],Ингредиенты[],4,0)="Основа",VLOOKUP(Рецепты[[#This Row],[Способ]],Способ[],2,0),0%)</f>
        <v>0</v>
      </c>
      <c r="M205" s="41">
        <f>VLOOKUP(Рецепты[[#This Row],[Способ]],Способ[],3,0)</f>
        <v>0.7</v>
      </c>
      <c r="N205" s="43">
        <f>Рецепты[[#This Row],[р]]*100%/(100%-Рецепты[[#This Row],[Потери, %]])+Рецепты[[#This Row],[Маржа]]*(Рецепты[[#This Row],[р]]*100%)/(100%-Рецепты[[#This Row],[Потери, %]])</f>
        <v>49.86666666666666</v>
      </c>
      <c r="O205" s="43">
        <f>Рецепты[[#This Row],[Цена за 1 кг]]-(Рецепты[[#This Row],[р]]*100%/(100%-Рецепты[[#This Row],[Потери, %]]))</f>
        <v>20.533333333333328</v>
      </c>
      <c r="P205" s="40" t="s">
        <v>448</v>
      </c>
      <c r="Q205" s="40" t="s">
        <v>449</v>
      </c>
      <c r="R205" s="44" t="str">
        <f>VLOOKUP(Рецепты[[#This Row],[Состав]],Ингредиенты[],9,0)</f>
        <v>Да</v>
      </c>
      <c r="S205" s="52"/>
    </row>
    <row r="206" spans="1:19" x14ac:dyDescent="0.25">
      <c r="A206" s="40" t="s">
        <v>450</v>
      </c>
      <c r="B206" s="40" t="str">
        <f>B204</f>
        <v>Колбаса</v>
      </c>
      <c r="C206" s="40" t="str">
        <f>C204</f>
        <v>Вареное</v>
      </c>
      <c r="D206" s="40" t="s">
        <v>69</v>
      </c>
      <c r="E206" s="41" t="str">
        <f>VLOOKUP(Рецепты[[#This Row],[Состав]],Ингредиенты[],2,0)</f>
        <v>Птица</v>
      </c>
      <c r="F206" s="62">
        <v>0.5</v>
      </c>
      <c r="G206" s="42">
        <f>IF(Рецепты[[#This Row],[%]]*1000&gt;0,Рецепты[[#This Row],[%]]*1000,"")</f>
        <v>500</v>
      </c>
      <c r="H206" s="43">
        <f>IFERROR(VLOOKUP(Рецепты[[#This Row],[Состав]],Ингредиенты!A:I,3,0)*Рецепты[[#This Row],[г]],"")</f>
        <v>139.995</v>
      </c>
      <c r="I206" s="42">
        <f>СводРецепт!$A$1</f>
        <v>1000</v>
      </c>
      <c r="J206" s="42">
        <f>Рецепты[[#This Row],[%]]*Рецепты[[#This Row],[Масса]]</f>
        <v>500</v>
      </c>
      <c r="K206" s="43">
        <f>Рецепты[[#This Row],[Вес ингр-тов]]*VLOOKUP(Рецепты[[#This Row],[Состав]],Ингредиенты[],3,FALSE)</f>
        <v>139.995</v>
      </c>
      <c r="L206" s="41">
        <f>IF(VLOOKUP(Рецепты[[#This Row],[Состав]],Ингредиенты[],4,0)="Основа",VLOOKUP(Рецепты[[#This Row],[Способ]],Способ[],2,0),0%)</f>
        <v>0.15</v>
      </c>
      <c r="M206" s="41">
        <f>VLOOKUP(Рецепты[[#This Row],[Способ]],Способ[],3,0)</f>
        <v>0.7</v>
      </c>
      <c r="N206" s="43">
        <f>Рецепты[[#This Row],[р]]*100%/(100%-Рецепты[[#This Row],[Потери, %]])+Рецепты[[#This Row],[Маржа]]*(Рецепты[[#This Row],[р]]*100%)/(100%-Рецепты[[#This Row],[Потери, %]])</f>
        <v>279.99</v>
      </c>
      <c r="O206" s="43">
        <f>Рецепты[[#This Row],[Цена за 1 кг]]-(Рецепты[[#This Row],[р]]*100%/(100%-Рецепты[[#This Row],[Потери, %]]))</f>
        <v>115.28999999999999</v>
      </c>
      <c r="P206" t="s">
        <v>451</v>
      </c>
      <c r="Q206" s="40" t="s">
        <v>452</v>
      </c>
      <c r="R206" s="44" t="str">
        <f>VLOOKUP(Рецепты[[#This Row],[Состав]],Ингредиенты[],9,0)</f>
        <v>Нет</v>
      </c>
      <c r="S206" s="52"/>
    </row>
    <row r="207" spans="1:19" x14ac:dyDescent="0.25">
      <c r="A207" s="40" t="s">
        <v>450</v>
      </c>
      <c r="B207" s="40" t="str">
        <f t="shared" si="20"/>
        <v>Колбаса</v>
      </c>
      <c r="C207" s="40" t="str">
        <f t="shared" si="21"/>
        <v>Вареное</v>
      </c>
      <c r="D207" s="40" t="s">
        <v>70</v>
      </c>
      <c r="E207" s="41" t="str">
        <f>VLOOKUP(Рецепты[[#This Row],[Состав]],Ингредиенты[],2,0)</f>
        <v>Птица</v>
      </c>
      <c r="F207" s="62">
        <v>0.5</v>
      </c>
      <c r="G207" s="42">
        <f>IF(Рецепты[[#This Row],[%]]*1000&gt;0,Рецепты[[#This Row],[%]]*1000,"")</f>
        <v>500</v>
      </c>
      <c r="H207" s="43">
        <f>IFERROR(VLOOKUP(Рецепты[[#This Row],[Состав]],Ингредиенты!A:I,3,0)*Рецепты[[#This Row],[г]],"")</f>
        <v>130.58823529411765</v>
      </c>
      <c r="I207" s="42">
        <f>СводРецепт!$A$1</f>
        <v>1000</v>
      </c>
      <c r="J207" s="42">
        <f>Рецепты[[#This Row],[%]]*Рецепты[[#This Row],[Масса]]</f>
        <v>500</v>
      </c>
      <c r="K207" s="43">
        <f>Рецепты[[#This Row],[Вес ингр-тов]]*VLOOKUP(Рецепты[[#This Row],[Состав]],Ингредиенты[],3,FALSE)</f>
        <v>130.58823529411765</v>
      </c>
      <c r="L207" s="41">
        <f>IF(VLOOKUP(Рецепты[[#This Row],[Состав]],Ингредиенты[],4,0)="Основа",VLOOKUP(Рецепты[[#This Row],[Способ]],Способ[],2,0),0%)</f>
        <v>0.15</v>
      </c>
      <c r="M207" s="41">
        <f>VLOOKUP(Рецепты[[#This Row],[Способ]],Способ[],3,0)</f>
        <v>0.7</v>
      </c>
      <c r="N207" s="43">
        <f>Рецепты[[#This Row],[р]]*100%/(100%-Рецепты[[#This Row],[Потери, %]])+Рецепты[[#This Row],[Маржа]]*(Рецепты[[#This Row],[р]]*100%)/(100%-Рецепты[[#This Row],[Потери, %]])</f>
        <v>261.1764705882353</v>
      </c>
      <c r="O207" s="43">
        <f>Рецепты[[#This Row],[Цена за 1 кг]]-(Рецепты[[#This Row],[р]]*100%/(100%-Рецепты[[#This Row],[Потери, %]]))</f>
        <v>107.54325259515571</v>
      </c>
      <c r="P207" t="s">
        <v>451</v>
      </c>
      <c r="Q207" s="40" t="s">
        <v>452</v>
      </c>
      <c r="R207" s="44" t="str">
        <f>VLOOKUP(Рецепты[[#This Row],[Состав]],Ингредиенты[],9,0)</f>
        <v>Нет</v>
      </c>
      <c r="S207" s="52"/>
    </row>
    <row r="208" spans="1:19" x14ac:dyDescent="0.25">
      <c r="A208" s="40" t="s">
        <v>450</v>
      </c>
      <c r="B208" s="40" t="str">
        <f t="shared" si="20"/>
        <v>Колбаса</v>
      </c>
      <c r="C208" s="40" t="str">
        <f t="shared" si="21"/>
        <v>Вареное</v>
      </c>
      <c r="D208" s="40" t="s">
        <v>93</v>
      </c>
      <c r="E208" s="41" t="str">
        <f>VLOOKUP(Рецепты[[#This Row],[Состав]],Ингредиенты[],2,0)</f>
        <v>Добавки</v>
      </c>
      <c r="F208" s="62">
        <v>0.13</v>
      </c>
      <c r="G208" s="42">
        <f>IF(Рецепты[[#This Row],[%]]*1000&gt;0,Рецепты[[#This Row],[%]]*1000,"")</f>
        <v>130</v>
      </c>
      <c r="H208" s="43">
        <f>IFERROR(VLOOKUP(Рецепты[[#This Row],[Состав]],Ингредиенты!A:I,3,0)*Рецепты[[#This Row],[г]],"")</f>
        <v>0.13</v>
      </c>
      <c r="I208" s="42">
        <f>СводРецепт!$A$1</f>
        <v>1000</v>
      </c>
      <c r="J208" s="42">
        <f>Рецепты[[#This Row],[%]]*Рецепты[[#This Row],[Масса]]</f>
        <v>130</v>
      </c>
      <c r="K208" s="43">
        <f>Рецепты[[#This Row],[Вес ингр-тов]]*VLOOKUP(Рецепты[[#This Row],[Состав]],Ингредиенты[],3,FALSE)</f>
        <v>0.13</v>
      </c>
      <c r="L208" s="41">
        <f>IF(VLOOKUP(Рецепты[[#This Row],[Состав]],Ингредиенты[],4,0)="Основа",VLOOKUP(Рецепты[[#This Row],[Способ]],Способ[],2,0),0%)</f>
        <v>0</v>
      </c>
      <c r="M208" s="41">
        <f>VLOOKUP(Рецепты[[#This Row],[Способ]],Способ[],3,0)</f>
        <v>0.7</v>
      </c>
      <c r="N208" s="43">
        <f>Рецепты[[#This Row],[р]]*100%/(100%-Рецепты[[#This Row],[Потери, %]])+Рецепты[[#This Row],[Маржа]]*(Рецепты[[#This Row],[р]]*100%)/(100%-Рецепты[[#This Row],[Потери, %]])</f>
        <v>0.221</v>
      </c>
      <c r="O208" s="43">
        <f>Рецепты[[#This Row],[Цена за 1 кг]]-(Рецепты[[#This Row],[р]]*100%/(100%-Рецепты[[#This Row],[Потери, %]]))</f>
        <v>9.0999999999999998E-2</v>
      </c>
      <c r="P208" t="s">
        <v>451</v>
      </c>
      <c r="Q208" s="40" t="s">
        <v>452</v>
      </c>
      <c r="R208" s="44" t="str">
        <f>VLOOKUP(Рецепты[[#This Row],[Состав]],Ингредиенты[],9,0)</f>
        <v>Да</v>
      </c>
      <c r="S208" s="52"/>
    </row>
    <row r="209" spans="1:19" x14ac:dyDescent="0.25">
      <c r="A209" s="40" t="s">
        <v>450</v>
      </c>
      <c r="B209" s="40" t="str">
        <f t="shared" si="20"/>
        <v>Колбаса</v>
      </c>
      <c r="C209" s="40" t="str">
        <f t="shared" si="21"/>
        <v>Вареное</v>
      </c>
      <c r="D209" s="40" t="s">
        <v>125</v>
      </c>
      <c r="E209" s="41" t="str">
        <f>VLOOKUP(Рецепты[[#This Row],[Состав]],Ингредиенты[],2,0)</f>
        <v>Специи</v>
      </c>
      <c r="F209" s="62">
        <v>8.9999999999999993E-3</v>
      </c>
      <c r="G209" s="42">
        <f>IF(Рецепты[[#This Row],[%]]*1000&gt;0,Рецепты[[#This Row],[%]]*1000,"")</f>
        <v>9</v>
      </c>
      <c r="H209" s="43">
        <f>IFERROR(VLOOKUP(Рецепты[[#This Row],[Состав]],Ингредиенты!A:I,3,0)*Рецепты[[#This Row],[г]],"")</f>
        <v>1.1520000000000001</v>
      </c>
      <c r="I209" s="42">
        <f>СводРецепт!$A$1</f>
        <v>1000</v>
      </c>
      <c r="J209" s="42">
        <f>Рецепты[[#This Row],[%]]*Рецепты[[#This Row],[Масса]]</f>
        <v>9</v>
      </c>
      <c r="K209" s="43">
        <f>Рецепты[[#This Row],[Вес ингр-тов]]*VLOOKUP(Рецепты[[#This Row],[Состав]],Ингредиенты[],3,FALSE)</f>
        <v>1.1520000000000001</v>
      </c>
      <c r="L209" s="41">
        <f>IF(VLOOKUP(Рецепты[[#This Row],[Состав]],Ингредиенты[],4,0)="Основа",VLOOKUP(Рецепты[[#This Row],[Способ]],Способ[],2,0),0%)</f>
        <v>0</v>
      </c>
      <c r="M209" s="41">
        <f>VLOOKUP(Рецепты[[#This Row],[Способ]],Способ[],3,0)</f>
        <v>0.7</v>
      </c>
      <c r="N209" s="43">
        <f>Рецепты[[#This Row],[р]]*100%/(100%-Рецепты[[#This Row],[Потери, %]])+Рецепты[[#This Row],[Маржа]]*(Рецепты[[#This Row],[р]]*100%)/(100%-Рецепты[[#This Row],[Потери, %]])</f>
        <v>1.9584000000000001</v>
      </c>
      <c r="O209" s="43">
        <f>Рецепты[[#This Row],[Цена за 1 кг]]-(Рецепты[[#This Row],[р]]*100%/(100%-Рецепты[[#This Row],[Потери, %]]))</f>
        <v>0.80640000000000001</v>
      </c>
      <c r="P209" t="s">
        <v>451</v>
      </c>
      <c r="Q209" s="40" t="s">
        <v>452</v>
      </c>
      <c r="R209" s="44" t="str">
        <f>VLOOKUP(Рецепты[[#This Row],[Состав]],Ингредиенты[],9,0)</f>
        <v>Да</v>
      </c>
      <c r="S209" s="52"/>
    </row>
    <row r="210" spans="1:19" x14ac:dyDescent="0.25">
      <c r="A210" s="40" t="s">
        <v>450</v>
      </c>
      <c r="B210" s="40" t="str">
        <f t="shared" si="20"/>
        <v>Колбаса</v>
      </c>
      <c r="C210" s="40" t="str">
        <f t="shared" si="21"/>
        <v>Вареное</v>
      </c>
      <c r="D210" s="40" t="s">
        <v>128</v>
      </c>
      <c r="E210" s="41" t="str">
        <f>VLOOKUP(Рецепты[[#This Row],[Состав]],Ингредиенты[],2,0)</f>
        <v>Специи</v>
      </c>
      <c r="F210" s="62">
        <v>8.9999999999999993E-3</v>
      </c>
      <c r="G210" s="42">
        <f>IF(Рецепты[[#This Row],[%]]*1000&gt;0,Рецепты[[#This Row],[%]]*1000,"")</f>
        <v>9</v>
      </c>
      <c r="H210" s="43">
        <f>IFERROR(VLOOKUP(Рецепты[[#This Row],[Состав]],Ингредиенты!A:I,3,0)*Рецепты[[#This Row],[г]],"")</f>
        <v>0.34649999999999997</v>
      </c>
      <c r="I210" s="42">
        <f>СводРецепт!$A$1</f>
        <v>1000</v>
      </c>
      <c r="J210" s="42">
        <f>Рецепты[[#This Row],[%]]*Рецепты[[#This Row],[Масса]]</f>
        <v>9</v>
      </c>
      <c r="K210" s="43">
        <f>Рецепты[[#This Row],[Вес ингр-тов]]*VLOOKUP(Рецепты[[#This Row],[Состав]],Ингредиенты[],3,FALSE)</f>
        <v>0.34649999999999997</v>
      </c>
      <c r="L210" s="41">
        <f>IF(VLOOKUP(Рецепты[[#This Row],[Состав]],Ингредиенты[],4,0)="Основа",VLOOKUP(Рецепты[[#This Row],[Способ]],Способ[],2,0),0%)</f>
        <v>0</v>
      </c>
      <c r="M210" s="41">
        <f>VLOOKUP(Рецепты[[#This Row],[Способ]],Способ[],3,0)</f>
        <v>0.7</v>
      </c>
      <c r="N210" s="43">
        <f>Рецепты[[#This Row],[р]]*100%/(100%-Рецепты[[#This Row],[Потери, %]])+Рецепты[[#This Row],[Маржа]]*(Рецепты[[#This Row],[р]]*100%)/(100%-Рецепты[[#This Row],[Потери, %]])</f>
        <v>0.58904999999999996</v>
      </c>
      <c r="O210" s="43">
        <f>Рецепты[[#This Row],[Цена за 1 кг]]-(Рецепты[[#This Row],[р]]*100%/(100%-Рецепты[[#This Row],[Потери, %]]))</f>
        <v>0.24254999999999999</v>
      </c>
      <c r="P210" t="s">
        <v>451</v>
      </c>
      <c r="Q210" s="40" t="s">
        <v>452</v>
      </c>
      <c r="R210" s="44" t="str">
        <f>VLOOKUP(Рецепты[[#This Row],[Состав]],Ингредиенты[],9,0)</f>
        <v>Да</v>
      </c>
      <c r="S210" s="52"/>
    </row>
    <row r="211" spans="1:19" x14ac:dyDescent="0.25">
      <c r="A211" s="40" t="s">
        <v>450</v>
      </c>
      <c r="B211" s="40" t="str">
        <f t="shared" si="20"/>
        <v>Колбаса</v>
      </c>
      <c r="C211" s="40" t="str">
        <f t="shared" si="21"/>
        <v>Вареное</v>
      </c>
      <c r="D211" s="40" t="s">
        <v>131</v>
      </c>
      <c r="E211" s="41" t="str">
        <f>VLOOKUP(Рецепты[[#This Row],[Состав]],Ингредиенты[],2,0)</f>
        <v>Специи</v>
      </c>
      <c r="F211" s="62">
        <v>2E-3</v>
      </c>
      <c r="G211" s="42">
        <f>IF(Рецепты[[#This Row],[%]]*1000&gt;0,Рецепты[[#This Row],[%]]*1000,"")</f>
        <v>2</v>
      </c>
      <c r="H211" s="43">
        <f>IFERROR(VLOOKUP(Рецепты[[#This Row],[Состав]],Ингредиенты!A:I,3,0)*Рецепты[[#This Row],[г]],"")</f>
        <v>0.16176470588235295</v>
      </c>
      <c r="I211" s="42">
        <f>СводРецепт!$A$1</f>
        <v>1000</v>
      </c>
      <c r="J211" s="42">
        <f>Рецепты[[#This Row],[%]]*Рецепты[[#This Row],[Масса]]</f>
        <v>2</v>
      </c>
      <c r="K211" s="43">
        <f>Рецепты[[#This Row],[Вес ингр-тов]]*VLOOKUP(Рецепты[[#This Row],[Состав]],Ингредиенты[],3,FALSE)</f>
        <v>0.16176470588235295</v>
      </c>
      <c r="L211" s="41">
        <f>IF(VLOOKUP(Рецепты[[#This Row],[Состав]],Ингредиенты[],4,0)="Основа",VLOOKUP(Рецепты[[#This Row],[Способ]],Способ[],2,0),0%)</f>
        <v>0</v>
      </c>
      <c r="M211" s="41">
        <f>VLOOKUP(Рецепты[[#This Row],[Способ]],Способ[],3,0)</f>
        <v>0.7</v>
      </c>
      <c r="N211" s="43">
        <f>Рецепты[[#This Row],[р]]*100%/(100%-Рецепты[[#This Row],[Потери, %]])+Рецепты[[#This Row],[Маржа]]*(Рецепты[[#This Row],[р]]*100%)/(100%-Рецепты[[#This Row],[Потери, %]])</f>
        <v>0.27500000000000002</v>
      </c>
      <c r="O211" s="43">
        <f>Рецепты[[#This Row],[Цена за 1 кг]]-(Рецепты[[#This Row],[р]]*100%/(100%-Рецепты[[#This Row],[Потери, %]]))</f>
        <v>0.11323529411764707</v>
      </c>
      <c r="P211" t="s">
        <v>451</v>
      </c>
      <c r="Q211" s="40" t="s">
        <v>452</v>
      </c>
      <c r="R211" s="44" t="str">
        <f>VLOOKUP(Рецепты[[#This Row],[Состав]],Ингредиенты[],9,0)</f>
        <v>Да</v>
      </c>
      <c r="S211" s="52"/>
    </row>
    <row r="212" spans="1:19" x14ac:dyDescent="0.25">
      <c r="A212" s="40" t="s">
        <v>450</v>
      </c>
      <c r="B212" s="40" t="str">
        <f t="shared" si="20"/>
        <v>Колбаса</v>
      </c>
      <c r="C212" s="40" t="str">
        <f t="shared" si="21"/>
        <v>Вареное</v>
      </c>
      <c r="D212" s="40" t="s">
        <v>133</v>
      </c>
      <c r="E212" s="41" t="str">
        <f>VLOOKUP(Рецепты[[#This Row],[Состав]],Ингредиенты[],2,0)</f>
        <v>Специи</v>
      </c>
      <c r="F212" s="62">
        <v>1E-3</v>
      </c>
      <c r="G212" s="42">
        <f>IF(Рецепты[[#This Row],[%]]*1000&gt;0,Рецепты[[#This Row],[%]]*1000,"")</f>
        <v>1</v>
      </c>
      <c r="H212" s="43">
        <f>IFERROR(VLOOKUP(Рецепты[[#This Row],[Состав]],Ингредиенты!A:I,3,0)*Рецепты[[#This Row],[г]],"")</f>
        <v>1.0945454545454545</v>
      </c>
      <c r="I212" s="42">
        <f>СводРецепт!$A$1</f>
        <v>1000</v>
      </c>
      <c r="J212" s="42">
        <f>Рецепты[[#This Row],[%]]*Рецепты[[#This Row],[Масса]]</f>
        <v>1</v>
      </c>
      <c r="K212" s="43">
        <f>Рецепты[[#This Row],[Вес ингр-тов]]*VLOOKUP(Рецепты[[#This Row],[Состав]],Ингредиенты[],3,FALSE)</f>
        <v>1.0945454545454545</v>
      </c>
      <c r="L212" s="41">
        <f>IF(VLOOKUP(Рецепты[[#This Row],[Состав]],Ингредиенты[],4,0)="Основа",VLOOKUP(Рецепты[[#This Row],[Способ]],Способ[],2,0),0%)</f>
        <v>0</v>
      </c>
      <c r="M212" s="41">
        <f>VLOOKUP(Рецепты[[#This Row],[Способ]],Способ[],3,0)</f>
        <v>0.7</v>
      </c>
      <c r="N212" s="43">
        <f>Рецепты[[#This Row],[р]]*100%/(100%-Рецепты[[#This Row],[Потери, %]])+Рецепты[[#This Row],[Маржа]]*(Рецепты[[#This Row],[р]]*100%)/(100%-Рецепты[[#This Row],[Потери, %]])</f>
        <v>1.8607272727272726</v>
      </c>
      <c r="O212" s="43">
        <f>Рецепты[[#This Row],[Цена за 1 кг]]-(Рецепты[[#This Row],[р]]*100%/(100%-Рецепты[[#This Row],[Потери, %]]))</f>
        <v>0.76618181818181808</v>
      </c>
      <c r="P212" t="s">
        <v>451</v>
      </c>
      <c r="Q212" s="40" t="s">
        <v>452</v>
      </c>
      <c r="R212" s="44" t="str">
        <f>VLOOKUP(Рецепты[[#This Row],[Состав]],Ингредиенты[],9,0)</f>
        <v>Да</v>
      </c>
      <c r="S212" s="52"/>
    </row>
    <row r="213" spans="1:19" x14ac:dyDescent="0.25">
      <c r="A213" s="40" t="s">
        <v>450</v>
      </c>
      <c r="B213" s="40" t="str">
        <f t="shared" si="20"/>
        <v>Колбаса</v>
      </c>
      <c r="C213" s="40" t="str">
        <f t="shared" si="21"/>
        <v>Вареное</v>
      </c>
      <c r="D213" s="40" t="s">
        <v>151</v>
      </c>
      <c r="E213" s="41" t="str">
        <f>VLOOKUP(Рецепты[[#This Row],[Состав]],Ингредиенты[],2,0)</f>
        <v>Специи</v>
      </c>
      <c r="F213" s="62">
        <v>1.5E-3</v>
      </c>
      <c r="G213" s="42">
        <f>IF(Рецепты[[#This Row],[%]]*1000&gt;0,Рецепты[[#This Row],[%]]*1000,"")</f>
        <v>1.5</v>
      </c>
      <c r="H213" s="43">
        <f>IFERROR(VLOOKUP(Рецепты[[#This Row],[Состав]],Ингредиенты!A:I,3,0)*Рецепты[[#This Row],[г]],"")</f>
        <v>1.3174999999999999</v>
      </c>
      <c r="I213" s="42">
        <f>СводРецепт!$A$1</f>
        <v>1000</v>
      </c>
      <c r="J213" s="42">
        <f>Рецепты[[#This Row],[%]]*Рецепты[[#This Row],[Масса]]</f>
        <v>1.5</v>
      </c>
      <c r="K213" s="43">
        <f>Рецепты[[#This Row],[Вес ингр-тов]]*VLOOKUP(Рецепты[[#This Row],[Состав]],Ингредиенты[],3,FALSE)</f>
        <v>1.3174999999999999</v>
      </c>
      <c r="L213" s="41">
        <f>IF(VLOOKUP(Рецепты[[#This Row],[Состав]],Ингредиенты[],4,0)="Основа",VLOOKUP(Рецепты[[#This Row],[Способ]],Способ[],2,0),0%)</f>
        <v>0</v>
      </c>
      <c r="M213" s="41">
        <f>VLOOKUP(Рецепты[[#This Row],[Способ]],Способ[],3,0)</f>
        <v>0.7</v>
      </c>
      <c r="N213" s="43">
        <f>Рецепты[[#This Row],[р]]*100%/(100%-Рецепты[[#This Row],[Потери, %]])+Рецепты[[#This Row],[Маржа]]*(Рецепты[[#This Row],[р]]*100%)/(100%-Рецепты[[#This Row],[Потери, %]])</f>
        <v>2.2397499999999999</v>
      </c>
      <c r="O213" s="43">
        <f>Рецепты[[#This Row],[Цена за 1 кг]]-(Рецепты[[#This Row],[р]]*100%/(100%-Рецепты[[#This Row],[Потери, %]]))</f>
        <v>0.92225000000000001</v>
      </c>
      <c r="P213" t="s">
        <v>451</v>
      </c>
      <c r="Q213" s="40" t="s">
        <v>452</v>
      </c>
      <c r="R213" s="44" t="str">
        <f>VLOOKUP(Рецепты[[#This Row],[Состав]],Ингредиенты[],9,0)</f>
        <v>Да</v>
      </c>
      <c r="S213" s="52"/>
    </row>
    <row r="214" spans="1:19" x14ac:dyDescent="0.25">
      <c r="A214" s="40" t="s">
        <v>450</v>
      </c>
      <c r="B214" s="40" t="str">
        <f t="shared" si="20"/>
        <v>Колбаса</v>
      </c>
      <c r="C214" s="40" t="str">
        <f t="shared" si="21"/>
        <v>Вареное</v>
      </c>
      <c r="D214" s="40" t="s">
        <v>149</v>
      </c>
      <c r="E214" s="41" t="str">
        <f>VLOOKUP(Рецепты[[#This Row],[Состав]],Ингредиенты[],2,0)</f>
        <v>Специи</v>
      </c>
      <c r="F214" s="62">
        <v>6.9999999999999999E-4</v>
      </c>
      <c r="G214" s="42">
        <f>IF(Рецепты[[#This Row],[%]]*1000&gt;0,Рецепты[[#This Row],[%]]*1000,"")</f>
        <v>0.7</v>
      </c>
      <c r="H214" s="43">
        <f>IFERROR(VLOOKUP(Рецепты[[#This Row],[Состав]],Ингредиенты!A:I,3,0)*Рецепты[[#This Row],[г]],"")</f>
        <v>1.4540909090909089</v>
      </c>
      <c r="I214" s="42">
        <f>СводРецепт!$A$1</f>
        <v>1000</v>
      </c>
      <c r="J214" s="42">
        <f>Рецепты[[#This Row],[%]]*Рецепты[[#This Row],[Масса]]</f>
        <v>0.7</v>
      </c>
      <c r="K214" s="43">
        <f>Рецепты[[#This Row],[Вес ингр-тов]]*VLOOKUP(Рецепты[[#This Row],[Состав]],Ингредиенты[],3,FALSE)</f>
        <v>1.4540909090909089</v>
      </c>
      <c r="L214" s="41">
        <f>IF(VLOOKUP(Рецепты[[#This Row],[Состав]],Ингредиенты[],4,0)="Основа",VLOOKUP(Рецепты[[#This Row],[Способ]],Способ[],2,0),0%)</f>
        <v>0</v>
      </c>
      <c r="M214" s="41">
        <f>VLOOKUP(Рецепты[[#This Row],[Способ]],Способ[],3,0)</f>
        <v>0.7</v>
      </c>
      <c r="N214" s="43">
        <f>Рецепты[[#This Row],[р]]*100%/(100%-Рецепты[[#This Row],[Потери, %]])+Рецепты[[#This Row],[Маржа]]*(Рецепты[[#This Row],[р]]*100%)/(100%-Рецепты[[#This Row],[Потери, %]])</f>
        <v>2.4719545454545448</v>
      </c>
      <c r="O214" s="43">
        <f>Рецепты[[#This Row],[Цена за 1 кг]]-(Рецепты[[#This Row],[р]]*100%/(100%-Рецепты[[#This Row],[Потери, %]]))</f>
        <v>1.017863636363636</v>
      </c>
      <c r="P214" t="s">
        <v>451</v>
      </c>
      <c r="Q214" s="40" t="s">
        <v>452</v>
      </c>
      <c r="R214" s="44" t="str">
        <f>VLOOKUP(Рецепты[[#This Row],[Состав]],Ингредиенты[],9,0)</f>
        <v>Да</v>
      </c>
      <c r="S214" s="52"/>
    </row>
    <row r="215" spans="1:19" x14ac:dyDescent="0.25">
      <c r="A215" s="40" t="s">
        <v>450</v>
      </c>
      <c r="B215" s="40" t="str">
        <f t="shared" si="20"/>
        <v>Колбаса</v>
      </c>
      <c r="C215" s="40" t="str">
        <f t="shared" si="21"/>
        <v>Вареное</v>
      </c>
      <c r="D215" s="40" t="s">
        <v>157</v>
      </c>
      <c r="E215" s="41" t="str">
        <f>VLOOKUP(Рецепты[[#This Row],[Состав]],Ингредиенты[],2,0)</f>
        <v>Специи</v>
      </c>
      <c r="F215" s="62">
        <v>3.0000000000000001E-3</v>
      </c>
      <c r="G215" s="42">
        <f>IF(Рецепты[[#This Row],[%]]*1000&gt;0,Рецепты[[#This Row],[%]]*1000,"")</f>
        <v>3</v>
      </c>
      <c r="H215" s="43">
        <f>IFERROR(VLOOKUP(Рецепты[[#This Row],[Состав]],Ингредиенты!A:I,3,0)*Рецепты[[#This Row],[г]],"")</f>
        <v>2.2439999999999998</v>
      </c>
      <c r="I215" s="42">
        <f>СводРецепт!$A$1</f>
        <v>1000</v>
      </c>
      <c r="J215" s="42">
        <f>Рецепты[[#This Row],[%]]*Рецепты[[#This Row],[Масса]]</f>
        <v>3</v>
      </c>
      <c r="K215" s="43">
        <f>Рецепты[[#This Row],[Вес ингр-тов]]*VLOOKUP(Рецепты[[#This Row],[Состав]],Ингредиенты[],3,FALSE)</f>
        <v>2.2439999999999998</v>
      </c>
      <c r="L215" s="41">
        <f>IF(VLOOKUP(Рецепты[[#This Row],[Состав]],Ингредиенты[],4,0)="Основа",VLOOKUP(Рецепты[[#This Row],[Способ]],Способ[],2,0),0%)</f>
        <v>0</v>
      </c>
      <c r="M215" s="41">
        <f>VLOOKUP(Рецепты[[#This Row],[Способ]],Способ[],3,0)</f>
        <v>0.7</v>
      </c>
      <c r="N215" s="43">
        <f>Рецепты[[#This Row],[р]]*100%/(100%-Рецепты[[#This Row],[Потери, %]])+Рецепты[[#This Row],[Маржа]]*(Рецепты[[#This Row],[р]]*100%)/(100%-Рецепты[[#This Row],[Потери, %]])</f>
        <v>3.8147999999999995</v>
      </c>
      <c r="O215" s="43">
        <f>Рецепты[[#This Row],[Цена за 1 кг]]-(Рецепты[[#This Row],[р]]*100%/(100%-Рецепты[[#This Row],[Потери, %]]))</f>
        <v>1.5707999999999998</v>
      </c>
      <c r="P215" t="s">
        <v>451</v>
      </c>
      <c r="Q215" s="40" t="s">
        <v>452</v>
      </c>
      <c r="R215" s="44" t="str">
        <f>VLOOKUP(Рецепты[[#This Row],[Состав]],Ингредиенты[],9,0)</f>
        <v>Да</v>
      </c>
      <c r="S215" s="52"/>
    </row>
    <row r="216" spans="1:19" x14ac:dyDescent="0.25">
      <c r="A216" s="40" t="s">
        <v>450</v>
      </c>
      <c r="B216" s="40" t="str">
        <f>B215</f>
        <v>Колбаса</v>
      </c>
      <c r="C216" s="40" t="str">
        <f>C215</f>
        <v>Вареное</v>
      </c>
      <c r="D216" s="40" t="s">
        <v>214</v>
      </c>
      <c r="E216" s="41" t="str">
        <f>VLOOKUP(Рецепты[[#This Row],[Состав]],Ингредиенты[],2,0)</f>
        <v>Оболочка</v>
      </c>
      <c r="F216" s="62">
        <v>1E-3</v>
      </c>
      <c r="G216" s="42">
        <f>IF(Рецепты[[#This Row],[%]]*1000&gt;0,Рецепты[[#This Row],[%]]*1000,"")</f>
        <v>1</v>
      </c>
      <c r="H216" s="43">
        <f>IFERROR(VLOOKUP(Рецепты[[#This Row],[Состав]],Ингредиенты!A:I,3,0)*Рецепты[[#This Row],[г]],"")</f>
        <v>9.7374533266692147</v>
      </c>
      <c r="I216" s="42">
        <f>СводРецепт!$A$1</f>
        <v>1000</v>
      </c>
      <c r="J216" s="42">
        <f>Рецепты[[#This Row],[%]]*Рецепты[[#This Row],[Масса]]</f>
        <v>1</v>
      </c>
      <c r="K216" s="43">
        <f>Рецепты[[#This Row],[Вес ингр-тов]]*VLOOKUP(Рецепты[[#This Row],[Состав]],Ингредиенты[],3,FALSE)</f>
        <v>9.7374533266692147</v>
      </c>
      <c r="L216" s="41">
        <f>IF(VLOOKUP(Рецепты[[#This Row],[Состав]],Ингредиенты[],4,0)="Основа",VLOOKUP(Рецепты[[#This Row],[Способ]],Способ[],2,0),0%)</f>
        <v>0</v>
      </c>
      <c r="M216" s="41">
        <f>VLOOKUP(Рецепты[[#This Row],[Способ]],Способ[],3,0)</f>
        <v>0.7</v>
      </c>
      <c r="N216" s="43">
        <f>Рецепты[[#This Row],[р]]*100%/(100%-Рецепты[[#This Row],[Потери, %]])+Рецепты[[#This Row],[Маржа]]*(Рецепты[[#This Row],[р]]*100%)/(100%-Рецепты[[#This Row],[Потери, %]])</f>
        <v>16.553670655337665</v>
      </c>
      <c r="O216" s="43">
        <f>Рецепты[[#This Row],[Цена за 1 кг]]-(Рецепты[[#This Row],[р]]*100%/(100%-Рецепты[[#This Row],[Потери, %]]))</f>
        <v>6.8162173286684506</v>
      </c>
      <c r="P216" t="s">
        <v>451</v>
      </c>
      <c r="Q216" s="40" t="s">
        <v>452</v>
      </c>
      <c r="R216" s="44" t="str">
        <f>VLOOKUP(Рецепты[[#This Row],[Состав]],Ингредиенты[],9,0)</f>
        <v>Да</v>
      </c>
      <c r="S216" s="52"/>
    </row>
    <row r="217" spans="1:19" x14ac:dyDescent="0.25">
      <c r="A217" s="40" t="s">
        <v>453</v>
      </c>
      <c r="B217" s="40" t="s">
        <v>17</v>
      </c>
      <c r="C217" s="40" t="s">
        <v>27</v>
      </c>
      <c r="D217" s="40" t="s">
        <v>54</v>
      </c>
      <c r="E217" s="41" t="str">
        <f>VLOOKUP(Рецепты[[#This Row],[Состав]],Ингредиенты[],2,0)</f>
        <v>Свинина</v>
      </c>
      <c r="F217" s="62">
        <v>1</v>
      </c>
      <c r="G217" s="42">
        <f>IF(Рецепты[[#This Row],[%]]*1000&gt;0,Рецепты[[#This Row],[%]]*1000,"")</f>
        <v>1000</v>
      </c>
      <c r="H217" s="43">
        <f>IFERROR(VLOOKUP(Рецепты[[#This Row],[Состав]],Ингредиенты!A:I,3,0)*Рецепты[[#This Row],[г]],"")</f>
        <v>429.99</v>
      </c>
      <c r="I217" s="42">
        <f>СводРецепт!$A$1</f>
        <v>1000</v>
      </c>
      <c r="J217" s="42">
        <f>Рецепты[[#This Row],[%]]*Рецепты[[#This Row],[Масса]]</f>
        <v>1000</v>
      </c>
      <c r="K217" s="43">
        <f>Рецепты[[#This Row],[Вес ингр-тов]]*VLOOKUP(Рецепты[[#This Row],[Состав]],Ингредиенты[],3,FALSE)</f>
        <v>429.99</v>
      </c>
      <c r="L217" s="41">
        <f>IF(VLOOKUP(Рецепты[[#This Row],[Состав]],Ингредиенты[],4,0)="Основа",VLOOKUP(Рецепты[[#This Row],[Способ]],Способ[],2,0),0%)</f>
        <v>0.35</v>
      </c>
      <c r="M217" s="41">
        <f>VLOOKUP(Рецепты[[#This Row],[Способ]],Способ[],3,0)</f>
        <v>2</v>
      </c>
      <c r="N217" s="43">
        <f>Рецепты[[#This Row],[р]]*100%/(100%-Рецепты[[#This Row],[Потери, %]])+Рецепты[[#This Row],[Маржа]]*(Рецепты[[#This Row],[р]]*100%)/(100%-Рецепты[[#This Row],[Потери, %]])</f>
        <v>1984.5692307692307</v>
      </c>
      <c r="O217" s="43">
        <f>Рецепты[[#This Row],[Цена за 1 кг]]-(Рецепты[[#This Row],[р]]*100%/(100%-Рецепты[[#This Row],[Потери, %]]))</f>
        <v>1323.0461538461536</v>
      </c>
      <c r="P217" s="40" t="s">
        <v>454</v>
      </c>
      <c r="Q217" s="40" t="s">
        <v>455</v>
      </c>
      <c r="R217" s="44" t="str">
        <f>VLOOKUP(Рецепты[[#This Row],[Состав]],Ингредиенты[],9,0)</f>
        <v>Нет</v>
      </c>
      <c r="S217" s="52"/>
    </row>
    <row r="218" spans="1:19" x14ac:dyDescent="0.25">
      <c r="A218" s="40" t="s">
        <v>453</v>
      </c>
      <c r="B218" s="40" t="str">
        <f t="shared" ref="B218:C222" si="22">B217</f>
        <v>Цельное</v>
      </c>
      <c r="C218" s="40" t="str">
        <f t="shared" si="22"/>
        <v>Сыровяленное</v>
      </c>
      <c r="D218" s="40" t="s">
        <v>125</v>
      </c>
      <c r="E218" s="41" t="str">
        <f>VLOOKUP(Рецепты[[#This Row],[Состав]],Ингредиенты[],2,0)</f>
        <v>Специи</v>
      </c>
      <c r="F218" s="62">
        <v>2.1999999999999999E-2</v>
      </c>
      <c r="G218" s="42">
        <f>IF(Рецепты[[#This Row],[%]]*1000&gt;0,Рецепты[[#This Row],[%]]*1000,"")</f>
        <v>22</v>
      </c>
      <c r="H218" s="43">
        <f>IFERROR(VLOOKUP(Рецепты[[#This Row],[Состав]],Ингредиенты!A:I,3,0)*Рецепты[[#This Row],[г]],"")</f>
        <v>2.8159999999999998</v>
      </c>
      <c r="I218" s="42">
        <f>СводРецепт!$A$1</f>
        <v>1000</v>
      </c>
      <c r="J218" s="42">
        <f>Рецепты[[#This Row],[%]]*Рецепты[[#This Row],[Масса]]</f>
        <v>22</v>
      </c>
      <c r="K218" s="43">
        <f>Рецепты[[#This Row],[Вес ингр-тов]]*VLOOKUP(Рецепты[[#This Row],[Состав]],Ингредиенты[],3,FALSE)</f>
        <v>2.8159999999999998</v>
      </c>
      <c r="L218" s="41">
        <f>IF(VLOOKUP(Рецепты[[#This Row],[Состав]],Ингредиенты[],4,0)="Основа",VLOOKUP(Рецепты[[#This Row],[Способ]],Способ[],2,0),0%)</f>
        <v>0</v>
      </c>
      <c r="M218" s="41">
        <f>VLOOKUP(Рецепты[[#This Row],[Способ]],Способ[],3,0)</f>
        <v>2</v>
      </c>
      <c r="N218" s="43">
        <f>Рецепты[[#This Row],[р]]*100%/(100%-Рецепты[[#This Row],[Потери, %]])+Рецепты[[#This Row],[Маржа]]*(Рецепты[[#This Row],[р]]*100%)/(100%-Рецепты[[#This Row],[Потери, %]])</f>
        <v>8.4480000000000004</v>
      </c>
      <c r="O218" s="43">
        <f>Рецепты[[#This Row],[Цена за 1 кг]]-(Рецепты[[#This Row],[р]]*100%/(100%-Рецепты[[#This Row],[Потери, %]]))</f>
        <v>5.6320000000000006</v>
      </c>
      <c r="P218" s="40" t="s">
        <v>456</v>
      </c>
      <c r="Q218" s="40" t="s">
        <v>457</v>
      </c>
      <c r="R218" s="44" t="str">
        <f>VLOOKUP(Рецепты[[#This Row],[Состав]],Ингредиенты[],9,0)</f>
        <v>Да</v>
      </c>
      <c r="S218" s="52"/>
    </row>
    <row r="219" spans="1:19" x14ac:dyDescent="0.25">
      <c r="A219" s="40" t="s">
        <v>453</v>
      </c>
      <c r="B219" s="40" t="str">
        <f t="shared" si="22"/>
        <v>Цельное</v>
      </c>
      <c r="C219" s="40" t="str">
        <f t="shared" si="22"/>
        <v>Сыровяленное</v>
      </c>
      <c r="D219" s="40" t="s">
        <v>133</v>
      </c>
      <c r="E219" s="41" t="str">
        <f>VLOOKUP(Рецепты[[#This Row],[Состав]],Ингредиенты[],2,0)</f>
        <v>Специи</v>
      </c>
      <c r="F219" s="62">
        <v>7.0000000000000001E-3</v>
      </c>
      <c r="G219" s="42">
        <f>IF(Рецепты[[#This Row],[%]]*1000&gt;0,Рецепты[[#This Row],[%]]*1000,"")</f>
        <v>7</v>
      </c>
      <c r="H219" s="43">
        <f>IFERROR(VLOOKUP(Рецепты[[#This Row],[Состав]],Ингредиенты!A:I,3,0)*Рецепты[[#This Row],[г]],"")</f>
        <v>7.6618181818181812</v>
      </c>
      <c r="I219" s="42">
        <f>СводРецепт!$A$1</f>
        <v>1000</v>
      </c>
      <c r="J219" s="42">
        <f>Рецепты[[#This Row],[%]]*Рецепты[[#This Row],[Масса]]</f>
        <v>7</v>
      </c>
      <c r="K219" s="43">
        <f>Рецепты[[#This Row],[Вес ингр-тов]]*VLOOKUP(Рецепты[[#This Row],[Состав]],Ингредиенты[],3,FALSE)</f>
        <v>7.6618181818181812</v>
      </c>
      <c r="L219" s="41">
        <f>IF(VLOOKUP(Рецепты[[#This Row],[Состав]],Ингредиенты[],4,0)="Основа",VLOOKUP(Рецепты[[#This Row],[Способ]],Способ[],2,0),0%)</f>
        <v>0</v>
      </c>
      <c r="M219" s="41">
        <f>VLOOKUP(Рецепты[[#This Row],[Способ]],Способ[],3,0)</f>
        <v>2</v>
      </c>
      <c r="N219" s="43">
        <f>Рецепты[[#This Row],[р]]*100%/(100%-Рецепты[[#This Row],[Потери, %]])+Рецепты[[#This Row],[Маржа]]*(Рецепты[[#This Row],[р]]*100%)/(100%-Рецепты[[#This Row],[Потери, %]])</f>
        <v>22.985454545454544</v>
      </c>
      <c r="O219" s="43">
        <f>Рецепты[[#This Row],[Цена за 1 кг]]-(Рецепты[[#This Row],[р]]*100%/(100%-Рецепты[[#This Row],[Потери, %]]))</f>
        <v>15.323636363636364</v>
      </c>
      <c r="P219" s="40" t="s">
        <v>456</v>
      </c>
      <c r="Q219" s="40" t="s">
        <v>458</v>
      </c>
      <c r="R219" s="44" t="str">
        <f>VLOOKUP(Рецепты[[#This Row],[Состав]],Ингредиенты[],9,0)</f>
        <v>Да</v>
      </c>
      <c r="S219" s="52"/>
    </row>
    <row r="220" spans="1:19" x14ac:dyDescent="0.25">
      <c r="A220" s="40" t="s">
        <v>453</v>
      </c>
      <c r="B220" s="40" t="str">
        <f t="shared" si="22"/>
        <v>Цельное</v>
      </c>
      <c r="C220" s="40" t="str">
        <f t="shared" si="22"/>
        <v>Сыровяленное</v>
      </c>
      <c r="D220" s="40" t="s">
        <v>167</v>
      </c>
      <c r="E220" s="41" t="str">
        <f>VLOOKUP(Рецепты[[#This Row],[Состав]],Ингредиенты[],2,0)</f>
        <v>Специи</v>
      </c>
      <c r="F220" s="62">
        <v>5.0000000000000001E-4</v>
      </c>
      <c r="G220" s="42">
        <f>IF(Рецепты[[#This Row],[%]]*1000&gt;0,Рецепты[[#This Row],[%]]*1000,"")</f>
        <v>0.5</v>
      </c>
      <c r="H220" s="43">
        <f>IFERROR(VLOOKUP(Рецепты[[#This Row],[Состав]],Ингредиенты!A:I,3,0)*Рецепты[[#This Row],[г]],"")</f>
        <v>1.3966666666666667</v>
      </c>
      <c r="I220" s="42">
        <f>СводРецепт!$A$1</f>
        <v>1000</v>
      </c>
      <c r="J220" s="42">
        <f>Рецепты[[#This Row],[%]]*Рецепты[[#This Row],[Масса]]</f>
        <v>0.5</v>
      </c>
      <c r="K220" s="43">
        <f>Рецепты[[#This Row],[Вес ингр-тов]]*VLOOKUP(Рецепты[[#This Row],[Состав]],Ингредиенты[],3,FALSE)</f>
        <v>1.3966666666666667</v>
      </c>
      <c r="L220" s="41">
        <f>IF(VLOOKUP(Рецепты[[#This Row],[Состав]],Ингредиенты[],4,0)="Основа",VLOOKUP(Рецепты[[#This Row],[Способ]],Способ[],2,0),0%)</f>
        <v>0</v>
      </c>
      <c r="M220" s="41">
        <f>VLOOKUP(Рецепты[[#This Row],[Способ]],Способ[],3,0)</f>
        <v>2</v>
      </c>
      <c r="N220" s="43">
        <f>Рецепты[[#This Row],[р]]*100%/(100%-Рецепты[[#This Row],[Потери, %]])+Рецепты[[#This Row],[Маржа]]*(Рецепты[[#This Row],[р]]*100%)/(100%-Рецепты[[#This Row],[Потери, %]])</f>
        <v>4.1900000000000004</v>
      </c>
      <c r="O220" s="43">
        <f>Рецепты[[#This Row],[Цена за 1 кг]]-(Рецепты[[#This Row],[р]]*100%/(100%-Рецепты[[#This Row],[Потери, %]]))</f>
        <v>2.7933333333333339</v>
      </c>
      <c r="P220" s="40" t="s">
        <v>456</v>
      </c>
      <c r="Q220" s="40" t="s">
        <v>459</v>
      </c>
      <c r="R220" s="44" t="str">
        <f>VLOOKUP(Рецепты[[#This Row],[Состав]],Ингредиенты[],9,0)</f>
        <v>Да</v>
      </c>
      <c r="S220" s="52"/>
    </row>
    <row r="221" spans="1:19" x14ac:dyDescent="0.25">
      <c r="A221" s="40" t="s">
        <v>453</v>
      </c>
      <c r="B221" s="40" t="str">
        <f t="shared" si="22"/>
        <v>Цельное</v>
      </c>
      <c r="C221" s="40" t="str">
        <f t="shared" si="22"/>
        <v>Сыровяленное</v>
      </c>
      <c r="D221" s="40" t="s">
        <v>155</v>
      </c>
      <c r="E221" s="41" t="str">
        <f>VLOOKUP(Рецепты[[#This Row],[Состав]],Ингредиенты[],2,0)</f>
        <v>Специи</v>
      </c>
      <c r="F221" s="62">
        <v>5.0000000000000001E-3</v>
      </c>
      <c r="G221" s="42">
        <f>IF(Рецепты[[#This Row],[%]]*1000&gt;0,Рецепты[[#This Row],[%]]*1000,"")</f>
        <v>5</v>
      </c>
      <c r="H221" s="43">
        <f>IFERROR(VLOOKUP(Рецепты[[#This Row],[Состав]],Ингредиенты!A:I,3,0)*Рецепты[[#This Row],[г]],"")</f>
        <v>2.5111111111111111</v>
      </c>
      <c r="I221" s="42">
        <f>СводРецепт!$A$1</f>
        <v>1000</v>
      </c>
      <c r="J221" s="42">
        <f>Рецепты[[#This Row],[%]]*Рецепты[[#This Row],[Масса]]</f>
        <v>5</v>
      </c>
      <c r="K221" s="43">
        <f>Рецепты[[#This Row],[Вес ингр-тов]]*VLOOKUP(Рецепты[[#This Row],[Состав]],Ингредиенты[],3,FALSE)</f>
        <v>2.5111111111111111</v>
      </c>
      <c r="L221" s="41">
        <f>IF(VLOOKUP(Рецепты[[#This Row],[Состав]],Ингредиенты[],4,0)="Основа",VLOOKUP(Рецепты[[#This Row],[Способ]],Способ[],2,0),0%)</f>
        <v>0</v>
      </c>
      <c r="M221" s="41">
        <f>VLOOKUP(Рецепты[[#This Row],[Способ]],Способ[],3,0)</f>
        <v>2</v>
      </c>
      <c r="N221" s="43">
        <f>Рецепты[[#This Row],[р]]*100%/(100%-Рецепты[[#This Row],[Потери, %]])+Рецепты[[#This Row],[Маржа]]*(Рецепты[[#This Row],[р]]*100%)/(100%-Рецепты[[#This Row],[Потери, %]])</f>
        <v>7.5333333333333332</v>
      </c>
      <c r="O221" s="43">
        <f>Рецепты[[#This Row],[Цена за 1 кг]]-(Рецепты[[#This Row],[р]]*100%/(100%-Рецепты[[#This Row],[Потери, %]]))</f>
        <v>5.0222222222222221</v>
      </c>
      <c r="P221" s="40" t="s">
        <v>456</v>
      </c>
      <c r="Q221" s="40" t="s">
        <v>460</v>
      </c>
      <c r="R221" s="44" t="str">
        <f>VLOOKUP(Рецепты[[#This Row],[Состав]],Ингредиенты[],9,0)</f>
        <v>Да</v>
      </c>
      <c r="S221" s="52"/>
    </row>
    <row r="222" spans="1:19" x14ac:dyDescent="0.25">
      <c r="A222" s="40" t="s">
        <v>453</v>
      </c>
      <c r="B222" s="40" t="str">
        <f t="shared" si="22"/>
        <v>Цельное</v>
      </c>
      <c r="C222" s="40" t="str">
        <f t="shared" si="22"/>
        <v>Сыровяленное</v>
      </c>
      <c r="D222" s="40" t="s">
        <v>197</v>
      </c>
      <c r="E222" s="41" t="str">
        <f>VLOOKUP(Рецепты[[#This Row],[Состав]],Ингредиенты[],2,0)</f>
        <v>Специи</v>
      </c>
      <c r="F222" s="62">
        <v>5.0000000000000001E-3</v>
      </c>
      <c r="G222" s="42">
        <f>IF(Рецепты[[#This Row],[%]]*1000&gt;0,Рецепты[[#This Row],[%]]*1000,"")</f>
        <v>5</v>
      </c>
      <c r="H222" s="43">
        <f>IFERROR(VLOOKUP(Рецепты[[#This Row],[Состав]],Ингредиенты!A:I,3,0)*Рецепты[[#This Row],[г]],"")</f>
        <v>2.3449999999999998</v>
      </c>
      <c r="I222" s="42">
        <f>СводРецепт!$A$1</f>
        <v>1000</v>
      </c>
      <c r="J222" s="42">
        <f>Рецепты[[#This Row],[%]]*Рецепты[[#This Row],[Масса]]</f>
        <v>5</v>
      </c>
      <c r="K222" s="43">
        <f>Рецепты[[#This Row],[Вес ингр-тов]]*VLOOKUP(Рецепты[[#This Row],[Состав]],Ингредиенты[],3,FALSE)</f>
        <v>2.3449999999999998</v>
      </c>
      <c r="L222" s="41">
        <f>IF(VLOOKUP(Рецепты[[#This Row],[Состав]],Ингредиенты[],4,0)="Основа",VLOOKUP(Рецепты[[#This Row],[Способ]],Способ[],2,0),0%)</f>
        <v>0</v>
      </c>
      <c r="M222" s="41">
        <f>VLOOKUP(Рецепты[[#This Row],[Способ]],Способ[],3,0)</f>
        <v>2</v>
      </c>
      <c r="N222" s="43">
        <f>Рецепты[[#This Row],[р]]*100%/(100%-Рецепты[[#This Row],[Потери, %]])+Рецепты[[#This Row],[Маржа]]*(Рецепты[[#This Row],[р]]*100%)/(100%-Рецепты[[#This Row],[Потери, %]])</f>
        <v>7.0349999999999993</v>
      </c>
      <c r="O222" s="43">
        <f>Рецепты[[#This Row],[Цена за 1 кг]]-(Рецепты[[#This Row],[р]]*100%/(100%-Рецепты[[#This Row],[Потери, %]]))</f>
        <v>4.6899999999999995</v>
      </c>
      <c r="P222" s="40" t="s">
        <v>456</v>
      </c>
      <c r="Q222" s="40" t="s">
        <v>461</v>
      </c>
      <c r="R222" s="44" t="str">
        <f>VLOOKUP(Рецепты[[#This Row],[Состав]],Ингредиенты[],9,0)</f>
        <v>Нет</v>
      </c>
      <c r="S222" s="52"/>
    </row>
    <row r="223" spans="1:19" x14ac:dyDescent="0.25">
      <c r="A223" s="40" t="s">
        <v>462</v>
      </c>
      <c r="B223" s="40" t="s">
        <v>8</v>
      </c>
      <c r="C223" s="40" t="s">
        <v>9</v>
      </c>
      <c r="D223" s="40" t="s">
        <v>52</v>
      </c>
      <c r="E223" s="41" t="str">
        <f>VLOOKUP(Рецепты[[#This Row],[Состав]],Ингредиенты[],2,0)</f>
        <v>Свинина</v>
      </c>
      <c r="F223" s="62">
        <v>0.7</v>
      </c>
      <c r="G223" s="42">
        <f>IF(Рецепты[[#This Row],[%]]*1000&gt;0,Рецепты[[#This Row],[%]]*1000,"")</f>
        <v>700</v>
      </c>
      <c r="H223" s="43">
        <f>IFERROR(VLOOKUP(Рецепты[[#This Row],[Состав]],Ингредиенты!A:I,3,0)*Рецепты[[#This Row],[г]],"")</f>
        <v>258.3</v>
      </c>
      <c r="I223" s="42">
        <f>СводРецепт!$A$1</f>
        <v>1000</v>
      </c>
      <c r="J223" s="42">
        <f>Рецепты[[#This Row],[%]]*Рецепты[[#This Row],[Масса]]</f>
        <v>700</v>
      </c>
      <c r="K223" s="43">
        <f>Рецепты[[#This Row],[Вес ингр-тов]]*VLOOKUP(Рецепты[[#This Row],[Состав]],Ингредиенты[],3,FALSE)</f>
        <v>258.3</v>
      </c>
      <c r="L223" s="41">
        <f>IF(VLOOKUP(Рецепты[[#This Row],[Состав]],Ингредиенты[],4,0)="Основа",VLOOKUP(Рецепты[[#This Row],[Способ]],Способ[],2,0),0%)</f>
        <v>0.15</v>
      </c>
      <c r="M223" s="41">
        <f>VLOOKUP(Рецепты[[#This Row],[Способ]],Способ[],3,0)</f>
        <v>0.7</v>
      </c>
      <c r="N223" s="43">
        <f>Рецепты[[#This Row],[р]]*100%/(100%-Рецепты[[#This Row],[Потери, %]])+Рецепты[[#This Row],[Маржа]]*(Рецепты[[#This Row],[р]]*100%)/(100%-Рецепты[[#This Row],[Потери, %]])</f>
        <v>516.6</v>
      </c>
      <c r="O223" s="43">
        <f>Рецепты[[#This Row],[Цена за 1 кг]]-(Рецепты[[#This Row],[р]]*100%/(100%-Рецепты[[#This Row],[Потери, %]]))</f>
        <v>212.71764705882356</v>
      </c>
      <c r="P223" s="40" t="s">
        <v>463</v>
      </c>
      <c r="Q223" s="40" t="s">
        <v>464</v>
      </c>
      <c r="R223" s="44" t="str">
        <f>VLOOKUP(Рецепты[[#This Row],[Состав]],Ингредиенты[],9,0)</f>
        <v>Нет</v>
      </c>
      <c r="S223" s="52"/>
    </row>
    <row r="224" spans="1:19" x14ac:dyDescent="0.25">
      <c r="A224" s="40" t="s">
        <v>462</v>
      </c>
      <c r="B224" s="40" t="str">
        <f t="shared" ref="B224:B232" si="23">B223</f>
        <v>Колбаса</v>
      </c>
      <c r="C224" s="40" t="str">
        <f t="shared" ref="C224:C232" si="24">C223</f>
        <v>Вареное</v>
      </c>
      <c r="D224" s="40" t="s">
        <v>58</v>
      </c>
      <c r="E224" s="41" t="str">
        <f>VLOOKUP(Рецепты[[#This Row],[Состав]],Ингредиенты[],2,0)</f>
        <v>Свинина</v>
      </c>
      <c r="F224" s="62">
        <v>0.15</v>
      </c>
      <c r="G224" s="42">
        <f>IF(Рецепты[[#This Row],[%]]*1000&gt;0,Рецепты[[#This Row],[%]]*1000,"")</f>
        <v>150</v>
      </c>
      <c r="H224" s="43">
        <f>IFERROR(VLOOKUP(Рецепты[[#This Row],[Состав]],Ингредиенты!A:I,3,0)*Рецепты[[#This Row],[г]],"")</f>
        <v>45</v>
      </c>
      <c r="I224" s="42">
        <f>СводРецепт!$A$1</f>
        <v>1000</v>
      </c>
      <c r="J224" s="42">
        <f>Рецепты[[#This Row],[%]]*Рецепты[[#This Row],[Масса]]</f>
        <v>150</v>
      </c>
      <c r="K224" s="43">
        <f>Рецепты[[#This Row],[Вес ингр-тов]]*VLOOKUP(Рецепты[[#This Row],[Состав]],Ингредиенты[],3,FALSE)</f>
        <v>45</v>
      </c>
      <c r="L224" s="41">
        <f>IF(VLOOKUP(Рецепты[[#This Row],[Состав]],Ингредиенты[],4,0)="Основа",VLOOKUP(Рецепты[[#This Row],[Способ]],Способ[],2,0),0%)</f>
        <v>0.15</v>
      </c>
      <c r="M224" s="41">
        <f>VLOOKUP(Рецепты[[#This Row],[Способ]],Способ[],3,0)</f>
        <v>0.7</v>
      </c>
      <c r="N224" s="43">
        <f>Рецепты[[#This Row],[р]]*100%/(100%-Рецепты[[#This Row],[Потери, %]])+Рецепты[[#This Row],[Маржа]]*(Рецепты[[#This Row],[р]]*100%)/(100%-Рецепты[[#This Row],[Потери, %]])</f>
        <v>90</v>
      </c>
      <c r="O224" s="43">
        <f>Рецепты[[#This Row],[Цена за 1 кг]]-(Рецепты[[#This Row],[р]]*100%/(100%-Рецепты[[#This Row],[Потери, %]]))</f>
        <v>37.058823529411761</v>
      </c>
      <c r="P224" s="40" t="s">
        <v>463</v>
      </c>
      <c r="Q224" s="40" t="s">
        <v>465</v>
      </c>
      <c r="R224" s="44" t="str">
        <f>VLOOKUP(Рецепты[[#This Row],[Состав]],Ингредиенты[],9,0)</f>
        <v>Да</v>
      </c>
      <c r="S224" s="52"/>
    </row>
    <row r="225" spans="1:19" x14ac:dyDescent="0.25">
      <c r="A225" s="40" t="s">
        <v>462</v>
      </c>
      <c r="B225" s="40" t="str">
        <f t="shared" si="23"/>
        <v>Колбаса</v>
      </c>
      <c r="C225" s="40" t="str">
        <f t="shared" si="24"/>
        <v>Вареное</v>
      </c>
      <c r="D225" s="40" t="s">
        <v>58</v>
      </c>
      <c r="E225" s="41" t="str">
        <f>VLOOKUP(Рецепты[[#This Row],[Состав]],Ингредиенты[],2,0)</f>
        <v>Свинина</v>
      </c>
      <c r="F225" s="62">
        <v>0.15</v>
      </c>
      <c r="G225" s="42">
        <f>IF(Рецепты[[#This Row],[%]]*1000&gt;0,Рецепты[[#This Row],[%]]*1000,"")</f>
        <v>150</v>
      </c>
      <c r="H225" s="43">
        <f>IFERROR(VLOOKUP(Рецепты[[#This Row],[Состав]],Ингредиенты!A:I,3,0)*Рецепты[[#This Row],[г]],"")</f>
        <v>45</v>
      </c>
      <c r="I225" s="42">
        <f>СводРецепт!$A$1</f>
        <v>1000</v>
      </c>
      <c r="J225" s="42">
        <f>Рецепты[[#This Row],[%]]*Рецепты[[#This Row],[Масса]]</f>
        <v>150</v>
      </c>
      <c r="K225" s="43">
        <f>Рецепты[[#This Row],[Вес ингр-тов]]*VLOOKUP(Рецепты[[#This Row],[Состав]],Ингредиенты[],3,FALSE)</f>
        <v>45</v>
      </c>
      <c r="L225" s="41">
        <f>IF(VLOOKUP(Рецепты[[#This Row],[Состав]],Ингредиенты[],4,0)="Основа",VLOOKUP(Рецепты[[#This Row],[Способ]],Способ[],2,0),0%)</f>
        <v>0.15</v>
      </c>
      <c r="M225" s="41">
        <f>VLOOKUP(Рецепты[[#This Row],[Способ]],Способ[],3,0)</f>
        <v>0.7</v>
      </c>
      <c r="N225" s="43">
        <f>Рецепты[[#This Row],[р]]*100%/(100%-Рецепты[[#This Row],[Потери, %]])+Рецепты[[#This Row],[Маржа]]*(Рецепты[[#This Row],[р]]*100%)/(100%-Рецепты[[#This Row],[Потери, %]])</f>
        <v>90</v>
      </c>
      <c r="O225" s="43">
        <f>Рецепты[[#This Row],[Цена за 1 кг]]-(Рецепты[[#This Row],[р]]*100%/(100%-Рецепты[[#This Row],[Потери, %]]))</f>
        <v>37.058823529411761</v>
      </c>
      <c r="P225" s="40" t="s">
        <v>463</v>
      </c>
      <c r="Q225" s="40" t="s">
        <v>466</v>
      </c>
      <c r="R225" s="44" t="str">
        <f>VLOOKUP(Рецепты[[#This Row],[Состав]],Ингредиенты[],9,0)</f>
        <v>Да</v>
      </c>
      <c r="S225" s="52"/>
    </row>
    <row r="226" spans="1:19" x14ac:dyDescent="0.25">
      <c r="A226" s="40" t="s">
        <v>462</v>
      </c>
      <c r="B226" s="40" t="str">
        <f t="shared" si="23"/>
        <v>Колбаса</v>
      </c>
      <c r="C226" s="40" t="str">
        <f t="shared" si="24"/>
        <v>Вареное</v>
      </c>
      <c r="D226" s="40" t="s">
        <v>93</v>
      </c>
      <c r="E226" s="41" t="str">
        <f>VLOOKUP(Рецепты[[#This Row],[Состав]],Ингредиенты[],2,0)</f>
        <v>Добавки</v>
      </c>
      <c r="F226" s="62">
        <v>0.15</v>
      </c>
      <c r="G226" s="42">
        <f>IF(Рецепты[[#This Row],[%]]*1000&gt;0,Рецепты[[#This Row],[%]]*1000,"")</f>
        <v>150</v>
      </c>
      <c r="H226" s="43">
        <f>IFERROR(VLOOKUP(Рецепты[[#This Row],[Состав]],Ингредиенты!A:I,3,0)*Рецепты[[#This Row],[г]],"")</f>
        <v>0.15</v>
      </c>
      <c r="I226" s="42">
        <f>СводРецепт!$A$1</f>
        <v>1000</v>
      </c>
      <c r="J226" s="42">
        <f>Рецепты[[#This Row],[%]]*Рецепты[[#This Row],[Масса]]</f>
        <v>150</v>
      </c>
      <c r="K226" s="43">
        <f>Рецепты[[#This Row],[Вес ингр-тов]]*VLOOKUP(Рецепты[[#This Row],[Состав]],Ингредиенты[],3,FALSE)</f>
        <v>0.15</v>
      </c>
      <c r="L226" s="41">
        <f>IF(VLOOKUP(Рецепты[[#This Row],[Состав]],Ингредиенты[],4,0)="Основа",VLOOKUP(Рецепты[[#This Row],[Способ]],Способ[],2,0),0%)</f>
        <v>0</v>
      </c>
      <c r="M226" s="41">
        <f>VLOOKUP(Рецепты[[#This Row],[Способ]],Способ[],3,0)</f>
        <v>0.7</v>
      </c>
      <c r="N226" s="43">
        <f>Рецепты[[#This Row],[р]]*100%/(100%-Рецепты[[#This Row],[Потери, %]])+Рецепты[[#This Row],[Маржа]]*(Рецепты[[#This Row],[р]]*100%)/(100%-Рецепты[[#This Row],[Потери, %]])</f>
        <v>0.255</v>
      </c>
      <c r="O226" s="43">
        <f>Рецепты[[#This Row],[Цена за 1 кг]]-(Рецепты[[#This Row],[р]]*100%/(100%-Рецепты[[#This Row],[Потери, %]]))</f>
        <v>0.10500000000000001</v>
      </c>
      <c r="P226" s="40" t="s">
        <v>463</v>
      </c>
      <c r="Q226" s="40" t="s">
        <v>467</v>
      </c>
      <c r="R226" s="44" t="str">
        <f>VLOOKUP(Рецепты[[#This Row],[Состав]],Ингредиенты[],9,0)</f>
        <v>Да</v>
      </c>
      <c r="S226" s="52"/>
    </row>
    <row r="227" spans="1:19" x14ac:dyDescent="0.25">
      <c r="A227" s="40" t="s">
        <v>462</v>
      </c>
      <c r="B227" s="40" t="str">
        <f t="shared" si="23"/>
        <v>Колбаса</v>
      </c>
      <c r="C227" s="40" t="str">
        <f t="shared" si="24"/>
        <v>Вареное</v>
      </c>
      <c r="D227" s="40" t="s">
        <v>125</v>
      </c>
      <c r="E227" s="41" t="str">
        <f>VLOOKUP(Рецепты[[#This Row],[Состав]],Ингредиенты[],2,0)</f>
        <v>Специи</v>
      </c>
      <c r="F227" s="62">
        <v>1.7999999999999999E-2</v>
      </c>
      <c r="G227" s="42">
        <f>IF(Рецепты[[#This Row],[%]]*1000&gt;0,Рецепты[[#This Row],[%]]*1000,"")</f>
        <v>18</v>
      </c>
      <c r="H227" s="43">
        <f>IFERROR(VLOOKUP(Рецепты[[#This Row],[Состав]],Ингредиенты!A:I,3,0)*Рецепты[[#This Row],[г]],"")</f>
        <v>2.3040000000000003</v>
      </c>
      <c r="I227" s="42">
        <f>СводРецепт!$A$1</f>
        <v>1000</v>
      </c>
      <c r="J227" s="42">
        <f>Рецепты[[#This Row],[%]]*Рецепты[[#This Row],[Масса]]</f>
        <v>18</v>
      </c>
      <c r="K227" s="43">
        <f>Рецепты[[#This Row],[Вес ингр-тов]]*VLOOKUP(Рецепты[[#This Row],[Состав]],Ингредиенты[],3,FALSE)</f>
        <v>2.3040000000000003</v>
      </c>
      <c r="L227" s="41">
        <f>IF(VLOOKUP(Рецепты[[#This Row],[Состав]],Ингредиенты[],4,0)="Основа",VLOOKUP(Рецепты[[#This Row],[Способ]],Способ[],2,0),0%)</f>
        <v>0</v>
      </c>
      <c r="M227" s="41">
        <f>VLOOKUP(Рецепты[[#This Row],[Способ]],Способ[],3,0)</f>
        <v>0.7</v>
      </c>
      <c r="N227" s="43">
        <f>Рецепты[[#This Row],[р]]*100%/(100%-Рецепты[[#This Row],[Потери, %]])+Рецепты[[#This Row],[Маржа]]*(Рецепты[[#This Row],[р]]*100%)/(100%-Рецепты[[#This Row],[Потери, %]])</f>
        <v>3.9168000000000003</v>
      </c>
      <c r="O227" s="43">
        <f>Рецепты[[#This Row],[Цена за 1 кг]]-(Рецепты[[#This Row],[р]]*100%/(100%-Рецепты[[#This Row],[Потери, %]]))</f>
        <v>1.6128</v>
      </c>
      <c r="P227" s="40" t="s">
        <v>463</v>
      </c>
      <c r="Q227" s="40" t="s">
        <v>468</v>
      </c>
      <c r="R227" s="44" t="str">
        <f>VLOOKUP(Рецепты[[#This Row],[Состав]],Ингредиенты[],9,0)</f>
        <v>Да</v>
      </c>
      <c r="S227" s="52"/>
    </row>
    <row r="228" spans="1:19" x14ac:dyDescent="0.25">
      <c r="A228" s="40" t="s">
        <v>462</v>
      </c>
      <c r="B228" s="40" t="str">
        <f t="shared" si="23"/>
        <v>Колбаса</v>
      </c>
      <c r="C228" s="40" t="str">
        <f t="shared" si="24"/>
        <v>Вареное</v>
      </c>
      <c r="D228" s="40" t="s">
        <v>131</v>
      </c>
      <c r="E228" s="41" t="str">
        <f>VLOOKUP(Рецепты[[#This Row],[Состав]],Ингредиенты[],2,0)</f>
        <v>Специи</v>
      </c>
      <c r="F228" s="62">
        <v>5.0000000000000001E-3</v>
      </c>
      <c r="G228" s="42">
        <f>IF(Рецепты[[#This Row],[%]]*1000&gt;0,Рецепты[[#This Row],[%]]*1000,"")</f>
        <v>5</v>
      </c>
      <c r="H228" s="43">
        <f>IFERROR(VLOOKUP(Рецепты[[#This Row],[Состав]],Ингредиенты!A:I,3,0)*Рецепты[[#This Row],[г]],"")</f>
        <v>0.40441176470588236</v>
      </c>
      <c r="I228" s="42">
        <f>СводРецепт!$A$1</f>
        <v>1000</v>
      </c>
      <c r="J228" s="42">
        <f>Рецепты[[#This Row],[%]]*Рецепты[[#This Row],[Масса]]</f>
        <v>5</v>
      </c>
      <c r="K228" s="43">
        <f>Рецепты[[#This Row],[Вес ингр-тов]]*VLOOKUP(Рецепты[[#This Row],[Состав]],Ингредиенты[],3,FALSE)</f>
        <v>0.40441176470588236</v>
      </c>
      <c r="L228" s="41">
        <f>IF(VLOOKUP(Рецепты[[#This Row],[Состав]],Ингредиенты[],4,0)="Основа",VLOOKUP(Рецепты[[#This Row],[Способ]],Способ[],2,0),0%)</f>
        <v>0</v>
      </c>
      <c r="M228" s="41">
        <f>VLOOKUP(Рецепты[[#This Row],[Способ]],Способ[],3,0)</f>
        <v>0.7</v>
      </c>
      <c r="N228" s="43">
        <f>Рецепты[[#This Row],[р]]*100%/(100%-Рецепты[[#This Row],[Потери, %]])+Рецепты[[#This Row],[Маржа]]*(Рецепты[[#This Row],[р]]*100%)/(100%-Рецепты[[#This Row],[Потери, %]])</f>
        <v>0.6875</v>
      </c>
      <c r="O228" s="43">
        <f>Рецепты[[#This Row],[Цена за 1 кг]]-(Рецепты[[#This Row],[р]]*100%/(100%-Рецепты[[#This Row],[Потери, %]]))</f>
        <v>0.28308823529411764</v>
      </c>
      <c r="P228" s="40" t="s">
        <v>463</v>
      </c>
      <c r="Q228" s="40" t="s">
        <v>469</v>
      </c>
      <c r="R228" s="44" t="str">
        <f>VLOOKUP(Рецепты[[#This Row],[Состав]],Ингредиенты[],9,0)</f>
        <v>Да</v>
      </c>
      <c r="S228" s="52"/>
    </row>
    <row r="229" spans="1:19" x14ac:dyDescent="0.25">
      <c r="A229" s="40" t="s">
        <v>462</v>
      </c>
      <c r="B229" s="40" t="str">
        <f t="shared" si="23"/>
        <v>Колбаса</v>
      </c>
      <c r="C229" s="40" t="str">
        <f t="shared" si="24"/>
        <v>Вареное</v>
      </c>
      <c r="D229" s="40" t="s">
        <v>135</v>
      </c>
      <c r="E229" s="41" t="str">
        <f>VLOOKUP(Рецепты[[#This Row],[Состав]],Ингредиенты[],2,0)</f>
        <v>Специи</v>
      </c>
      <c r="F229" s="62">
        <v>2E-3</v>
      </c>
      <c r="G229" s="42">
        <f>IF(Рецепты[[#This Row],[%]]*1000&gt;0,Рецепты[[#This Row],[%]]*1000,"")</f>
        <v>2</v>
      </c>
      <c r="H229" s="43">
        <f>IFERROR(VLOOKUP(Рецепты[[#This Row],[Состав]],Ингредиенты!A:I,3,0)*Рецепты[[#This Row],[г]],"")</f>
        <v>3.16</v>
      </c>
      <c r="I229" s="42">
        <f>СводРецепт!$A$1</f>
        <v>1000</v>
      </c>
      <c r="J229" s="42">
        <f>Рецепты[[#This Row],[%]]*Рецепты[[#This Row],[Масса]]</f>
        <v>2</v>
      </c>
      <c r="K229" s="43">
        <f>Рецепты[[#This Row],[Вес ингр-тов]]*VLOOKUP(Рецепты[[#This Row],[Состав]],Ингредиенты[],3,FALSE)</f>
        <v>3.16</v>
      </c>
      <c r="L229" s="41">
        <f>IF(VLOOKUP(Рецепты[[#This Row],[Состав]],Ингредиенты[],4,0)="Основа",VLOOKUP(Рецепты[[#This Row],[Способ]],Способ[],2,0),0%)</f>
        <v>0</v>
      </c>
      <c r="M229" s="41">
        <f>VLOOKUP(Рецепты[[#This Row],[Способ]],Способ[],3,0)</f>
        <v>0.7</v>
      </c>
      <c r="N229" s="43">
        <f>Рецепты[[#This Row],[р]]*100%/(100%-Рецепты[[#This Row],[Потери, %]])+Рецепты[[#This Row],[Маржа]]*(Рецепты[[#This Row],[р]]*100%)/(100%-Рецепты[[#This Row],[Потери, %]])</f>
        <v>5.3719999999999999</v>
      </c>
      <c r="O229" s="43">
        <f>Рецепты[[#This Row],[Цена за 1 кг]]-(Рецепты[[#This Row],[р]]*100%/(100%-Рецепты[[#This Row],[Потери, %]]))</f>
        <v>2.2119999999999997</v>
      </c>
      <c r="P229" s="40" t="s">
        <v>463</v>
      </c>
      <c r="Q229" s="40" t="s">
        <v>470</v>
      </c>
      <c r="R229" s="44" t="str">
        <f>VLOOKUP(Рецепты[[#This Row],[Состав]],Ингредиенты[],9,0)</f>
        <v>Да</v>
      </c>
      <c r="S229" s="52"/>
    </row>
    <row r="230" spans="1:19" x14ac:dyDescent="0.25">
      <c r="A230" s="40" t="s">
        <v>462</v>
      </c>
      <c r="B230" s="40" t="str">
        <f t="shared" si="23"/>
        <v>Колбаса</v>
      </c>
      <c r="C230" s="40" t="str">
        <f t="shared" si="24"/>
        <v>Вареное</v>
      </c>
      <c r="D230" s="40" t="s">
        <v>149</v>
      </c>
      <c r="E230" s="41" t="str">
        <f>VLOOKUP(Рецепты[[#This Row],[Состав]],Ингредиенты[],2,0)</f>
        <v>Специи</v>
      </c>
      <c r="F230" s="62">
        <v>1E-3</v>
      </c>
      <c r="G230" s="42">
        <f>IF(Рецепты[[#This Row],[%]]*1000&gt;0,Рецепты[[#This Row],[%]]*1000,"")</f>
        <v>1</v>
      </c>
      <c r="H230" s="43">
        <f>IFERROR(VLOOKUP(Рецепты[[#This Row],[Состав]],Ингредиенты!A:I,3,0)*Рецепты[[#This Row],[г]],"")</f>
        <v>2.0772727272727272</v>
      </c>
      <c r="I230" s="42">
        <f>СводРецепт!$A$1</f>
        <v>1000</v>
      </c>
      <c r="J230" s="42">
        <f>Рецепты[[#This Row],[%]]*Рецепты[[#This Row],[Масса]]</f>
        <v>1</v>
      </c>
      <c r="K230" s="43">
        <f>Рецепты[[#This Row],[Вес ингр-тов]]*VLOOKUP(Рецепты[[#This Row],[Состав]],Ингредиенты[],3,FALSE)</f>
        <v>2.0772727272727272</v>
      </c>
      <c r="L230" s="41">
        <f>IF(VLOOKUP(Рецепты[[#This Row],[Состав]],Ингредиенты[],4,0)="Основа",VLOOKUP(Рецепты[[#This Row],[Способ]],Способ[],2,0),0%)</f>
        <v>0</v>
      </c>
      <c r="M230" s="41">
        <f>VLOOKUP(Рецепты[[#This Row],[Способ]],Способ[],3,0)</f>
        <v>0.7</v>
      </c>
      <c r="N230" s="43">
        <f>Рецепты[[#This Row],[р]]*100%/(100%-Рецепты[[#This Row],[Потери, %]])+Рецепты[[#This Row],[Маржа]]*(Рецепты[[#This Row],[р]]*100%)/(100%-Рецепты[[#This Row],[Потери, %]])</f>
        <v>3.5313636363636363</v>
      </c>
      <c r="O230" s="43">
        <f>Рецепты[[#This Row],[Цена за 1 кг]]-(Рецепты[[#This Row],[р]]*100%/(100%-Рецепты[[#This Row],[Потери, %]]))</f>
        <v>1.4540909090909091</v>
      </c>
      <c r="P230" s="40" t="s">
        <v>463</v>
      </c>
      <c r="Q230" s="40" t="s">
        <v>471</v>
      </c>
      <c r="R230" s="44" t="str">
        <f>VLOOKUP(Рецепты[[#This Row],[Состав]],Ингредиенты[],9,0)</f>
        <v>Да</v>
      </c>
      <c r="S230" s="52"/>
    </row>
    <row r="231" spans="1:19" x14ac:dyDescent="0.25">
      <c r="A231" s="40" t="s">
        <v>462</v>
      </c>
      <c r="B231" s="40" t="str">
        <f t="shared" si="23"/>
        <v>Колбаса</v>
      </c>
      <c r="C231" s="40" t="str">
        <f t="shared" si="24"/>
        <v>Вареное</v>
      </c>
      <c r="D231" s="40" t="s">
        <v>153</v>
      </c>
      <c r="E231" s="41" t="str">
        <f>VLOOKUP(Рецепты[[#This Row],[Состав]],Ингредиенты[],2,0)</f>
        <v>Специи</v>
      </c>
      <c r="F231" s="62">
        <v>5.0000000000000001E-4</v>
      </c>
      <c r="G231" s="42">
        <f>IF(Рецепты[[#This Row],[%]]*1000&gt;0,Рецепты[[#This Row],[%]]*1000,"")</f>
        <v>0.5</v>
      </c>
      <c r="H231" s="43">
        <f>IFERROR(VLOOKUP(Рецепты[[#This Row],[Состав]],Ингредиенты!A:I,3,0)*Рецепты[[#This Row],[г]],"")</f>
        <v>0.75666666666666671</v>
      </c>
      <c r="I231" s="42">
        <f>СводРецепт!$A$1</f>
        <v>1000</v>
      </c>
      <c r="J231" s="42">
        <f>Рецепты[[#This Row],[%]]*Рецепты[[#This Row],[Масса]]</f>
        <v>0.5</v>
      </c>
      <c r="K231" s="43">
        <f>Рецепты[[#This Row],[Вес ингр-тов]]*VLOOKUP(Рецепты[[#This Row],[Состав]],Ингредиенты[],3,FALSE)</f>
        <v>0.75666666666666671</v>
      </c>
      <c r="L231" s="41">
        <f>IF(VLOOKUP(Рецепты[[#This Row],[Состав]],Ингредиенты[],4,0)="Основа",VLOOKUP(Рецепты[[#This Row],[Способ]],Способ[],2,0),0%)</f>
        <v>0</v>
      </c>
      <c r="M231" s="41">
        <f>VLOOKUP(Рецепты[[#This Row],[Способ]],Способ[],3,0)</f>
        <v>0.7</v>
      </c>
      <c r="N231" s="43">
        <f>Рецепты[[#This Row],[р]]*100%/(100%-Рецепты[[#This Row],[Потери, %]])+Рецепты[[#This Row],[Маржа]]*(Рецепты[[#This Row],[р]]*100%)/(100%-Рецепты[[#This Row],[Потери, %]])</f>
        <v>1.2863333333333333</v>
      </c>
      <c r="O231" s="43">
        <f>Рецепты[[#This Row],[Цена за 1 кг]]-(Рецепты[[#This Row],[р]]*100%/(100%-Рецепты[[#This Row],[Потери, %]]))</f>
        <v>0.52966666666666662</v>
      </c>
      <c r="P231" s="40" t="s">
        <v>463</v>
      </c>
      <c r="Q231" s="40" t="s">
        <v>472</v>
      </c>
      <c r="R231" s="44" t="str">
        <f>VLOOKUP(Рецепты[[#This Row],[Состав]],Ингредиенты[],9,0)</f>
        <v>Да</v>
      </c>
      <c r="S231" s="52"/>
    </row>
    <row r="232" spans="1:19" x14ac:dyDescent="0.25">
      <c r="A232" s="40" t="s">
        <v>462</v>
      </c>
      <c r="B232" s="40" t="str">
        <f t="shared" si="23"/>
        <v>Колбаса</v>
      </c>
      <c r="C232" s="40" t="str">
        <f t="shared" si="24"/>
        <v>Вареное</v>
      </c>
      <c r="D232" s="40" t="s">
        <v>151</v>
      </c>
      <c r="E232" s="41" t="str">
        <f>VLOOKUP(Рецепты[[#This Row],[Состав]],Ингредиенты[],2,0)</f>
        <v>Специи</v>
      </c>
      <c r="F232" s="62">
        <v>1.5E-3</v>
      </c>
      <c r="G232" s="42">
        <f>IF(Рецепты[[#This Row],[%]]*1000&gt;0,Рецепты[[#This Row],[%]]*1000,"")</f>
        <v>1.5</v>
      </c>
      <c r="H232" s="43">
        <f>IFERROR(VLOOKUP(Рецепты[[#This Row],[Состав]],Ингредиенты!A:I,3,0)*Рецепты[[#This Row],[г]],"")</f>
        <v>1.3174999999999999</v>
      </c>
      <c r="I232" s="42">
        <f>СводРецепт!$A$1</f>
        <v>1000</v>
      </c>
      <c r="J232" s="42">
        <f>Рецепты[[#This Row],[%]]*Рецепты[[#This Row],[Масса]]</f>
        <v>1.5</v>
      </c>
      <c r="K232" s="43">
        <f>Рецепты[[#This Row],[Вес ингр-тов]]*VLOOKUP(Рецепты[[#This Row],[Состав]],Ингредиенты[],3,FALSE)</f>
        <v>1.3174999999999999</v>
      </c>
      <c r="L232" s="41">
        <f>IF(VLOOKUP(Рецепты[[#This Row],[Состав]],Ингредиенты[],4,0)="Основа",VLOOKUP(Рецепты[[#This Row],[Способ]],Способ[],2,0),0%)</f>
        <v>0</v>
      </c>
      <c r="M232" s="41">
        <f>VLOOKUP(Рецепты[[#This Row],[Способ]],Способ[],3,0)</f>
        <v>0.7</v>
      </c>
      <c r="N232" s="43">
        <f>Рецепты[[#This Row],[р]]*100%/(100%-Рецепты[[#This Row],[Потери, %]])+Рецепты[[#This Row],[Маржа]]*(Рецепты[[#This Row],[р]]*100%)/(100%-Рецепты[[#This Row],[Потери, %]])</f>
        <v>2.2397499999999999</v>
      </c>
      <c r="O232" s="43">
        <f>Рецепты[[#This Row],[Цена за 1 кг]]-(Рецепты[[#This Row],[р]]*100%/(100%-Рецепты[[#This Row],[Потери, %]]))</f>
        <v>0.92225000000000001</v>
      </c>
      <c r="P232" s="40" t="s">
        <v>463</v>
      </c>
      <c r="Q232" s="40" t="s">
        <v>473</v>
      </c>
      <c r="R232" s="44" t="str">
        <f>VLOOKUP(Рецепты[[#This Row],[Состав]],Ингредиенты[],9,0)</f>
        <v>Да</v>
      </c>
      <c r="S232" s="52"/>
    </row>
    <row r="233" spans="1:19" x14ac:dyDescent="0.25">
      <c r="A233" s="40" t="s">
        <v>462</v>
      </c>
      <c r="B233" s="40" t="str">
        <f>B232</f>
        <v>Колбаса</v>
      </c>
      <c r="C233" s="40" t="str">
        <f>C232</f>
        <v>Вареное</v>
      </c>
      <c r="D233" s="40" t="s">
        <v>214</v>
      </c>
      <c r="E233" s="41" t="str">
        <f>VLOOKUP(Рецепты[[#This Row],[Состав]],Ингредиенты[],2,0)</f>
        <v>Оболочка</v>
      </c>
      <c r="F233" s="62">
        <v>1E-3</v>
      </c>
      <c r="G233" s="42">
        <f>IF(Рецепты[[#This Row],[%]]*1000&gt;0,Рецепты[[#This Row],[%]]*1000,"")</f>
        <v>1</v>
      </c>
      <c r="H233" s="43">
        <f>IFERROR(VLOOKUP(Рецепты[[#This Row],[Состав]],Ингредиенты!A:I,3,0)*Рецепты[[#This Row],[г]],"")</f>
        <v>9.7374533266692147</v>
      </c>
      <c r="I233" s="42">
        <f>СводРецепт!$A$1</f>
        <v>1000</v>
      </c>
      <c r="J233" s="42">
        <f>Рецепты[[#This Row],[%]]*Рецепты[[#This Row],[Масса]]</f>
        <v>1</v>
      </c>
      <c r="K233" s="43">
        <f>Рецепты[[#This Row],[Вес ингр-тов]]*VLOOKUP(Рецепты[[#This Row],[Состав]],Ингредиенты[],3,FALSE)</f>
        <v>9.7374533266692147</v>
      </c>
      <c r="L233" s="41">
        <f>IF(VLOOKUP(Рецепты[[#This Row],[Состав]],Ингредиенты[],4,0)="Основа",VLOOKUP(Рецепты[[#This Row],[Способ]],Способ[],2,0),0%)</f>
        <v>0</v>
      </c>
      <c r="M233" s="41">
        <f>VLOOKUP(Рецепты[[#This Row],[Способ]],Способ[],3,0)</f>
        <v>0.7</v>
      </c>
      <c r="N233" s="43">
        <f>Рецепты[[#This Row],[р]]*100%/(100%-Рецепты[[#This Row],[Потери, %]])+Рецепты[[#This Row],[Маржа]]*(Рецепты[[#This Row],[р]]*100%)/(100%-Рецепты[[#This Row],[Потери, %]])</f>
        <v>16.553670655337665</v>
      </c>
      <c r="O233" s="43">
        <f>Рецепты[[#This Row],[Цена за 1 кг]]-(Рецепты[[#This Row],[р]]*100%/(100%-Рецепты[[#This Row],[Потери, %]]))</f>
        <v>6.8162173286684506</v>
      </c>
      <c r="P233" s="40" t="s">
        <v>463</v>
      </c>
      <c r="Q233" s="40" t="s">
        <v>474</v>
      </c>
      <c r="R233" s="44" t="str">
        <f>VLOOKUP(Рецепты[[#This Row],[Состав]],Ингредиенты[],9,0)</f>
        <v>Да</v>
      </c>
      <c r="S233" s="52"/>
    </row>
    <row r="234" spans="1:19" x14ac:dyDescent="0.25">
      <c r="A234" s="40" t="s">
        <v>475</v>
      </c>
      <c r="B234" s="40" t="s">
        <v>21</v>
      </c>
      <c r="C234" s="40" t="str">
        <f>C232</f>
        <v>Вареное</v>
      </c>
      <c r="D234" s="40" t="s">
        <v>71</v>
      </c>
      <c r="E234" s="41" t="str">
        <f>VLOOKUP(Рецепты[[#This Row],[Состав]],Ингредиенты[],2,0)</f>
        <v>Птица</v>
      </c>
      <c r="F234" s="62">
        <v>0.84</v>
      </c>
      <c r="G234" s="42">
        <f>IF(Рецепты[[#This Row],[%]]*1000&gt;0,Рецепты[[#This Row],[%]]*1000,"")</f>
        <v>840</v>
      </c>
      <c r="H234" s="43">
        <f>IFERROR(VLOOKUP(Рецепты[[#This Row],[Состав]],Ингредиенты!A:I,3,0)*Рецепты[[#This Row],[г]],"")</f>
        <v>478.79160000000002</v>
      </c>
      <c r="I234" s="42">
        <f>СводРецепт!$A$1</f>
        <v>1000</v>
      </c>
      <c r="J234" s="42">
        <f>Рецепты[[#This Row],[%]]*Рецепты[[#This Row],[Масса]]</f>
        <v>840</v>
      </c>
      <c r="K234" s="43">
        <f>Рецепты[[#This Row],[Вес ингр-тов]]*VLOOKUP(Рецепты[[#This Row],[Состав]],Ингредиенты[],3,FALSE)</f>
        <v>478.79160000000002</v>
      </c>
      <c r="L234" s="41">
        <f>IF(VLOOKUP(Рецепты[[#This Row],[Состав]],Ингредиенты[],4,0)="Основа",VLOOKUP(Рецепты[[#This Row],[Способ]],Способ[],2,0),0%)</f>
        <v>0.15</v>
      </c>
      <c r="M234" s="41">
        <f>VLOOKUP(Рецепты[[#This Row],[Способ]],Способ[],3,0)</f>
        <v>0.7</v>
      </c>
      <c r="N234" s="43">
        <f>Рецепты[[#This Row],[р]]*100%/(100%-Рецепты[[#This Row],[Потери, %]])+Рецепты[[#This Row],[Маржа]]*(Рецепты[[#This Row],[р]]*100%)/(100%-Рецепты[[#This Row],[Потери, %]])</f>
        <v>957.58320000000003</v>
      </c>
      <c r="O234" s="43">
        <f>Рецепты[[#This Row],[Цена за 1 кг]]-(Рецепты[[#This Row],[р]]*100%/(100%-Рецепты[[#This Row],[Потери, %]]))</f>
        <v>394.29896470588233</v>
      </c>
      <c r="P234" s="40" t="s">
        <v>476</v>
      </c>
      <c r="Q234" s="40" t="s">
        <v>477</v>
      </c>
      <c r="R234" s="44" t="str">
        <f>VLOOKUP(Рецепты[[#This Row],[Состав]],Ингредиенты[],9,0)</f>
        <v>Нет</v>
      </c>
      <c r="S234" s="52"/>
    </row>
    <row r="235" spans="1:19" x14ac:dyDescent="0.25">
      <c r="A235" s="40" t="s">
        <v>475</v>
      </c>
      <c r="B235" s="40" t="str">
        <f t="shared" ref="B235:B241" si="25">B234</f>
        <v>Сосиски</v>
      </c>
      <c r="C235" s="40" t="str">
        <f t="shared" ref="C235:C241" si="26">C234</f>
        <v>Вареное</v>
      </c>
      <c r="D235" s="40" t="s">
        <v>121</v>
      </c>
      <c r="E235" s="41" t="str">
        <f>VLOOKUP(Рецепты[[#This Row],[Состав]],Ингредиенты[],2,0)</f>
        <v>Добавки</v>
      </c>
      <c r="F235" s="62">
        <v>0.16</v>
      </c>
      <c r="G235" s="42">
        <f>IF(Рецепты[[#This Row],[%]]*1000&gt;0,Рецепты[[#This Row],[%]]*1000,"")</f>
        <v>160</v>
      </c>
      <c r="H235" s="43">
        <f>IFERROR(VLOOKUP(Рецепты[[#This Row],[Состав]],Ингредиенты!A:I,3,0)*Рецепты[[#This Row],[г]],"")</f>
        <v>80.960000000000008</v>
      </c>
      <c r="I235" s="42">
        <f>СводРецепт!$A$1</f>
        <v>1000</v>
      </c>
      <c r="J235" s="42">
        <f>Рецепты[[#This Row],[%]]*Рецепты[[#This Row],[Масса]]</f>
        <v>160</v>
      </c>
      <c r="K235" s="43">
        <f>Рецепты[[#This Row],[Вес ингр-тов]]*VLOOKUP(Рецепты[[#This Row],[Состав]],Ингредиенты[],3,FALSE)</f>
        <v>80.960000000000008</v>
      </c>
      <c r="L235" s="41">
        <f>IF(VLOOKUP(Рецепты[[#This Row],[Состав]],Ингредиенты[],4,0)="Основа",VLOOKUP(Рецепты[[#This Row],[Способ]],Способ[],2,0),0%)</f>
        <v>0</v>
      </c>
      <c r="M235" s="41">
        <f>VLOOKUP(Рецепты[[#This Row],[Способ]],Способ[],3,0)</f>
        <v>0.7</v>
      </c>
      <c r="N235" s="43">
        <f>Рецепты[[#This Row],[р]]*100%/(100%-Рецепты[[#This Row],[Потери, %]])+Рецепты[[#This Row],[Маржа]]*(Рецепты[[#This Row],[р]]*100%)/(100%-Рецепты[[#This Row],[Потери, %]])</f>
        <v>137.63200000000001</v>
      </c>
      <c r="O235" s="43">
        <f>Рецепты[[#This Row],[Цена за 1 кг]]-(Рецепты[[#This Row],[р]]*100%/(100%-Рецепты[[#This Row],[Потери, %]]))</f>
        <v>56.671999999999997</v>
      </c>
      <c r="P235" s="40" t="s">
        <v>476</v>
      </c>
      <c r="Q235" s="40" t="s">
        <v>478</v>
      </c>
      <c r="R235" s="44" t="str">
        <f>VLOOKUP(Рецепты[[#This Row],[Состав]],Ингредиенты[],9,0)</f>
        <v>Да</v>
      </c>
      <c r="S235" s="52"/>
    </row>
    <row r="236" spans="1:19" x14ac:dyDescent="0.25">
      <c r="A236" s="40" t="s">
        <v>475</v>
      </c>
      <c r="B236" s="40" t="str">
        <f t="shared" si="25"/>
        <v>Сосиски</v>
      </c>
      <c r="C236" s="40" t="str">
        <f t="shared" si="26"/>
        <v>Вареное</v>
      </c>
      <c r="D236" s="40" t="s">
        <v>128</v>
      </c>
      <c r="E236" s="41" t="str">
        <f>VLOOKUP(Рецепты[[#This Row],[Состав]],Ингредиенты[],2,0)</f>
        <v>Специи</v>
      </c>
      <c r="F236" s="62">
        <v>8.9999999999999993E-3</v>
      </c>
      <c r="G236" s="42">
        <f>IF(Рецепты[[#This Row],[%]]*1000&gt;0,Рецепты[[#This Row],[%]]*1000,"")</f>
        <v>9</v>
      </c>
      <c r="H236" s="43">
        <f>IFERROR(VLOOKUP(Рецепты[[#This Row],[Состав]],Ингредиенты!A:I,3,0)*Рецепты[[#This Row],[г]],"")</f>
        <v>0.34649999999999997</v>
      </c>
      <c r="I236" s="42">
        <f>СводРецепт!$A$1</f>
        <v>1000</v>
      </c>
      <c r="J236" s="42">
        <f>Рецепты[[#This Row],[%]]*Рецепты[[#This Row],[Масса]]</f>
        <v>9</v>
      </c>
      <c r="K236" s="43">
        <f>Рецепты[[#This Row],[Вес ингр-тов]]*VLOOKUP(Рецепты[[#This Row],[Состав]],Ингредиенты[],3,FALSE)</f>
        <v>0.34649999999999997</v>
      </c>
      <c r="L236" s="41">
        <f>IF(VLOOKUP(Рецепты[[#This Row],[Состав]],Ингредиенты[],4,0)="Основа",VLOOKUP(Рецепты[[#This Row],[Способ]],Способ[],2,0),0%)</f>
        <v>0</v>
      </c>
      <c r="M236" s="41">
        <f>VLOOKUP(Рецепты[[#This Row],[Способ]],Способ[],3,0)</f>
        <v>0.7</v>
      </c>
      <c r="N236" s="43">
        <f>Рецепты[[#This Row],[р]]*100%/(100%-Рецепты[[#This Row],[Потери, %]])+Рецепты[[#This Row],[Маржа]]*(Рецепты[[#This Row],[р]]*100%)/(100%-Рецепты[[#This Row],[Потери, %]])</f>
        <v>0.58904999999999996</v>
      </c>
      <c r="O236" s="43">
        <f>Рецепты[[#This Row],[Цена за 1 кг]]-(Рецепты[[#This Row],[р]]*100%/(100%-Рецепты[[#This Row],[Потери, %]]))</f>
        <v>0.24254999999999999</v>
      </c>
      <c r="P236" s="40" t="s">
        <v>476</v>
      </c>
      <c r="Q236" s="40" t="s">
        <v>479</v>
      </c>
      <c r="R236" s="44" t="str">
        <f>VLOOKUP(Рецепты[[#This Row],[Состав]],Ингредиенты[],9,0)</f>
        <v>Да</v>
      </c>
      <c r="S236" s="52"/>
    </row>
    <row r="237" spans="1:19" x14ac:dyDescent="0.25">
      <c r="A237" s="40" t="s">
        <v>475</v>
      </c>
      <c r="B237" s="40" t="str">
        <f t="shared" si="25"/>
        <v>Сосиски</v>
      </c>
      <c r="C237" s="40" t="str">
        <f t="shared" si="26"/>
        <v>Вареное</v>
      </c>
      <c r="D237" s="40" t="s">
        <v>125</v>
      </c>
      <c r="E237" s="41" t="str">
        <f>VLOOKUP(Рецепты[[#This Row],[Состав]],Ингредиенты[],2,0)</f>
        <v>Специи</v>
      </c>
      <c r="F237" s="62">
        <v>8.9999999999999993E-3</v>
      </c>
      <c r="G237" s="42">
        <f>IF(Рецепты[[#This Row],[%]]*1000&gt;0,Рецепты[[#This Row],[%]]*1000,"")</f>
        <v>9</v>
      </c>
      <c r="H237" s="43">
        <f>IFERROR(VLOOKUP(Рецепты[[#This Row],[Состав]],Ингредиенты!A:I,3,0)*Рецепты[[#This Row],[г]],"")</f>
        <v>1.1520000000000001</v>
      </c>
      <c r="I237" s="42">
        <f>СводРецепт!$A$1</f>
        <v>1000</v>
      </c>
      <c r="J237" s="42">
        <f>Рецепты[[#This Row],[%]]*Рецепты[[#This Row],[Масса]]</f>
        <v>9</v>
      </c>
      <c r="K237" s="43">
        <f>Рецепты[[#This Row],[Вес ингр-тов]]*VLOOKUP(Рецепты[[#This Row],[Состав]],Ингредиенты[],3,FALSE)</f>
        <v>1.1520000000000001</v>
      </c>
      <c r="L237" s="41">
        <f>IF(VLOOKUP(Рецепты[[#This Row],[Состав]],Ингредиенты[],4,0)="Основа",VLOOKUP(Рецепты[[#This Row],[Способ]],Способ[],2,0),0%)</f>
        <v>0</v>
      </c>
      <c r="M237" s="41">
        <f>VLOOKUP(Рецепты[[#This Row],[Способ]],Способ[],3,0)</f>
        <v>0.7</v>
      </c>
      <c r="N237" s="43">
        <f>Рецепты[[#This Row],[р]]*100%/(100%-Рецепты[[#This Row],[Потери, %]])+Рецепты[[#This Row],[Маржа]]*(Рецепты[[#This Row],[р]]*100%)/(100%-Рецепты[[#This Row],[Потери, %]])</f>
        <v>1.9584000000000001</v>
      </c>
      <c r="O237" s="43">
        <f>Рецепты[[#This Row],[Цена за 1 кг]]-(Рецепты[[#This Row],[р]]*100%/(100%-Рецепты[[#This Row],[Потери, %]]))</f>
        <v>0.80640000000000001</v>
      </c>
      <c r="P237" s="40" t="s">
        <v>476</v>
      </c>
      <c r="Q237" s="40" t="s">
        <v>480</v>
      </c>
      <c r="R237" s="44" t="str">
        <f>VLOOKUP(Рецепты[[#This Row],[Состав]],Ингредиенты[],9,0)</f>
        <v>Да</v>
      </c>
      <c r="S237" s="52"/>
    </row>
    <row r="238" spans="1:19" x14ac:dyDescent="0.25">
      <c r="A238" s="40" t="s">
        <v>475</v>
      </c>
      <c r="B238" s="40" t="str">
        <f t="shared" si="25"/>
        <v>Сосиски</v>
      </c>
      <c r="C238" s="40" t="str">
        <f t="shared" si="26"/>
        <v>Вареное</v>
      </c>
      <c r="D238" s="40" t="s">
        <v>135</v>
      </c>
      <c r="E238" s="41" t="str">
        <f>VLOOKUP(Рецепты[[#This Row],[Состав]],Ингредиенты[],2,0)</f>
        <v>Специи</v>
      </c>
      <c r="F238" s="62">
        <v>5.0000000000000001E-4</v>
      </c>
      <c r="G238" s="42">
        <f>IF(Рецепты[[#This Row],[%]]*1000&gt;0,Рецепты[[#This Row],[%]]*1000,"")</f>
        <v>0.5</v>
      </c>
      <c r="H238" s="43">
        <f>IFERROR(VLOOKUP(Рецепты[[#This Row],[Состав]],Ингредиенты!A:I,3,0)*Рецепты[[#This Row],[г]],"")</f>
        <v>0.79</v>
      </c>
      <c r="I238" s="42">
        <f>СводРецепт!$A$1</f>
        <v>1000</v>
      </c>
      <c r="J238" s="42">
        <f>Рецепты[[#This Row],[%]]*Рецепты[[#This Row],[Масса]]</f>
        <v>0.5</v>
      </c>
      <c r="K238" s="43">
        <f>Рецепты[[#This Row],[Вес ингр-тов]]*VLOOKUP(Рецепты[[#This Row],[Состав]],Ингредиенты[],3,FALSE)</f>
        <v>0.79</v>
      </c>
      <c r="L238" s="41">
        <f>IF(VLOOKUP(Рецепты[[#This Row],[Состав]],Ингредиенты[],4,0)="Основа",VLOOKUP(Рецепты[[#This Row],[Способ]],Способ[],2,0),0%)</f>
        <v>0</v>
      </c>
      <c r="M238" s="41">
        <f>VLOOKUP(Рецепты[[#This Row],[Способ]],Способ[],3,0)</f>
        <v>0.7</v>
      </c>
      <c r="N238" s="43">
        <f>Рецепты[[#This Row],[р]]*100%/(100%-Рецепты[[#This Row],[Потери, %]])+Рецепты[[#This Row],[Маржа]]*(Рецепты[[#This Row],[р]]*100%)/(100%-Рецепты[[#This Row],[Потери, %]])</f>
        <v>1.343</v>
      </c>
      <c r="O238" s="43">
        <f>Рецепты[[#This Row],[Цена за 1 кг]]-(Рецепты[[#This Row],[р]]*100%/(100%-Рецепты[[#This Row],[Потери, %]]))</f>
        <v>0.55299999999999994</v>
      </c>
      <c r="P238" s="40" t="s">
        <v>476</v>
      </c>
      <c r="Q238" s="40" t="s">
        <v>481</v>
      </c>
      <c r="R238" s="44" t="str">
        <f>VLOOKUP(Рецепты[[#This Row],[Состав]],Ингредиенты[],9,0)</f>
        <v>Да</v>
      </c>
      <c r="S238" s="52"/>
    </row>
    <row r="239" spans="1:19" x14ac:dyDescent="0.25">
      <c r="A239" s="40" t="s">
        <v>475</v>
      </c>
      <c r="B239" s="40" t="str">
        <f t="shared" si="25"/>
        <v>Сосиски</v>
      </c>
      <c r="C239" s="40" t="str">
        <f t="shared" si="26"/>
        <v>Вареное</v>
      </c>
      <c r="D239" s="40" t="s">
        <v>149</v>
      </c>
      <c r="E239" s="41" t="str">
        <f>VLOOKUP(Рецепты[[#This Row],[Состав]],Ингредиенты[],2,0)</f>
        <v>Специи</v>
      </c>
      <c r="F239" s="62">
        <v>5.0000000000000001E-4</v>
      </c>
      <c r="G239" s="42">
        <f>IF(Рецепты[[#This Row],[%]]*1000&gt;0,Рецепты[[#This Row],[%]]*1000,"")</f>
        <v>0.5</v>
      </c>
      <c r="H239" s="43">
        <f>IFERROR(VLOOKUP(Рецепты[[#This Row],[Состав]],Ингредиенты!A:I,3,0)*Рецепты[[#This Row],[г]],"")</f>
        <v>1.0386363636363636</v>
      </c>
      <c r="I239" s="42">
        <f>СводРецепт!$A$1</f>
        <v>1000</v>
      </c>
      <c r="J239" s="42">
        <f>Рецепты[[#This Row],[%]]*Рецепты[[#This Row],[Масса]]</f>
        <v>0.5</v>
      </c>
      <c r="K239" s="43">
        <f>Рецепты[[#This Row],[Вес ингр-тов]]*VLOOKUP(Рецепты[[#This Row],[Состав]],Ингредиенты[],3,FALSE)</f>
        <v>1.0386363636363636</v>
      </c>
      <c r="L239" s="41">
        <f>IF(VLOOKUP(Рецепты[[#This Row],[Состав]],Ингредиенты[],4,0)="Основа",VLOOKUP(Рецепты[[#This Row],[Способ]],Способ[],2,0),0%)</f>
        <v>0</v>
      </c>
      <c r="M239" s="41">
        <f>VLOOKUP(Рецепты[[#This Row],[Способ]],Способ[],3,0)</f>
        <v>0.7</v>
      </c>
      <c r="N239" s="43">
        <f>Рецепты[[#This Row],[р]]*100%/(100%-Рецепты[[#This Row],[Потери, %]])+Рецепты[[#This Row],[Маржа]]*(Рецепты[[#This Row],[р]]*100%)/(100%-Рецепты[[#This Row],[Потери, %]])</f>
        <v>1.7656818181818181</v>
      </c>
      <c r="O239" s="43">
        <f>Рецепты[[#This Row],[Цена за 1 кг]]-(Рецепты[[#This Row],[р]]*100%/(100%-Рецепты[[#This Row],[Потери, %]]))</f>
        <v>0.72704545454545455</v>
      </c>
      <c r="P239" s="40" t="s">
        <v>476</v>
      </c>
      <c r="Q239" s="40" t="s">
        <v>482</v>
      </c>
      <c r="R239" s="44" t="str">
        <f>VLOOKUP(Рецепты[[#This Row],[Состав]],Ингредиенты[],9,0)</f>
        <v>Да</v>
      </c>
      <c r="S239" s="52"/>
    </row>
    <row r="240" spans="1:19" x14ac:dyDescent="0.25">
      <c r="A240" s="40" t="s">
        <v>475</v>
      </c>
      <c r="B240" s="40" t="str">
        <f t="shared" si="25"/>
        <v>Сосиски</v>
      </c>
      <c r="C240" s="40" t="str">
        <f t="shared" si="26"/>
        <v>Вареное</v>
      </c>
      <c r="D240" s="40" t="s">
        <v>131</v>
      </c>
      <c r="E240" s="41" t="str">
        <f>VLOOKUP(Рецепты[[#This Row],[Состав]],Ингредиенты[],2,0)</f>
        <v>Специи</v>
      </c>
      <c r="F240" s="62">
        <v>3.0000000000000001E-3</v>
      </c>
      <c r="G240" s="42">
        <f>IF(Рецепты[[#This Row],[%]]*1000&gt;0,Рецепты[[#This Row],[%]]*1000,"")</f>
        <v>3</v>
      </c>
      <c r="H240" s="43">
        <f>IFERROR(VLOOKUP(Рецепты[[#This Row],[Состав]],Ингредиенты!A:I,3,0)*Рецепты[[#This Row],[г]],"")</f>
        <v>0.24264705882352944</v>
      </c>
      <c r="I240" s="42">
        <f>СводРецепт!$A$1</f>
        <v>1000</v>
      </c>
      <c r="J240" s="42">
        <f>Рецепты[[#This Row],[%]]*Рецепты[[#This Row],[Масса]]</f>
        <v>3</v>
      </c>
      <c r="K240" s="43">
        <f>Рецепты[[#This Row],[Вес ингр-тов]]*VLOOKUP(Рецепты[[#This Row],[Состав]],Ингредиенты[],3,FALSE)</f>
        <v>0.24264705882352944</v>
      </c>
      <c r="L240" s="41">
        <f>IF(VLOOKUP(Рецепты[[#This Row],[Состав]],Ингредиенты[],4,0)="Основа",VLOOKUP(Рецепты[[#This Row],[Способ]],Способ[],2,0),0%)</f>
        <v>0</v>
      </c>
      <c r="M240" s="41">
        <f>VLOOKUP(Рецепты[[#This Row],[Способ]],Способ[],3,0)</f>
        <v>0.7</v>
      </c>
      <c r="N240" s="43">
        <f>Рецепты[[#This Row],[р]]*100%/(100%-Рецепты[[#This Row],[Потери, %]])+Рецепты[[#This Row],[Маржа]]*(Рецепты[[#This Row],[р]]*100%)/(100%-Рецепты[[#This Row],[Потери, %]])</f>
        <v>0.41250000000000003</v>
      </c>
      <c r="O240" s="43">
        <f>Рецепты[[#This Row],[Цена за 1 кг]]-(Рецепты[[#This Row],[р]]*100%/(100%-Рецепты[[#This Row],[Потери, %]]))</f>
        <v>0.1698529411764706</v>
      </c>
      <c r="P240" s="40" t="s">
        <v>476</v>
      </c>
      <c r="Q240" s="40" t="s">
        <v>483</v>
      </c>
      <c r="R240" s="44" t="str">
        <f>VLOOKUP(Рецепты[[#This Row],[Состав]],Ингредиенты[],9,0)</f>
        <v>Да</v>
      </c>
      <c r="S240" s="52"/>
    </row>
    <row r="241" spans="1:19" x14ac:dyDescent="0.25">
      <c r="A241" s="40" t="s">
        <v>475</v>
      </c>
      <c r="B241" s="40" t="str">
        <f t="shared" si="25"/>
        <v>Сосиски</v>
      </c>
      <c r="C241" s="40" t="str">
        <f t="shared" si="26"/>
        <v>Вареное</v>
      </c>
      <c r="D241" s="40" t="s">
        <v>157</v>
      </c>
      <c r="E241" s="41" t="str">
        <f>VLOOKUP(Рецепты[[#This Row],[Состав]],Ингредиенты[],2,0)</f>
        <v>Специи</v>
      </c>
      <c r="F241" s="62">
        <v>3.0000000000000001E-3</v>
      </c>
      <c r="G241" s="42">
        <f>IF(Рецепты[[#This Row],[%]]*1000&gt;0,Рецепты[[#This Row],[%]]*1000,"")</f>
        <v>3</v>
      </c>
      <c r="H241" s="43">
        <f>IFERROR(VLOOKUP(Рецепты[[#This Row],[Состав]],Ингредиенты!A:I,3,0)*Рецепты[[#This Row],[г]],"")</f>
        <v>2.2439999999999998</v>
      </c>
      <c r="I241" s="42">
        <f>СводРецепт!$A$1</f>
        <v>1000</v>
      </c>
      <c r="J241" s="42">
        <f>Рецепты[[#This Row],[%]]*Рецепты[[#This Row],[Масса]]</f>
        <v>3</v>
      </c>
      <c r="K241" s="43">
        <f>Рецепты[[#This Row],[Вес ингр-тов]]*VLOOKUP(Рецепты[[#This Row],[Состав]],Ингредиенты[],3,FALSE)</f>
        <v>2.2439999999999998</v>
      </c>
      <c r="L241" s="41">
        <f>IF(VLOOKUP(Рецепты[[#This Row],[Состав]],Ингредиенты[],4,0)="Основа",VLOOKUP(Рецепты[[#This Row],[Способ]],Способ[],2,0),0%)</f>
        <v>0</v>
      </c>
      <c r="M241" s="41">
        <f>VLOOKUP(Рецепты[[#This Row],[Способ]],Способ[],3,0)</f>
        <v>0.7</v>
      </c>
      <c r="N241" s="43">
        <f>Рецепты[[#This Row],[р]]*100%/(100%-Рецепты[[#This Row],[Потери, %]])+Рецепты[[#This Row],[Маржа]]*(Рецепты[[#This Row],[р]]*100%)/(100%-Рецепты[[#This Row],[Потери, %]])</f>
        <v>3.8147999999999995</v>
      </c>
      <c r="O241" s="43">
        <f>Рецепты[[#This Row],[Цена за 1 кг]]-(Рецепты[[#This Row],[р]]*100%/(100%-Рецепты[[#This Row],[Потери, %]]))</f>
        <v>1.5707999999999998</v>
      </c>
      <c r="P241" s="40" t="s">
        <v>476</v>
      </c>
      <c r="Q241" s="40" t="s">
        <v>484</v>
      </c>
      <c r="R241" s="44" t="str">
        <f>VLOOKUP(Рецепты[[#This Row],[Состав]],Ингредиенты[],9,0)</f>
        <v>Да</v>
      </c>
      <c r="S241" s="52"/>
    </row>
    <row r="242" spans="1:19" x14ac:dyDescent="0.25">
      <c r="A242" s="40" t="s">
        <v>475</v>
      </c>
      <c r="B242" s="40" t="str">
        <f>B241</f>
        <v>Сосиски</v>
      </c>
      <c r="C242" s="40" t="str">
        <f>C241</f>
        <v>Вареное</v>
      </c>
      <c r="D242" s="40" t="s">
        <v>220</v>
      </c>
      <c r="E242" s="41" t="str">
        <f>VLOOKUP(Рецепты[[#This Row],[Состав]],Ингредиенты[],2,0)</f>
        <v>Оболочка</v>
      </c>
      <c r="F242" s="62">
        <v>1E-3</v>
      </c>
      <c r="G242" s="42">
        <f>IF(Рецепты[[#This Row],[%]]*1000&gt;0,Рецепты[[#This Row],[%]]*1000,"")</f>
        <v>1</v>
      </c>
      <c r="H242" s="43">
        <f>IFERROR(VLOOKUP(Рецепты[[#This Row],[Состав]],Ингредиенты!A:I,3,0)*Рецепты[[#This Row],[г]],"")</f>
        <v>39.348206474190725</v>
      </c>
      <c r="I242" s="42">
        <f>СводРецепт!$A$1</f>
        <v>1000</v>
      </c>
      <c r="J242" s="42">
        <f>Рецепты[[#This Row],[%]]*Рецепты[[#This Row],[Масса]]</f>
        <v>1</v>
      </c>
      <c r="K242" s="43">
        <f>Рецепты[[#This Row],[Вес ингр-тов]]*VLOOKUP(Рецепты[[#This Row],[Состав]],Ингредиенты[],3,FALSE)</f>
        <v>39.348206474190725</v>
      </c>
      <c r="L242" s="41">
        <f>IF(VLOOKUP(Рецепты[[#This Row],[Состав]],Ингредиенты[],4,0)="Основа",VLOOKUP(Рецепты[[#This Row],[Способ]],Способ[],2,0),0%)</f>
        <v>0</v>
      </c>
      <c r="M242" s="41">
        <f>VLOOKUP(Рецепты[[#This Row],[Способ]],Способ[],3,0)</f>
        <v>0.7</v>
      </c>
      <c r="N242" s="43">
        <f>Рецепты[[#This Row],[р]]*100%/(100%-Рецепты[[#This Row],[Потери, %]])+Рецепты[[#This Row],[Маржа]]*(Рецепты[[#This Row],[р]]*100%)/(100%-Рецепты[[#This Row],[Потери, %]])</f>
        <v>66.891951006124231</v>
      </c>
      <c r="O242" s="43">
        <f>Рецепты[[#This Row],[Цена за 1 кг]]-(Рецепты[[#This Row],[р]]*100%/(100%-Рецепты[[#This Row],[Потери, %]]))</f>
        <v>27.543744531933505</v>
      </c>
      <c r="P242" s="40" t="s">
        <v>476</v>
      </c>
      <c r="Q242" s="40" t="s">
        <v>485</v>
      </c>
      <c r="R242" s="44" t="str">
        <f>VLOOKUP(Рецепты[[#This Row],[Состав]],Ингредиенты[],9,0)</f>
        <v>Нет</v>
      </c>
      <c r="S242" s="52"/>
    </row>
    <row r="243" spans="1:19" x14ac:dyDescent="0.25">
      <c r="A243" s="40" t="s">
        <v>486</v>
      </c>
      <c r="B243" s="40" t="s">
        <v>17</v>
      </c>
      <c r="C243" s="40" t="s">
        <v>5</v>
      </c>
      <c r="D243" s="40" t="s">
        <v>55</v>
      </c>
      <c r="E243" s="41" t="str">
        <f>VLOOKUP(Рецепты[[#This Row],[Состав]],Ингредиенты[],2,0)</f>
        <v>Свинина</v>
      </c>
      <c r="F243" s="62">
        <v>1</v>
      </c>
      <c r="G243" s="42">
        <f>IF(Рецепты[[#This Row],[%]]*1000&gt;0,Рецепты[[#This Row],[%]]*1000,"")</f>
        <v>1000</v>
      </c>
      <c r="H243" s="43">
        <f>IFERROR(VLOOKUP(Рецепты[[#This Row],[Состав]],Ингредиенты!A:I,3,0)*Рецепты[[#This Row],[г]],"")</f>
        <v>289.99</v>
      </c>
      <c r="I243" s="42">
        <f>СводРецепт!$A$1</f>
        <v>1000</v>
      </c>
      <c r="J243" s="42">
        <f>Рецепты[[#This Row],[%]]*Рецепты[[#This Row],[Масса]]</f>
        <v>1000</v>
      </c>
      <c r="K243" s="43">
        <f>Рецепты[[#This Row],[Вес ингр-тов]]*VLOOKUP(Рецепты[[#This Row],[Состав]],Ингредиенты[],3,FALSE)</f>
        <v>289.99</v>
      </c>
      <c r="L243" s="41">
        <f>IF(VLOOKUP(Рецепты[[#This Row],[Состав]],Ингредиенты[],4,0)="Основа",VLOOKUP(Рецепты[[#This Row],[Способ]],Способ[],2,0),0%)</f>
        <v>0.15</v>
      </c>
      <c r="M243" s="41">
        <f>VLOOKUP(Рецепты[[#This Row],[Способ]],Способ[],3,0)</f>
        <v>0.9</v>
      </c>
      <c r="N243" s="43">
        <f>Рецепты[[#This Row],[р]]*100%/(100%-Рецепты[[#This Row],[Потери, %]])+Рецепты[[#This Row],[Маржа]]*(Рецепты[[#This Row],[р]]*100%)/(100%-Рецепты[[#This Row],[Потери, %]])</f>
        <v>648.21294117647062</v>
      </c>
      <c r="O243" s="43">
        <f>Рецепты[[#This Row],[Цена за 1 кг]]-(Рецепты[[#This Row],[р]]*100%/(100%-Рецепты[[#This Row],[Потери, %]]))</f>
        <v>307.04823529411766</v>
      </c>
      <c r="P243" s="40"/>
      <c r="Q243" s="40"/>
      <c r="R243" s="44" t="str">
        <f>VLOOKUP(Рецепты[[#This Row],[Состав]],Ингредиенты[],9,0)</f>
        <v>Нет</v>
      </c>
      <c r="S243" s="52"/>
    </row>
    <row r="244" spans="1:19" x14ac:dyDescent="0.25">
      <c r="A244" s="40" t="s">
        <v>486</v>
      </c>
      <c r="B244" s="40" t="str">
        <f t="shared" ref="B244:B254" si="27">B243</f>
        <v>Цельное</v>
      </c>
      <c r="C244" s="40" t="str">
        <f t="shared" ref="C244:C255" si="28">C243</f>
        <v>ГК</v>
      </c>
      <c r="D244" s="40" t="s">
        <v>93</v>
      </c>
      <c r="E244" s="41" t="str">
        <f>VLOOKUP(Рецепты[[#This Row],[Состав]],Ингредиенты[],2,0)</f>
        <v>Добавки</v>
      </c>
      <c r="F244" s="62">
        <v>0.1</v>
      </c>
      <c r="G244" s="42">
        <f>IF(Рецепты[[#This Row],[%]]*1000&gt;0,Рецепты[[#This Row],[%]]*1000,"")</f>
        <v>100</v>
      </c>
      <c r="H244" s="43">
        <f>IFERROR(VLOOKUP(Рецепты[[#This Row],[Состав]],Ингредиенты!A:I,3,0)*Рецепты[[#This Row],[г]],"")</f>
        <v>0.1</v>
      </c>
      <c r="I244" s="42">
        <f>СводРецепт!$A$1</f>
        <v>1000</v>
      </c>
      <c r="J244" s="42">
        <f>Рецепты[[#This Row],[%]]*Рецепты[[#This Row],[Масса]]</f>
        <v>100</v>
      </c>
      <c r="K244" s="43">
        <f>Рецепты[[#This Row],[Вес ингр-тов]]*VLOOKUP(Рецепты[[#This Row],[Состав]],Ингредиенты[],3,FALSE)</f>
        <v>0.1</v>
      </c>
      <c r="L244" s="41">
        <f>IF(VLOOKUP(Рецепты[[#This Row],[Состав]],Ингредиенты[],4,0)="Основа",VLOOKUP(Рецепты[[#This Row],[Способ]],Способ[],2,0),0%)</f>
        <v>0</v>
      </c>
      <c r="M244" s="41">
        <f>VLOOKUP(Рецепты[[#This Row],[Способ]],Способ[],3,0)</f>
        <v>0.9</v>
      </c>
      <c r="N244" s="43">
        <f>Рецепты[[#This Row],[р]]*100%/(100%-Рецепты[[#This Row],[Потери, %]])+Рецепты[[#This Row],[Маржа]]*(Рецепты[[#This Row],[р]]*100%)/(100%-Рецепты[[#This Row],[Потери, %]])</f>
        <v>0.19</v>
      </c>
      <c r="O244" s="43">
        <f>Рецепты[[#This Row],[Цена за 1 кг]]-(Рецепты[[#This Row],[р]]*100%/(100%-Рецепты[[#This Row],[Потери, %]]))</f>
        <v>0.09</v>
      </c>
      <c r="P244" s="40"/>
      <c r="Q244" s="40"/>
      <c r="R244" s="44" t="str">
        <f>VLOOKUP(Рецепты[[#This Row],[Состав]],Ингредиенты[],9,0)</f>
        <v>Да</v>
      </c>
      <c r="S244" s="52"/>
    </row>
    <row r="245" spans="1:19" x14ac:dyDescent="0.25">
      <c r="A245" s="40" t="s">
        <v>486</v>
      </c>
      <c r="B245" s="40" t="str">
        <f t="shared" si="27"/>
        <v>Цельное</v>
      </c>
      <c r="C245" s="40" t="str">
        <f t="shared" si="28"/>
        <v>ГК</v>
      </c>
      <c r="D245" s="40" t="s">
        <v>125</v>
      </c>
      <c r="E245" s="41" t="str">
        <f>VLOOKUP(Рецепты[[#This Row],[Состав]],Ингредиенты[],2,0)</f>
        <v>Специи</v>
      </c>
      <c r="F245" s="62">
        <v>1.6E-2</v>
      </c>
      <c r="G245" s="42">
        <f>IF(Рецепты[[#This Row],[%]]*1000&gt;0,Рецепты[[#This Row],[%]]*1000,"")</f>
        <v>16</v>
      </c>
      <c r="H245" s="43">
        <f>IFERROR(VLOOKUP(Рецепты[[#This Row],[Состав]],Ингредиенты!A:I,3,0)*Рецепты[[#This Row],[г]],"")</f>
        <v>2.048</v>
      </c>
      <c r="I245" s="42">
        <f>СводРецепт!$A$1</f>
        <v>1000</v>
      </c>
      <c r="J245" s="42">
        <f>Рецепты[[#This Row],[%]]*Рецепты[[#This Row],[Масса]]</f>
        <v>16</v>
      </c>
      <c r="K245" s="43">
        <f>Рецепты[[#This Row],[Вес ингр-тов]]*VLOOKUP(Рецепты[[#This Row],[Состав]],Ингредиенты[],3,FALSE)</f>
        <v>2.048</v>
      </c>
      <c r="L245" s="41">
        <f>IF(VLOOKUP(Рецепты[[#This Row],[Состав]],Ингредиенты[],4,0)="Основа",VLOOKUP(Рецепты[[#This Row],[Способ]],Способ[],2,0),0%)</f>
        <v>0</v>
      </c>
      <c r="M245" s="41">
        <f>VLOOKUP(Рецепты[[#This Row],[Способ]],Способ[],3,0)</f>
        <v>0.9</v>
      </c>
      <c r="N245" s="43">
        <f>Рецепты[[#This Row],[р]]*100%/(100%-Рецепты[[#This Row],[Потери, %]])+Рецепты[[#This Row],[Маржа]]*(Рецепты[[#This Row],[р]]*100%)/(100%-Рецепты[[#This Row],[Потери, %]])</f>
        <v>3.8912000000000004</v>
      </c>
      <c r="O245" s="43">
        <f>Рецепты[[#This Row],[Цена за 1 кг]]-(Рецепты[[#This Row],[р]]*100%/(100%-Рецепты[[#This Row],[Потери, %]]))</f>
        <v>1.8432000000000004</v>
      </c>
      <c r="P245" s="40"/>
      <c r="Q245" s="40"/>
      <c r="R245" s="44" t="str">
        <f>VLOOKUP(Рецепты[[#This Row],[Состав]],Ингредиенты[],9,0)</f>
        <v>Да</v>
      </c>
      <c r="S245" s="52"/>
    </row>
    <row r="246" spans="1:19" x14ac:dyDescent="0.25">
      <c r="A246" s="40" t="s">
        <v>486</v>
      </c>
      <c r="B246" s="40" t="str">
        <f t="shared" si="27"/>
        <v>Цельное</v>
      </c>
      <c r="C246" s="40" t="str">
        <f t="shared" si="28"/>
        <v>ГК</v>
      </c>
      <c r="D246" s="40" t="s">
        <v>131</v>
      </c>
      <c r="E246" s="41" t="str">
        <f>VLOOKUP(Рецепты[[#This Row],[Состав]],Ингредиенты[],2,0)</f>
        <v>Специи</v>
      </c>
      <c r="F246" s="62">
        <v>4.0000000000000001E-3</v>
      </c>
      <c r="G246" s="42">
        <f>IF(Рецепты[[#This Row],[%]]*1000&gt;0,Рецепты[[#This Row],[%]]*1000,"")</f>
        <v>4</v>
      </c>
      <c r="H246" s="43">
        <f>IFERROR(VLOOKUP(Рецепты[[#This Row],[Состав]],Ингредиенты!A:I,3,0)*Рецепты[[#This Row],[г]],"")</f>
        <v>0.3235294117647059</v>
      </c>
      <c r="I246" s="42">
        <f>СводРецепт!$A$1</f>
        <v>1000</v>
      </c>
      <c r="J246" s="42">
        <f>Рецепты[[#This Row],[%]]*Рецепты[[#This Row],[Масса]]</f>
        <v>4</v>
      </c>
      <c r="K246" s="43">
        <f>Рецепты[[#This Row],[Вес ингр-тов]]*VLOOKUP(Рецепты[[#This Row],[Состав]],Ингредиенты[],3,FALSE)</f>
        <v>0.3235294117647059</v>
      </c>
      <c r="L246" s="41">
        <f>IF(VLOOKUP(Рецепты[[#This Row],[Состав]],Ингредиенты[],4,0)="Основа",VLOOKUP(Рецепты[[#This Row],[Способ]],Способ[],2,0),0%)</f>
        <v>0</v>
      </c>
      <c r="M246" s="41">
        <f>VLOOKUP(Рецепты[[#This Row],[Способ]],Способ[],3,0)</f>
        <v>0.9</v>
      </c>
      <c r="N246" s="43">
        <f>Рецепты[[#This Row],[р]]*100%/(100%-Рецепты[[#This Row],[Потери, %]])+Рецепты[[#This Row],[Маржа]]*(Рецепты[[#This Row],[р]]*100%)/(100%-Рецепты[[#This Row],[Потери, %]])</f>
        <v>0.61470588235294121</v>
      </c>
      <c r="O246" s="43">
        <f>Рецепты[[#This Row],[Цена за 1 кг]]-(Рецепты[[#This Row],[р]]*100%/(100%-Рецепты[[#This Row],[Потери, %]]))</f>
        <v>0.29117647058823531</v>
      </c>
      <c r="P246" s="40"/>
      <c r="Q246" s="40"/>
      <c r="R246" s="44" t="str">
        <f>VLOOKUP(Рецепты[[#This Row],[Состав]],Ингредиенты[],9,0)</f>
        <v>Да</v>
      </c>
      <c r="S246" s="52"/>
    </row>
    <row r="247" spans="1:19" x14ac:dyDescent="0.25">
      <c r="A247" s="40" t="s">
        <v>486</v>
      </c>
      <c r="B247" s="40" t="str">
        <f t="shared" si="27"/>
        <v>Цельное</v>
      </c>
      <c r="C247" s="40" t="str">
        <f t="shared" si="28"/>
        <v>ГК</v>
      </c>
      <c r="D247" s="40" t="s">
        <v>133</v>
      </c>
      <c r="E247" s="41" t="str">
        <f>VLOOKUP(Рецепты[[#This Row],[Состав]],Ингредиенты[],2,0)</f>
        <v>Специи</v>
      </c>
      <c r="F247" s="62">
        <v>2E-3</v>
      </c>
      <c r="G247" s="42">
        <f>IF(Рецепты[[#This Row],[%]]*1000&gt;0,Рецепты[[#This Row],[%]]*1000,"")</f>
        <v>2</v>
      </c>
      <c r="H247" s="43">
        <f>IFERROR(VLOOKUP(Рецепты[[#This Row],[Состав]],Ингредиенты!A:I,3,0)*Рецепты[[#This Row],[г]],"")</f>
        <v>2.189090909090909</v>
      </c>
      <c r="I247" s="42">
        <f>СводРецепт!$A$1</f>
        <v>1000</v>
      </c>
      <c r="J247" s="42">
        <f>Рецепты[[#This Row],[%]]*Рецепты[[#This Row],[Масса]]</f>
        <v>2</v>
      </c>
      <c r="K247" s="43">
        <f>Рецепты[[#This Row],[Вес ингр-тов]]*VLOOKUP(Рецепты[[#This Row],[Состав]],Ингредиенты[],3,FALSE)</f>
        <v>2.189090909090909</v>
      </c>
      <c r="L247" s="41">
        <f>IF(VLOOKUP(Рецепты[[#This Row],[Состав]],Ингредиенты[],4,0)="Основа",VLOOKUP(Рецепты[[#This Row],[Способ]],Способ[],2,0),0%)</f>
        <v>0</v>
      </c>
      <c r="M247" s="41">
        <f>VLOOKUP(Рецепты[[#This Row],[Способ]],Способ[],3,0)</f>
        <v>0.9</v>
      </c>
      <c r="N247" s="43">
        <f>Рецепты[[#This Row],[р]]*100%/(100%-Рецепты[[#This Row],[Потери, %]])+Рецепты[[#This Row],[Маржа]]*(Рецепты[[#This Row],[р]]*100%)/(100%-Рецепты[[#This Row],[Потери, %]])</f>
        <v>4.159272727272727</v>
      </c>
      <c r="O247" s="43">
        <f>Рецепты[[#This Row],[Цена за 1 кг]]-(Рецепты[[#This Row],[р]]*100%/(100%-Рецепты[[#This Row],[Потери, %]]))</f>
        <v>1.970181818181818</v>
      </c>
      <c r="P247" s="40"/>
      <c r="Q247" s="40"/>
      <c r="R247" s="44" t="str">
        <f>VLOOKUP(Рецепты[[#This Row],[Состав]],Ингредиенты[],9,0)</f>
        <v>Да</v>
      </c>
      <c r="S247" s="52"/>
    </row>
    <row r="248" spans="1:19" x14ac:dyDescent="0.25">
      <c r="A248" s="40" t="s">
        <v>486</v>
      </c>
      <c r="B248" s="40" t="str">
        <f t="shared" si="27"/>
        <v>Цельное</v>
      </c>
      <c r="C248" s="40" t="str">
        <f t="shared" si="28"/>
        <v>ГК</v>
      </c>
      <c r="D248" s="40" t="s">
        <v>145</v>
      </c>
      <c r="E248" s="41" t="str">
        <f>VLOOKUP(Рецепты[[#This Row],[Состав]],Ингредиенты[],2,0)</f>
        <v>Специи</v>
      </c>
      <c r="F248" s="62">
        <v>8.0000000000000002E-3</v>
      </c>
      <c r="G248" s="42">
        <f>IF(Рецепты[[#This Row],[%]]*1000&gt;0,Рецепты[[#This Row],[%]]*1000,"")</f>
        <v>8</v>
      </c>
      <c r="H248" s="43">
        <f>IFERROR(VLOOKUP(Рецепты[[#This Row],[Состав]],Ингредиенты!A:I,3,0)*Рецепты[[#This Row],[г]],"")</f>
        <v>6.2545454545454549</v>
      </c>
      <c r="I248" s="42">
        <f>СводРецепт!$A$1</f>
        <v>1000</v>
      </c>
      <c r="J248" s="42">
        <f>Рецепты[[#This Row],[%]]*Рецепты[[#This Row],[Масса]]</f>
        <v>8</v>
      </c>
      <c r="K248" s="43">
        <f>Рецепты[[#This Row],[Вес ингр-тов]]*VLOOKUP(Рецепты[[#This Row],[Состав]],Ингредиенты[],3,FALSE)</f>
        <v>6.2545454545454549</v>
      </c>
      <c r="L248" s="41">
        <f>IF(VLOOKUP(Рецепты[[#This Row],[Состав]],Ингредиенты[],4,0)="Основа",VLOOKUP(Рецепты[[#This Row],[Способ]],Способ[],2,0),0%)</f>
        <v>0</v>
      </c>
      <c r="M248" s="41">
        <f>VLOOKUP(Рецепты[[#This Row],[Способ]],Способ[],3,0)</f>
        <v>0.9</v>
      </c>
      <c r="N248" s="43">
        <f>Рецепты[[#This Row],[р]]*100%/(100%-Рецепты[[#This Row],[Потери, %]])+Рецепты[[#This Row],[Маржа]]*(Рецепты[[#This Row],[р]]*100%)/(100%-Рецепты[[#This Row],[Потери, %]])</f>
        <v>11.883636363636365</v>
      </c>
      <c r="O248" s="43">
        <f>Рецепты[[#This Row],[Цена за 1 кг]]-(Рецепты[[#This Row],[р]]*100%/(100%-Рецепты[[#This Row],[Потери, %]]))</f>
        <v>5.6290909090909098</v>
      </c>
      <c r="P248" s="40"/>
      <c r="Q248" s="40"/>
      <c r="R248" s="44" t="str">
        <f>VLOOKUP(Рецепты[[#This Row],[Состав]],Ингредиенты[],9,0)</f>
        <v>Нет</v>
      </c>
      <c r="S248" s="52"/>
    </row>
    <row r="249" spans="1:19" x14ac:dyDescent="0.25">
      <c r="A249" s="40" t="s">
        <v>486</v>
      </c>
      <c r="B249" s="40" t="str">
        <f t="shared" si="27"/>
        <v>Цельное</v>
      </c>
      <c r="C249" s="40" t="str">
        <f t="shared" si="28"/>
        <v>ГК</v>
      </c>
      <c r="D249" s="40" t="s">
        <v>151</v>
      </c>
      <c r="E249" s="41" t="str">
        <f>VLOOKUP(Рецепты[[#This Row],[Состав]],Ингредиенты[],2,0)</f>
        <v>Специи</v>
      </c>
      <c r="F249" s="62">
        <v>3.0000000000000001E-3</v>
      </c>
      <c r="G249" s="42">
        <f>IF(Рецепты[[#This Row],[%]]*1000&gt;0,Рецепты[[#This Row],[%]]*1000,"")</f>
        <v>3</v>
      </c>
      <c r="H249" s="43">
        <f>IFERROR(VLOOKUP(Рецепты[[#This Row],[Состав]],Ингредиенты!A:I,3,0)*Рецепты[[#This Row],[г]],"")</f>
        <v>2.6349999999999998</v>
      </c>
      <c r="I249" s="42">
        <f>СводРецепт!$A$1</f>
        <v>1000</v>
      </c>
      <c r="J249" s="42">
        <f>Рецепты[[#This Row],[%]]*Рецепты[[#This Row],[Масса]]</f>
        <v>3</v>
      </c>
      <c r="K249" s="43">
        <f>Рецепты[[#This Row],[Вес ингр-тов]]*VLOOKUP(Рецепты[[#This Row],[Состав]],Ингредиенты[],3,FALSE)</f>
        <v>2.6349999999999998</v>
      </c>
      <c r="L249" s="41">
        <f>IF(VLOOKUP(Рецепты[[#This Row],[Состав]],Ингредиенты[],4,0)="Основа",VLOOKUP(Рецепты[[#This Row],[Способ]],Способ[],2,0),0%)</f>
        <v>0</v>
      </c>
      <c r="M249" s="41">
        <f>VLOOKUP(Рецепты[[#This Row],[Способ]],Способ[],3,0)</f>
        <v>0.9</v>
      </c>
      <c r="N249" s="43">
        <f>Рецепты[[#This Row],[р]]*100%/(100%-Рецепты[[#This Row],[Потери, %]])+Рецепты[[#This Row],[Маржа]]*(Рецепты[[#This Row],[р]]*100%)/(100%-Рецепты[[#This Row],[Потери, %]])</f>
        <v>5.0064999999999991</v>
      </c>
      <c r="O249" s="43">
        <f>Рецепты[[#This Row],[Цена за 1 кг]]-(Рецепты[[#This Row],[р]]*100%/(100%-Рецепты[[#This Row],[Потери, %]]))</f>
        <v>2.3714999999999993</v>
      </c>
      <c r="P249" s="40"/>
      <c r="Q249" s="40"/>
      <c r="R249" s="44" t="str">
        <f>VLOOKUP(Рецепты[[#This Row],[Состав]],Ингредиенты[],9,0)</f>
        <v>Да</v>
      </c>
      <c r="S249" s="52"/>
    </row>
    <row r="250" spans="1:19" x14ac:dyDescent="0.25">
      <c r="A250" s="40" t="s">
        <v>486</v>
      </c>
      <c r="B250" s="40" t="str">
        <f t="shared" si="27"/>
        <v>Цельное</v>
      </c>
      <c r="C250" s="40" t="str">
        <f t="shared" si="28"/>
        <v>ГК</v>
      </c>
      <c r="D250" s="40" t="s">
        <v>143</v>
      </c>
      <c r="E250" s="41" t="str">
        <f>VLOOKUP(Рецепты[[#This Row],[Состав]],Ингредиенты[],2,0)</f>
        <v>Специи</v>
      </c>
      <c r="F250" s="62">
        <v>1.5E-3</v>
      </c>
      <c r="G250" s="42">
        <f>IF(Рецепты[[#This Row],[%]]*1000&gt;0,Рецепты[[#This Row],[%]]*1000,"")</f>
        <v>1.5</v>
      </c>
      <c r="H250" s="43">
        <f>IFERROR(VLOOKUP(Рецепты[[#This Row],[Состав]],Ингредиенты!A:I,3,0)*Рецепты[[#This Row],[г]],"")</f>
        <v>1.698</v>
      </c>
      <c r="I250" s="42">
        <f>СводРецепт!$A$1</f>
        <v>1000</v>
      </c>
      <c r="J250" s="42">
        <f>Рецепты[[#This Row],[%]]*Рецепты[[#This Row],[Масса]]</f>
        <v>1.5</v>
      </c>
      <c r="K250" s="43">
        <f>Рецепты[[#This Row],[Вес ингр-тов]]*VLOOKUP(Рецепты[[#This Row],[Состав]],Ингредиенты[],3,FALSE)</f>
        <v>1.698</v>
      </c>
      <c r="L250" s="41">
        <f>IF(VLOOKUP(Рецепты[[#This Row],[Состав]],Ингредиенты[],4,0)="Основа",VLOOKUP(Рецепты[[#This Row],[Способ]],Способ[],2,0),0%)</f>
        <v>0</v>
      </c>
      <c r="M250" s="41">
        <f>VLOOKUP(Рецепты[[#This Row],[Способ]],Способ[],3,0)</f>
        <v>0.9</v>
      </c>
      <c r="N250" s="43">
        <f>Рецепты[[#This Row],[р]]*100%/(100%-Рецепты[[#This Row],[Потери, %]])+Рецепты[[#This Row],[Маржа]]*(Рецепты[[#This Row],[р]]*100%)/(100%-Рецепты[[#This Row],[Потери, %]])</f>
        <v>3.2262</v>
      </c>
      <c r="O250" s="43">
        <f>Рецепты[[#This Row],[Цена за 1 кг]]-(Рецепты[[#This Row],[р]]*100%/(100%-Рецепты[[#This Row],[Потери, %]]))</f>
        <v>1.5282</v>
      </c>
      <c r="P250" s="40"/>
      <c r="Q250" s="40"/>
      <c r="R250" s="44" t="str">
        <f>VLOOKUP(Рецепты[[#This Row],[Состав]],Ингредиенты[],9,0)</f>
        <v>Да</v>
      </c>
      <c r="S250" s="52"/>
    </row>
    <row r="251" spans="1:19" x14ac:dyDescent="0.25">
      <c r="A251" s="40" t="s">
        <v>487</v>
      </c>
      <c r="B251" s="40" t="str">
        <f t="shared" si="27"/>
        <v>Цельное</v>
      </c>
      <c r="C251" s="40" t="str">
        <f t="shared" si="28"/>
        <v>ГК</v>
      </c>
      <c r="D251" s="40" t="s">
        <v>45</v>
      </c>
      <c r="E251" s="41" t="str">
        <f>VLOOKUP(Рецепты[[#This Row],[Состав]],Ингредиенты[],2,0)</f>
        <v>Свинина</v>
      </c>
      <c r="F251" s="62">
        <v>1</v>
      </c>
      <c r="G251" s="42">
        <f>IF(Рецепты[[#This Row],[%]]*1000&gt;0,Рецепты[[#This Row],[%]]*1000,"")</f>
        <v>1000</v>
      </c>
      <c r="H251" s="43">
        <f>IFERROR(VLOOKUP(Рецепты[[#This Row],[Состав]],Ингредиенты!A:I,3,0)*Рецепты[[#This Row],[г]],"")</f>
        <v>399.99</v>
      </c>
      <c r="I251" s="42">
        <f>СводРецепт!$A$1</f>
        <v>1000</v>
      </c>
      <c r="J251" s="42">
        <f>Рецепты[[#This Row],[%]]*Рецепты[[#This Row],[Масса]]</f>
        <v>1000</v>
      </c>
      <c r="K251" s="43">
        <f>Рецепты[[#This Row],[Вес ингр-тов]]*VLOOKUP(Рецепты[[#This Row],[Состав]],Ингредиенты[],3,FALSE)</f>
        <v>399.99</v>
      </c>
      <c r="L251" s="41">
        <f>IF(VLOOKUP(Рецепты[[#This Row],[Состав]],Ингредиенты[],4,0)="Основа",VLOOKUP(Рецепты[[#This Row],[Способ]],Способ[],2,0),0%)</f>
        <v>0.15</v>
      </c>
      <c r="M251" s="41">
        <f>VLOOKUP(Рецепты[[#This Row],[Способ]],Способ[],3,0)</f>
        <v>0.9</v>
      </c>
      <c r="N251" s="43">
        <f>Рецепты[[#This Row],[р]]*100%/(100%-Рецепты[[#This Row],[Потери, %]])+Рецепты[[#This Row],[Маржа]]*(Рецепты[[#This Row],[р]]*100%)/(100%-Рецепты[[#This Row],[Потери, %]])</f>
        <v>894.0952941176472</v>
      </c>
      <c r="O251" s="43">
        <f>Рецепты[[#This Row],[Цена за 1 кг]]-(Рецепты[[#This Row],[р]]*100%/(100%-Рецепты[[#This Row],[Потери, %]]))</f>
        <v>423.51882352941186</v>
      </c>
      <c r="P251" s="40" t="s">
        <v>488</v>
      </c>
      <c r="Q251" s="40" t="s">
        <v>489</v>
      </c>
      <c r="R251" s="44" t="str">
        <f>VLOOKUP(Рецепты[[#This Row],[Состав]],Ингредиенты[],9,0)</f>
        <v>Нет</v>
      </c>
      <c r="S251" s="52"/>
    </row>
    <row r="252" spans="1:19" x14ac:dyDescent="0.25">
      <c r="A252" s="40" t="s">
        <v>487</v>
      </c>
      <c r="B252" s="40" t="str">
        <f t="shared" si="27"/>
        <v>Цельное</v>
      </c>
      <c r="C252" s="40" t="str">
        <f t="shared" si="28"/>
        <v>ГК</v>
      </c>
      <c r="D252" s="40" t="s">
        <v>93</v>
      </c>
      <c r="E252" s="41" t="str">
        <f>VLOOKUP(Рецепты[[#This Row],[Состав]],Ингредиенты[],2,0)</f>
        <v>Добавки</v>
      </c>
      <c r="F252" s="62">
        <v>0.1</v>
      </c>
      <c r="G252" s="42">
        <f>IF(Рецепты[[#This Row],[%]]*1000&gt;0,Рецепты[[#This Row],[%]]*1000,"")</f>
        <v>100</v>
      </c>
      <c r="H252" s="43">
        <f>IFERROR(VLOOKUP(Рецепты[[#This Row],[Состав]],Ингредиенты!A:I,3,0)*Рецепты[[#This Row],[г]],"")</f>
        <v>0.1</v>
      </c>
      <c r="I252" s="42">
        <f>СводРецепт!$A$1</f>
        <v>1000</v>
      </c>
      <c r="J252" s="42">
        <f>Рецепты[[#This Row],[%]]*Рецепты[[#This Row],[Масса]]</f>
        <v>100</v>
      </c>
      <c r="K252" s="43">
        <f>Рецепты[[#This Row],[Вес ингр-тов]]*VLOOKUP(Рецепты[[#This Row],[Состав]],Ингредиенты[],3,FALSE)</f>
        <v>0.1</v>
      </c>
      <c r="L252" s="41">
        <f>IF(VLOOKUP(Рецепты[[#This Row],[Состав]],Ингредиенты[],4,0)="Основа",VLOOKUP(Рецепты[[#This Row],[Способ]],Способ[],2,0),0%)</f>
        <v>0</v>
      </c>
      <c r="M252" s="41">
        <f>VLOOKUP(Рецепты[[#This Row],[Способ]],Способ[],3,0)</f>
        <v>0.9</v>
      </c>
      <c r="N252" s="43">
        <f>Рецепты[[#This Row],[р]]*100%/(100%-Рецепты[[#This Row],[Потери, %]])+Рецепты[[#This Row],[Маржа]]*(Рецепты[[#This Row],[р]]*100%)/(100%-Рецепты[[#This Row],[Потери, %]])</f>
        <v>0.19</v>
      </c>
      <c r="O252" s="43">
        <f>Рецепты[[#This Row],[Цена за 1 кг]]-(Рецепты[[#This Row],[р]]*100%/(100%-Рецепты[[#This Row],[Потери, %]]))</f>
        <v>0.09</v>
      </c>
      <c r="P252" s="40" t="s">
        <v>488</v>
      </c>
      <c r="Q252" s="40" t="s">
        <v>490</v>
      </c>
      <c r="R252" s="44" t="str">
        <f>VLOOKUP(Рецепты[[#This Row],[Состав]],Ингредиенты[],9,0)</f>
        <v>Да</v>
      </c>
      <c r="S252" s="52"/>
    </row>
    <row r="253" spans="1:19" x14ac:dyDescent="0.25">
      <c r="A253" s="40" t="s">
        <v>487</v>
      </c>
      <c r="B253" s="40" t="str">
        <f t="shared" si="27"/>
        <v>Цельное</v>
      </c>
      <c r="C253" s="40" t="str">
        <f t="shared" si="28"/>
        <v>ГК</v>
      </c>
      <c r="D253" s="40" t="s">
        <v>128</v>
      </c>
      <c r="E253" s="41" t="str">
        <f>VLOOKUP(Рецепты[[#This Row],[Состав]],Ингредиенты[],2,0)</f>
        <v>Специи</v>
      </c>
      <c r="F253" s="62">
        <v>1.0999999999999999E-2</v>
      </c>
      <c r="G253" s="42">
        <f>IF(Рецепты[[#This Row],[%]]*1000&gt;0,Рецепты[[#This Row],[%]]*1000,"")</f>
        <v>11</v>
      </c>
      <c r="H253" s="43">
        <f>IFERROR(VLOOKUP(Рецепты[[#This Row],[Состав]],Ингредиенты!A:I,3,0)*Рецепты[[#This Row],[г]],"")</f>
        <v>0.42349999999999999</v>
      </c>
      <c r="I253" s="42">
        <f>СводРецепт!$A$1</f>
        <v>1000</v>
      </c>
      <c r="J253" s="42">
        <f>Рецепты[[#This Row],[%]]*Рецепты[[#This Row],[Масса]]</f>
        <v>11</v>
      </c>
      <c r="K253" s="43">
        <f>Рецепты[[#This Row],[Вес ингр-тов]]*VLOOKUP(Рецепты[[#This Row],[Состав]],Ингредиенты[],3,FALSE)</f>
        <v>0.42349999999999999</v>
      </c>
      <c r="L253" s="41">
        <f>IF(VLOOKUP(Рецепты[[#This Row],[Состав]],Ингредиенты[],4,0)="Основа",VLOOKUP(Рецепты[[#This Row],[Способ]],Способ[],2,0),0%)</f>
        <v>0</v>
      </c>
      <c r="M253" s="41">
        <f>VLOOKUP(Рецепты[[#This Row],[Способ]],Способ[],3,0)</f>
        <v>0.9</v>
      </c>
      <c r="N253" s="43">
        <f>Рецепты[[#This Row],[р]]*100%/(100%-Рецепты[[#This Row],[Потери, %]])+Рецепты[[#This Row],[Маржа]]*(Рецепты[[#This Row],[р]]*100%)/(100%-Рецепты[[#This Row],[Потери, %]])</f>
        <v>0.80464999999999998</v>
      </c>
      <c r="O253" s="43">
        <f>Рецепты[[#This Row],[Цена за 1 кг]]-(Рецепты[[#This Row],[р]]*100%/(100%-Рецепты[[#This Row],[Потери, %]]))</f>
        <v>0.38114999999999999</v>
      </c>
      <c r="P253" s="40" t="s">
        <v>488</v>
      </c>
      <c r="Q253" s="40" t="s">
        <v>491</v>
      </c>
      <c r="R253" s="44" t="str">
        <f>VLOOKUP(Рецепты[[#This Row],[Состав]],Ингредиенты[],9,0)</f>
        <v>Да</v>
      </c>
      <c r="S253" s="52"/>
    </row>
    <row r="254" spans="1:19" x14ac:dyDescent="0.25">
      <c r="A254" s="40" t="s">
        <v>487</v>
      </c>
      <c r="B254" s="40" t="str">
        <f t="shared" si="27"/>
        <v>Цельное</v>
      </c>
      <c r="C254" s="40" t="str">
        <f t="shared" si="28"/>
        <v>ГК</v>
      </c>
      <c r="D254" s="40" t="s">
        <v>125</v>
      </c>
      <c r="E254" s="41" t="str">
        <f>VLOOKUP(Рецепты[[#This Row],[Состав]],Ингредиенты[],2,0)</f>
        <v>Специи</v>
      </c>
      <c r="F254" s="62">
        <v>1.0999999999999999E-2</v>
      </c>
      <c r="G254" s="42">
        <f>IF(Рецепты[[#This Row],[%]]*1000&gt;0,Рецепты[[#This Row],[%]]*1000,"")</f>
        <v>11</v>
      </c>
      <c r="H254" s="43">
        <f>IFERROR(VLOOKUP(Рецепты[[#This Row],[Состав]],Ингредиенты!A:I,3,0)*Рецепты[[#This Row],[г]],"")</f>
        <v>1.4079999999999999</v>
      </c>
      <c r="I254" s="42">
        <f>СводРецепт!$A$1</f>
        <v>1000</v>
      </c>
      <c r="J254" s="42">
        <f>Рецепты[[#This Row],[%]]*Рецепты[[#This Row],[Масса]]</f>
        <v>11</v>
      </c>
      <c r="K254" s="43">
        <f>Рецепты[[#This Row],[Вес ингр-тов]]*VLOOKUP(Рецепты[[#This Row],[Состав]],Ингредиенты[],3,FALSE)</f>
        <v>1.4079999999999999</v>
      </c>
      <c r="L254" s="41">
        <f>IF(VLOOKUP(Рецепты[[#This Row],[Состав]],Ингредиенты[],4,0)="Основа",VLOOKUP(Рецепты[[#This Row],[Способ]],Способ[],2,0),0%)</f>
        <v>0</v>
      </c>
      <c r="M254" s="41">
        <f>VLOOKUP(Рецепты[[#This Row],[Способ]],Способ[],3,0)</f>
        <v>0.9</v>
      </c>
      <c r="N254" s="43">
        <f>Рецепты[[#This Row],[р]]*100%/(100%-Рецепты[[#This Row],[Потери, %]])+Рецепты[[#This Row],[Маржа]]*(Рецепты[[#This Row],[р]]*100%)/(100%-Рецепты[[#This Row],[Потери, %]])</f>
        <v>2.6751999999999998</v>
      </c>
      <c r="O254" s="43">
        <f>Рецепты[[#This Row],[Цена за 1 кг]]-(Рецепты[[#This Row],[р]]*100%/(100%-Рецепты[[#This Row],[Потери, %]]))</f>
        <v>1.2671999999999999</v>
      </c>
      <c r="P254" s="40" t="s">
        <v>488</v>
      </c>
      <c r="Q254" s="40" t="s">
        <v>492</v>
      </c>
      <c r="R254" s="44" t="str">
        <f>VLOOKUP(Рецепты[[#This Row],[Состав]],Ингредиенты[],9,0)</f>
        <v>Да</v>
      </c>
      <c r="S254" s="52"/>
    </row>
    <row r="255" spans="1:19" x14ac:dyDescent="0.25">
      <c r="A255" s="40" t="s">
        <v>487</v>
      </c>
      <c r="B255" s="40" t="s">
        <v>17</v>
      </c>
      <c r="C255" s="40" t="str">
        <f t="shared" si="28"/>
        <v>ГК</v>
      </c>
      <c r="D255" s="40" t="s">
        <v>131</v>
      </c>
      <c r="E255" s="41" t="str">
        <f>VLOOKUP(Рецепты[[#This Row],[Состав]],Ингредиенты[],2,0)</f>
        <v>Специи</v>
      </c>
      <c r="F255" s="62">
        <v>5.0000000000000001E-3</v>
      </c>
      <c r="G255" s="42">
        <f>IF(Рецепты[[#This Row],[%]]*1000&gt;0,Рецепты[[#This Row],[%]]*1000,"")</f>
        <v>5</v>
      </c>
      <c r="H255" s="43">
        <f>IFERROR(VLOOKUP(Рецепты[[#This Row],[Состав]],Ингредиенты!A:I,3,0)*Рецепты[[#This Row],[г]],"")</f>
        <v>0.40441176470588236</v>
      </c>
      <c r="I255" s="42">
        <f>СводРецепт!$A$1</f>
        <v>1000</v>
      </c>
      <c r="J255" s="42">
        <f>Рецепты[[#This Row],[%]]*Рецепты[[#This Row],[Масса]]</f>
        <v>5</v>
      </c>
      <c r="K255" s="43">
        <f>Рецепты[[#This Row],[Вес ингр-тов]]*VLOOKUP(Рецепты[[#This Row],[Состав]],Ингредиенты[],3,FALSE)</f>
        <v>0.40441176470588236</v>
      </c>
      <c r="L255" s="41">
        <f>IF(VLOOKUP(Рецепты[[#This Row],[Состав]],Ингредиенты[],4,0)="Основа",VLOOKUP(Рецепты[[#This Row],[Способ]],Способ[],2,0),0%)</f>
        <v>0</v>
      </c>
      <c r="M255" s="41">
        <f>VLOOKUP(Рецепты[[#This Row],[Способ]],Способ[],3,0)</f>
        <v>0.9</v>
      </c>
      <c r="N255" s="43">
        <f>Рецепты[[#This Row],[р]]*100%/(100%-Рецепты[[#This Row],[Потери, %]])+Рецепты[[#This Row],[Маржа]]*(Рецепты[[#This Row],[р]]*100%)/(100%-Рецепты[[#This Row],[Потери, %]])</f>
        <v>0.76838235294117652</v>
      </c>
      <c r="O255" s="43">
        <f>Рецепты[[#This Row],[Цена за 1 кг]]-(Рецепты[[#This Row],[р]]*100%/(100%-Рецепты[[#This Row],[Потери, %]]))</f>
        <v>0.36397058823529416</v>
      </c>
      <c r="P255" s="40" t="s">
        <v>488</v>
      </c>
      <c r="Q255" s="40" t="s">
        <v>493</v>
      </c>
      <c r="R255" s="44" t="str">
        <f>VLOOKUP(Рецепты[[#This Row],[Состав]],Ингредиенты[],9,0)</f>
        <v>Да</v>
      </c>
      <c r="S255" s="52"/>
    </row>
    <row r="256" spans="1:19" x14ac:dyDescent="0.25">
      <c r="A256" s="40" t="s">
        <v>494</v>
      </c>
      <c r="B256" s="40" t="s">
        <v>8</v>
      </c>
      <c r="C256" s="40" t="str">
        <f t="shared" ref="C256:C266" si="29">C255</f>
        <v>ГК</v>
      </c>
      <c r="D256" s="40" t="s">
        <v>49</v>
      </c>
      <c r="E256" s="41" t="str">
        <f>VLOOKUP(Рецепты[[#This Row],[Состав]],Ингредиенты[],2,0)</f>
        <v>Свинина</v>
      </c>
      <c r="F256" s="62">
        <v>0.5</v>
      </c>
      <c r="G256" s="42">
        <f>IF(Рецепты[[#This Row],[%]]*1000&gt;0,Рецепты[[#This Row],[%]]*1000,"")</f>
        <v>500</v>
      </c>
      <c r="H256" s="43">
        <f>IFERROR(VLOOKUP(Рецепты[[#This Row],[Состав]],Ингредиенты!A:I,3,0)*Рецепты[[#This Row],[г]],"")</f>
        <v>184.5</v>
      </c>
      <c r="I256" s="42">
        <f>СводРецепт!$A$1</f>
        <v>1000</v>
      </c>
      <c r="J256" s="42">
        <f>Рецепты[[#This Row],[%]]*Рецепты[[#This Row],[Масса]]</f>
        <v>500</v>
      </c>
      <c r="K256" s="43">
        <f>Рецепты[[#This Row],[Вес ингр-тов]]*VLOOKUP(Рецепты[[#This Row],[Состав]],Ингредиенты[],3,FALSE)</f>
        <v>184.5</v>
      </c>
      <c r="L256" s="41">
        <f>IF(VLOOKUP(Рецепты[[#This Row],[Состав]],Ингредиенты[],4,0)="Основа",VLOOKUP(Рецепты[[#This Row],[Способ]],Способ[],2,0),0%)</f>
        <v>0.15</v>
      </c>
      <c r="M256" s="41">
        <f>VLOOKUP(Рецепты[[#This Row],[Способ]],Способ[],3,0)</f>
        <v>0.9</v>
      </c>
      <c r="N256" s="43">
        <f>Рецепты[[#This Row],[р]]*100%/(100%-Рецепты[[#This Row],[Потери, %]])+Рецепты[[#This Row],[Маржа]]*(Рецепты[[#This Row],[р]]*100%)/(100%-Рецепты[[#This Row],[Потери, %]])</f>
        <v>412.41176470588238</v>
      </c>
      <c r="O256" s="43">
        <f>Рецепты[[#This Row],[Цена за 1 кг]]-(Рецепты[[#This Row],[р]]*100%/(100%-Рецепты[[#This Row],[Потери, %]]))</f>
        <v>195.35294117647061</v>
      </c>
      <c r="P256" s="40" t="s">
        <v>495</v>
      </c>
      <c r="Q256" s="40" t="s">
        <v>496</v>
      </c>
      <c r="R256" s="44" t="str">
        <f>VLOOKUP(Рецепты[[#This Row],[Состав]],Ингредиенты[],9,0)</f>
        <v>Да</v>
      </c>
      <c r="S256" s="52"/>
    </row>
    <row r="257" spans="1:19" x14ac:dyDescent="0.25">
      <c r="A257" s="40" t="s">
        <v>494</v>
      </c>
      <c r="B257" s="40" t="str">
        <f t="shared" ref="B257:B266" si="30">B256</f>
        <v>Колбаса</v>
      </c>
      <c r="C257" s="40" t="str">
        <f t="shared" si="29"/>
        <v>ГК</v>
      </c>
      <c r="D257" s="40" t="s">
        <v>54</v>
      </c>
      <c r="E257" s="41" t="str">
        <f>VLOOKUP(Рецепты[[#This Row],[Состав]],Ингредиенты[],2,0)</f>
        <v>Свинина</v>
      </c>
      <c r="F257" s="62">
        <v>0.5</v>
      </c>
      <c r="G257" s="42">
        <f>IF(Рецепты[[#This Row],[%]]*1000&gt;0,Рецепты[[#This Row],[%]]*1000,"")</f>
        <v>500</v>
      </c>
      <c r="H257" s="43">
        <f>IFERROR(VLOOKUP(Рецепты[[#This Row],[Состав]],Ингредиенты!A:I,3,0)*Рецепты[[#This Row],[г]],"")</f>
        <v>214.995</v>
      </c>
      <c r="I257" s="42">
        <f>СводРецепт!$A$1</f>
        <v>1000</v>
      </c>
      <c r="J257" s="42">
        <f>Рецепты[[#This Row],[%]]*Рецепты[[#This Row],[Масса]]</f>
        <v>500</v>
      </c>
      <c r="K257" s="43">
        <f>Рецепты[[#This Row],[Вес ингр-тов]]*VLOOKUP(Рецепты[[#This Row],[Состав]],Ингредиенты[],3,FALSE)</f>
        <v>214.995</v>
      </c>
      <c r="L257" s="41">
        <f>IF(VLOOKUP(Рецепты[[#This Row],[Состав]],Ингредиенты[],4,0)="Основа",VLOOKUP(Рецепты[[#This Row],[Способ]],Способ[],2,0),0%)</f>
        <v>0.15</v>
      </c>
      <c r="M257" s="41">
        <f>VLOOKUP(Рецепты[[#This Row],[Способ]],Способ[],3,0)</f>
        <v>0.9</v>
      </c>
      <c r="N257" s="43">
        <f>Рецепты[[#This Row],[р]]*100%/(100%-Рецепты[[#This Row],[Потери, %]])+Рецепты[[#This Row],[Маржа]]*(Рецепты[[#This Row],[р]]*100%)/(100%-Рецепты[[#This Row],[Потери, %]])</f>
        <v>480.57705882352946</v>
      </c>
      <c r="O257" s="43">
        <f>Рецепты[[#This Row],[Цена за 1 кг]]-(Рецепты[[#This Row],[р]]*100%/(100%-Рецепты[[#This Row],[Потери, %]]))</f>
        <v>227.64176470588239</v>
      </c>
      <c r="P257" s="40" t="s">
        <v>495</v>
      </c>
      <c r="Q257" s="40" t="s">
        <v>497</v>
      </c>
      <c r="R257" s="44" t="str">
        <f>VLOOKUP(Рецепты[[#This Row],[Состав]],Ингредиенты[],9,0)</f>
        <v>Нет</v>
      </c>
      <c r="S257" s="52"/>
    </row>
    <row r="258" spans="1:19" x14ac:dyDescent="0.25">
      <c r="A258" s="40" t="s">
        <v>494</v>
      </c>
      <c r="B258" s="40" t="str">
        <f t="shared" si="30"/>
        <v>Колбаса</v>
      </c>
      <c r="C258" s="40" t="str">
        <f t="shared" si="29"/>
        <v>ГК</v>
      </c>
      <c r="D258" s="40" t="s">
        <v>93</v>
      </c>
      <c r="E258" s="41" t="str">
        <f>VLOOKUP(Рецепты[[#This Row],[Состав]],Ингредиенты[],2,0)</f>
        <v>Добавки</v>
      </c>
      <c r="F258" s="62">
        <v>0.17499999999999999</v>
      </c>
      <c r="G258" s="42">
        <f>IF(Рецепты[[#This Row],[%]]*1000&gt;0,Рецепты[[#This Row],[%]]*1000,"")</f>
        <v>175</v>
      </c>
      <c r="H258" s="43">
        <f>IFERROR(VLOOKUP(Рецепты[[#This Row],[Состав]],Ингредиенты!A:I,3,0)*Рецепты[[#This Row],[г]],"")</f>
        <v>0.17500000000000002</v>
      </c>
      <c r="I258" s="42">
        <f>СводРецепт!$A$1</f>
        <v>1000</v>
      </c>
      <c r="J258" s="42">
        <f>Рецепты[[#This Row],[%]]*Рецепты[[#This Row],[Масса]]</f>
        <v>175</v>
      </c>
      <c r="K258" s="43">
        <f>Рецепты[[#This Row],[Вес ингр-тов]]*VLOOKUP(Рецепты[[#This Row],[Состав]],Ингредиенты[],3,FALSE)</f>
        <v>0.17500000000000002</v>
      </c>
      <c r="L258" s="41">
        <f>IF(VLOOKUP(Рецепты[[#This Row],[Состав]],Ингредиенты[],4,0)="Основа",VLOOKUP(Рецепты[[#This Row],[Способ]],Способ[],2,0),0%)</f>
        <v>0</v>
      </c>
      <c r="M258" s="41">
        <f>VLOOKUP(Рецепты[[#This Row],[Способ]],Способ[],3,0)</f>
        <v>0.9</v>
      </c>
      <c r="N258" s="43">
        <f>Рецепты[[#This Row],[р]]*100%/(100%-Рецепты[[#This Row],[Потери, %]])+Рецепты[[#This Row],[Маржа]]*(Рецепты[[#This Row],[р]]*100%)/(100%-Рецепты[[#This Row],[Потери, %]])</f>
        <v>0.33250000000000002</v>
      </c>
      <c r="O258" s="43">
        <f>Рецепты[[#This Row],[Цена за 1 кг]]-(Рецепты[[#This Row],[р]]*100%/(100%-Рецепты[[#This Row],[Потери, %]]))</f>
        <v>0.1575</v>
      </c>
      <c r="P258" s="40" t="s">
        <v>495</v>
      </c>
      <c r="Q258" s="40" t="s">
        <v>498</v>
      </c>
      <c r="R258" s="44" t="str">
        <f>VLOOKUP(Рецепты[[#This Row],[Состав]],Ингредиенты[],9,0)</f>
        <v>Да</v>
      </c>
      <c r="S258" s="52"/>
    </row>
    <row r="259" spans="1:19" x14ac:dyDescent="0.25">
      <c r="A259" s="40" t="s">
        <v>494</v>
      </c>
      <c r="B259" s="40" t="str">
        <f t="shared" si="30"/>
        <v>Колбаса</v>
      </c>
      <c r="C259" s="40" t="str">
        <f t="shared" si="29"/>
        <v>ГК</v>
      </c>
      <c r="D259" s="40" t="s">
        <v>157</v>
      </c>
      <c r="E259" s="41" t="str">
        <f>VLOOKUP(Рецепты[[#This Row],[Состав]],Ингредиенты[],2,0)</f>
        <v>Специи</v>
      </c>
      <c r="F259" s="62">
        <v>1.5E-3</v>
      </c>
      <c r="G259" s="42">
        <f>IF(Рецепты[[#This Row],[%]]*1000&gt;0,Рецепты[[#This Row],[%]]*1000,"")</f>
        <v>1.5</v>
      </c>
      <c r="H259" s="43">
        <f>IFERROR(VLOOKUP(Рецепты[[#This Row],[Состав]],Ингредиенты!A:I,3,0)*Рецепты[[#This Row],[г]],"")</f>
        <v>1.1219999999999999</v>
      </c>
      <c r="I259" s="42">
        <f>СводРецепт!$A$1</f>
        <v>1000</v>
      </c>
      <c r="J259" s="42">
        <f>Рецепты[[#This Row],[%]]*Рецепты[[#This Row],[Масса]]</f>
        <v>1.5</v>
      </c>
      <c r="K259" s="43">
        <f>Рецепты[[#This Row],[Вес ингр-тов]]*VLOOKUP(Рецепты[[#This Row],[Состав]],Ингредиенты[],3,FALSE)</f>
        <v>1.1219999999999999</v>
      </c>
      <c r="L259" s="41">
        <f>IF(VLOOKUP(Рецепты[[#This Row],[Состав]],Ингредиенты[],4,0)="Основа",VLOOKUP(Рецепты[[#This Row],[Способ]],Способ[],2,0),0%)</f>
        <v>0</v>
      </c>
      <c r="M259" s="41">
        <f>VLOOKUP(Рецепты[[#This Row],[Способ]],Способ[],3,0)</f>
        <v>0.9</v>
      </c>
      <c r="N259" s="43">
        <f>Рецепты[[#This Row],[р]]*100%/(100%-Рецепты[[#This Row],[Потери, %]])+Рецепты[[#This Row],[Маржа]]*(Рецепты[[#This Row],[р]]*100%)/(100%-Рецепты[[#This Row],[Потери, %]])</f>
        <v>2.1318000000000001</v>
      </c>
      <c r="O259" s="43">
        <f>Рецепты[[#This Row],[Цена за 1 кг]]-(Рецепты[[#This Row],[р]]*100%/(100%-Рецепты[[#This Row],[Потери, %]]))</f>
        <v>1.0098000000000003</v>
      </c>
      <c r="P259" s="40" t="s">
        <v>495</v>
      </c>
      <c r="Q259" s="40" t="s">
        <v>499</v>
      </c>
      <c r="R259" s="44" t="str">
        <f>VLOOKUP(Рецепты[[#This Row],[Состав]],Ингредиенты[],9,0)</f>
        <v>Да</v>
      </c>
      <c r="S259" s="52"/>
    </row>
    <row r="260" spans="1:19" x14ac:dyDescent="0.25">
      <c r="A260" s="40" t="s">
        <v>494</v>
      </c>
      <c r="B260" s="40" t="str">
        <f t="shared" si="30"/>
        <v>Колбаса</v>
      </c>
      <c r="C260" s="40" t="str">
        <f t="shared" si="29"/>
        <v>ГК</v>
      </c>
      <c r="D260" s="40" t="s">
        <v>125</v>
      </c>
      <c r="E260" s="41" t="str">
        <f>VLOOKUP(Рецепты[[#This Row],[Состав]],Ингредиенты[],2,0)</f>
        <v>Специи</v>
      </c>
      <c r="F260" s="62">
        <v>0.01</v>
      </c>
      <c r="G260" s="42">
        <f>IF(Рецепты[[#This Row],[%]]*1000&gt;0,Рецепты[[#This Row],[%]]*1000,"")</f>
        <v>10</v>
      </c>
      <c r="H260" s="43">
        <f>IFERROR(VLOOKUP(Рецепты[[#This Row],[Состав]],Ингредиенты!A:I,3,0)*Рецепты[[#This Row],[г]],"")</f>
        <v>1.28</v>
      </c>
      <c r="I260" s="42">
        <f>СводРецепт!$A$1</f>
        <v>1000</v>
      </c>
      <c r="J260" s="42">
        <f>Рецепты[[#This Row],[%]]*Рецепты[[#This Row],[Масса]]</f>
        <v>10</v>
      </c>
      <c r="K260" s="43">
        <f>Рецепты[[#This Row],[Вес ингр-тов]]*VLOOKUP(Рецепты[[#This Row],[Состав]],Ингредиенты[],3,FALSE)</f>
        <v>1.28</v>
      </c>
      <c r="L260" s="41">
        <f>IF(VLOOKUP(Рецепты[[#This Row],[Состав]],Ингредиенты[],4,0)="Основа",VLOOKUP(Рецепты[[#This Row],[Способ]],Способ[],2,0),0%)</f>
        <v>0</v>
      </c>
      <c r="M260" s="41">
        <f>VLOOKUP(Рецепты[[#This Row],[Способ]],Способ[],3,0)</f>
        <v>0.9</v>
      </c>
      <c r="N260" s="43">
        <f>Рецепты[[#This Row],[р]]*100%/(100%-Рецепты[[#This Row],[Потери, %]])+Рецепты[[#This Row],[Маржа]]*(Рецепты[[#This Row],[р]]*100%)/(100%-Рецепты[[#This Row],[Потери, %]])</f>
        <v>2.4320000000000004</v>
      </c>
      <c r="O260" s="43">
        <f>Рецепты[[#This Row],[Цена за 1 кг]]-(Рецепты[[#This Row],[р]]*100%/(100%-Рецепты[[#This Row],[Потери, %]]))</f>
        <v>1.1520000000000004</v>
      </c>
      <c r="P260" s="40" t="s">
        <v>495</v>
      </c>
      <c r="Q260" s="40" t="s">
        <v>500</v>
      </c>
      <c r="R260" s="44" t="str">
        <f>VLOOKUP(Рецепты[[#This Row],[Состав]],Ингредиенты[],9,0)</f>
        <v>Да</v>
      </c>
      <c r="S260" s="52"/>
    </row>
    <row r="261" spans="1:19" x14ac:dyDescent="0.25">
      <c r="A261" s="40" t="s">
        <v>494</v>
      </c>
      <c r="B261" s="40" t="str">
        <f t="shared" si="30"/>
        <v>Колбаса</v>
      </c>
      <c r="C261" s="40" t="str">
        <f t="shared" si="29"/>
        <v>ГК</v>
      </c>
      <c r="D261" s="40" t="s">
        <v>128</v>
      </c>
      <c r="E261" s="41" t="str">
        <f>VLOOKUP(Рецепты[[#This Row],[Состав]],Ингредиенты[],2,0)</f>
        <v>Специи</v>
      </c>
      <c r="F261" s="62">
        <v>0.01</v>
      </c>
      <c r="G261" s="42">
        <f>IF(Рецепты[[#This Row],[%]]*1000&gt;0,Рецепты[[#This Row],[%]]*1000,"")</f>
        <v>10</v>
      </c>
      <c r="H261" s="43">
        <f>IFERROR(VLOOKUP(Рецепты[[#This Row],[Состав]],Ингредиенты!A:I,3,0)*Рецепты[[#This Row],[г]],"")</f>
        <v>0.38500000000000001</v>
      </c>
      <c r="I261" s="42">
        <f>СводРецепт!$A$1</f>
        <v>1000</v>
      </c>
      <c r="J261" s="42">
        <f>Рецепты[[#This Row],[%]]*Рецепты[[#This Row],[Масса]]</f>
        <v>10</v>
      </c>
      <c r="K261" s="43">
        <f>Рецепты[[#This Row],[Вес ингр-тов]]*VLOOKUP(Рецепты[[#This Row],[Состав]],Ингредиенты[],3,FALSE)</f>
        <v>0.38500000000000001</v>
      </c>
      <c r="L261" s="41">
        <f>IF(VLOOKUP(Рецепты[[#This Row],[Состав]],Ингредиенты[],4,0)="Основа",VLOOKUP(Рецепты[[#This Row],[Способ]],Способ[],2,0),0%)</f>
        <v>0</v>
      </c>
      <c r="M261" s="41">
        <f>VLOOKUP(Рецепты[[#This Row],[Способ]],Способ[],3,0)</f>
        <v>0.9</v>
      </c>
      <c r="N261" s="43">
        <f>Рецепты[[#This Row],[р]]*100%/(100%-Рецепты[[#This Row],[Потери, %]])+Рецепты[[#This Row],[Маржа]]*(Рецепты[[#This Row],[р]]*100%)/(100%-Рецепты[[#This Row],[Потери, %]])</f>
        <v>0.73150000000000004</v>
      </c>
      <c r="O261" s="43">
        <f>Рецепты[[#This Row],[Цена за 1 кг]]-(Рецепты[[#This Row],[р]]*100%/(100%-Рецепты[[#This Row],[Потери, %]]))</f>
        <v>0.34650000000000003</v>
      </c>
      <c r="P261" s="40" t="s">
        <v>495</v>
      </c>
      <c r="Q261" s="40" t="s">
        <v>501</v>
      </c>
      <c r="R261" s="44" t="str">
        <f>VLOOKUP(Рецепты[[#This Row],[Состав]],Ингредиенты[],9,0)</f>
        <v>Да</v>
      </c>
      <c r="S261" s="52"/>
    </row>
    <row r="262" spans="1:19" x14ac:dyDescent="0.25">
      <c r="A262" s="40" t="s">
        <v>494</v>
      </c>
      <c r="B262" s="40" t="str">
        <f t="shared" si="30"/>
        <v>Колбаса</v>
      </c>
      <c r="C262" s="40" t="str">
        <f t="shared" si="29"/>
        <v>ГК</v>
      </c>
      <c r="D262" s="40" t="s">
        <v>133</v>
      </c>
      <c r="E262" s="41" t="str">
        <f>VLOOKUP(Рецепты[[#This Row],[Состав]],Ингредиенты[],2,0)</f>
        <v>Специи</v>
      </c>
      <c r="F262" s="62">
        <v>2E-3</v>
      </c>
      <c r="G262" s="42">
        <f>IF(Рецепты[[#This Row],[%]]*1000&gt;0,Рецепты[[#This Row],[%]]*1000,"")</f>
        <v>2</v>
      </c>
      <c r="H262" s="43">
        <f>IFERROR(VLOOKUP(Рецепты[[#This Row],[Состав]],Ингредиенты!A:I,3,0)*Рецепты[[#This Row],[г]],"")</f>
        <v>2.189090909090909</v>
      </c>
      <c r="I262" s="42">
        <f>СводРецепт!$A$1</f>
        <v>1000</v>
      </c>
      <c r="J262" s="42">
        <f>Рецепты[[#This Row],[%]]*Рецепты[[#This Row],[Масса]]</f>
        <v>2</v>
      </c>
      <c r="K262" s="43">
        <f>Рецепты[[#This Row],[Вес ингр-тов]]*VLOOKUP(Рецепты[[#This Row],[Состав]],Ингредиенты[],3,FALSE)</f>
        <v>2.189090909090909</v>
      </c>
      <c r="L262" s="41">
        <f>IF(VLOOKUP(Рецепты[[#This Row],[Состав]],Ингредиенты[],4,0)="Основа",VLOOKUP(Рецепты[[#This Row],[Способ]],Способ[],2,0),0%)</f>
        <v>0</v>
      </c>
      <c r="M262" s="41">
        <f>VLOOKUP(Рецепты[[#This Row],[Способ]],Способ[],3,0)</f>
        <v>0.9</v>
      </c>
      <c r="N262" s="43">
        <f>Рецепты[[#This Row],[р]]*100%/(100%-Рецепты[[#This Row],[Потери, %]])+Рецепты[[#This Row],[Маржа]]*(Рецепты[[#This Row],[р]]*100%)/(100%-Рецепты[[#This Row],[Потери, %]])</f>
        <v>4.159272727272727</v>
      </c>
      <c r="O262" s="43">
        <f>Рецепты[[#This Row],[Цена за 1 кг]]-(Рецепты[[#This Row],[р]]*100%/(100%-Рецепты[[#This Row],[Потери, %]]))</f>
        <v>1.970181818181818</v>
      </c>
      <c r="P262" s="40" t="s">
        <v>495</v>
      </c>
      <c r="Q262" s="40" t="s">
        <v>502</v>
      </c>
      <c r="R262" s="44" t="str">
        <f>VLOOKUP(Рецепты[[#This Row],[Состав]],Ингредиенты[],9,0)</f>
        <v>Да</v>
      </c>
      <c r="S262" s="52"/>
    </row>
    <row r="263" spans="1:19" x14ac:dyDescent="0.25">
      <c r="A263" s="40" t="s">
        <v>494</v>
      </c>
      <c r="B263" s="40" t="str">
        <f t="shared" si="30"/>
        <v>Колбаса</v>
      </c>
      <c r="C263" s="40" t="str">
        <f t="shared" si="29"/>
        <v>ГК</v>
      </c>
      <c r="D263" s="40" t="s">
        <v>135</v>
      </c>
      <c r="E263" s="41" t="str">
        <f>VLOOKUP(Рецепты[[#This Row],[Состав]],Ингредиенты[],2,0)</f>
        <v>Специи</v>
      </c>
      <c r="F263" s="62">
        <v>1E-3</v>
      </c>
      <c r="G263" s="42">
        <f>IF(Рецепты[[#This Row],[%]]*1000&gt;0,Рецепты[[#This Row],[%]]*1000,"")</f>
        <v>1</v>
      </c>
      <c r="H263" s="43">
        <f>IFERROR(VLOOKUP(Рецепты[[#This Row],[Состав]],Ингредиенты!A:I,3,0)*Рецепты[[#This Row],[г]],"")</f>
        <v>1.58</v>
      </c>
      <c r="I263" s="42">
        <f>СводРецепт!$A$1</f>
        <v>1000</v>
      </c>
      <c r="J263" s="42">
        <f>Рецепты[[#This Row],[%]]*Рецепты[[#This Row],[Масса]]</f>
        <v>1</v>
      </c>
      <c r="K263" s="43">
        <f>Рецепты[[#This Row],[Вес ингр-тов]]*VLOOKUP(Рецепты[[#This Row],[Состав]],Ингредиенты[],3,FALSE)</f>
        <v>1.58</v>
      </c>
      <c r="L263" s="41">
        <f>IF(VLOOKUP(Рецепты[[#This Row],[Состав]],Ингредиенты[],4,0)="Основа",VLOOKUP(Рецепты[[#This Row],[Способ]],Способ[],2,0),0%)</f>
        <v>0</v>
      </c>
      <c r="M263" s="41">
        <f>VLOOKUP(Рецепты[[#This Row],[Способ]],Способ[],3,0)</f>
        <v>0.9</v>
      </c>
      <c r="N263" s="43">
        <f>Рецепты[[#This Row],[р]]*100%/(100%-Рецепты[[#This Row],[Потери, %]])+Рецепты[[#This Row],[Маржа]]*(Рецепты[[#This Row],[р]]*100%)/(100%-Рецепты[[#This Row],[Потери, %]])</f>
        <v>3.0020000000000002</v>
      </c>
      <c r="O263" s="43">
        <f>Рецепты[[#This Row],[Цена за 1 кг]]-(Рецепты[[#This Row],[р]]*100%/(100%-Рецепты[[#This Row],[Потери, %]]))</f>
        <v>1.4220000000000002</v>
      </c>
      <c r="P263" s="40" t="s">
        <v>495</v>
      </c>
      <c r="Q263" s="40" t="s">
        <v>503</v>
      </c>
      <c r="R263" s="44" t="str">
        <f>VLOOKUP(Рецепты[[#This Row],[Состав]],Ингредиенты[],9,0)</f>
        <v>Да</v>
      </c>
      <c r="S263" s="52"/>
    </row>
    <row r="264" spans="1:19" x14ac:dyDescent="0.25">
      <c r="A264" s="40" t="s">
        <v>494</v>
      </c>
      <c r="B264" s="40" t="str">
        <f t="shared" si="30"/>
        <v>Колбаса</v>
      </c>
      <c r="C264" s="40" t="str">
        <f t="shared" si="29"/>
        <v>ГК</v>
      </c>
      <c r="D264" s="40" t="s">
        <v>143</v>
      </c>
      <c r="E264" s="41" t="str">
        <f>VLOOKUP(Рецепты[[#This Row],[Состав]],Ингредиенты[],2,0)</f>
        <v>Специи</v>
      </c>
      <c r="F264" s="62">
        <v>1E-3</v>
      </c>
      <c r="G264" s="42">
        <f>IF(Рецепты[[#This Row],[%]]*1000&gt;0,Рецепты[[#This Row],[%]]*1000,"")</f>
        <v>1</v>
      </c>
      <c r="H264" s="43">
        <f>IFERROR(VLOOKUP(Рецепты[[#This Row],[Состав]],Ингредиенты!A:I,3,0)*Рецепты[[#This Row],[г]],"")</f>
        <v>1.1319999999999999</v>
      </c>
      <c r="I264" s="42">
        <f>СводРецепт!$A$1</f>
        <v>1000</v>
      </c>
      <c r="J264" s="42">
        <f>Рецепты[[#This Row],[%]]*Рецепты[[#This Row],[Масса]]</f>
        <v>1</v>
      </c>
      <c r="K264" s="43">
        <f>Рецепты[[#This Row],[Вес ингр-тов]]*VLOOKUP(Рецепты[[#This Row],[Состав]],Ингредиенты[],3,FALSE)</f>
        <v>1.1319999999999999</v>
      </c>
      <c r="L264" s="41">
        <f>IF(VLOOKUP(Рецепты[[#This Row],[Состав]],Ингредиенты[],4,0)="Основа",VLOOKUP(Рецепты[[#This Row],[Способ]],Способ[],2,0),0%)</f>
        <v>0</v>
      </c>
      <c r="M264" s="41">
        <f>VLOOKUP(Рецепты[[#This Row],[Способ]],Способ[],3,0)</f>
        <v>0.9</v>
      </c>
      <c r="N264" s="43">
        <f>Рецепты[[#This Row],[р]]*100%/(100%-Рецепты[[#This Row],[Потери, %]])+Рецепты[[#This Row],[Маржа]]*(Рецепты[[#This Row],[р]]*100%)/(100%-Рецепты[[#This Row],[Потери, %]])</f>
        <v>2.1507999999999998</v>
      </c>
      <c r="O264" s="43">
        <f>Рецепты[[#This Row],[Цена за 1 кг]]-(Рецепты[[#This Row],[р]]*100%/(100%-Рецепты[[#This Row],[Потери, %]]))</f>
        <v>1.0187999999999999</v>
      </c>
      <c r="P264" s="40" t="s">
        <v>495</v>
      </c>
      <c r="Q264" s="40" t="s">
        <v>504</v>
      </c>
      <c r="R264" s="44" t="str">
        <f>VLOOKUP(Рецепты[[#This Row],[Состав]],Ингредиенты[],9,0)</f>
        <v>Да</v>
      </c>
      <c r="S264" s="52"/>
    </row>
    <row r="265" spans="1:19" x14ac:dyDescent="0.25">
      <c r="A265" s="40" t="s">
        <v>494</v>
      </c>
      <c r="B265" s="40" t="str">
        <f t="shared" si="30"/>
        <v>Колбаса</v>
      </c>
      <c r="C265" s="40" t="str">
        <f t="shared" si="29"/>
        <v>ГК</v>
      </c>
      <c r="D265" s="40" t="s">
        <v>151</v>
      </c>
      <c r="E265" s="41" t="str">
        <f>VLOOKUP(Рецепты[[#This Row],[Состав]],Ингредиенты[],2,0)</f>
        <v>Специи</v>
      </c>
      <c r="F265" s="62">
        <v>2E-3</v>
      </c>
      <c r="G265" s="42">
        <f>IF(Рецепты[[#This Row],[%]]*1000&gt;0,Рецепты[[#This Row],[%]]*1000,"")</f>
        <v>2</v>
      </c>
      <c r="H265" s="43">
        <f>IFERROR(VLOOKUP(Рецепты[[#This Row],[Состав]],Ингредиенты!A:I,3,0)*Рецепты[[#This Row],[г]],"")</f>
        <v>1.7566666666666666</v>
      </c>
      <c r="I265" s="42">
        <f>СводРецепт!$A$1</f>
        <v>1000</v>
      </c>
      <c r="J265" s="42">
        <f>Рецепты[[#This Row],[%]]*Рецепты[[#This Row],[Масса]]</f>
        <v>2</v>
      </c>
      <c r="K265" s="43">
        <f>Рецепты[[#This Row],[Вес ингр-тов]]*VLOOKUP(Рецепты[[#This Row],[Состав]],Ингредиенты[],3,FALSE)</f>
        <v>1.7566666666666666</v>
      </c>
      <c r="L265" s="41">
        <f>IF(VLOOKUP(Рецепты[[#This Row],[Состав]],Ингредиенты[],4,0)="Основа",VLOOKUP(Рецепты[[#This Row],[Способ]],Способ[],2,0),0%)</f>
        <v>0</v>
      </c>
      <c r="M265" s="41">
        <f>VLOOKUP(Рецепты[[#This Row],[Способ]],Способ[],3,0)</f>
        <v>0.9</v>
      </c>
      <c r="N265" s="43">
        <f>Рецепты[[#This Row],[р]]*100%/(100%-Рецепты[[#This Row],[Потери, %]])+Рецепты[[#This Row],[Маржа]]*(Рецепты[[#This Row],[р]]*100%)/(100%-Рецепты[[#This Row],[Потери, %]])</f>
        <v>3.3376666666666663</v>
      </c>
      <c r="O265" s="43">
        <f>Рецепты[[#This Row],[Цена за 1 кг]]-(Рецепты[[#This Row],[р]]*100%/(100%-Рецепты[[#This Row],[Потери, %]]))</f>
        <v>1.5809999999999997</v>
      </c>
      <c r="P265" s="40" t="s">
        <v>495</v>
      </c>
      <c r="Q265" s="40" t="s">
        <v>505</v>
      </c>
      <c r="R265" s="44" t="str">
        <f>VLOOKUP(Рецепты[[#This Row],[Состав]],Ингредиенты[],9,0)</f>
        <v>Да</v>
      </c>
      <c r="S265" s="52"/>
    </row>
    <row r="266" spans="1:19" x14ac:dyDescent="0.25">
      <c r="A266" s="40" t="s">
        <v>494</v>
      </c>
      <c r="B266" s="40" t="str">
        <f t="shared" si="30"/>
        <v>Колбаса</v>
      </c>
      <c r="C266" s="40" t="str">
        <f t="shared" si="29"/>
        <v>ГК</v>
      </c>
      <c r="D266" s="40" t="s">
        <v>197</v>
      </c>
      <c r="E266" s="41" t="str">
        <f>VLOOKUP(Рецепты[[#This Row],[Состав]],Ингредиенты[],2,0)</f>
        <v>Специи</v>
      </c>
      <c r="F266" s="62">
        <v>2E-3</v>
      </c>
      <c r="G266" s="42">
        <f>IF(Рецепты[[#This Row],[%]]*1000&gt;0,Рецепты[[#This Row],[%]]*1000,"")</f>
        <v>2</v>
      </c>
      <c r="H266" s="43">
        <f>IFERROR(VLOOKUP(Рецепты[[#This Row],[Состав]],Ингредиенты!A:I,3,0)*Рецепты[[#This Row],[г]],"")</f>
        <v>0.93799999999999994</v>
      </c>
      <c r="I266" s="42">
        <f>СводРецепт!$A$1</f>
        <v>1000</v>
      </c>
      <c r="J266" s="42">
        <f>Рецепты[[#This Row],[%]]*Рецепты[[#This Row],[Масса]]</f>
        <v>2</v>
      </c>
      <c r="K266" s="43">
        <f>Рецепты[[#This Row],[Вес ингр-тов]]*VLOOKUP(Рецепты[[#This Row],[Состав]],Ингредиенты[],3,FALSE)</f>
        <v>0.93799999999999994</v>
      </c>
      <c r="L266" s="41">
        <f>IF(VLOOKUP(Рецепты[[#This Row],[Состав]],Ингредиенты[],4,0)="Основа",VLOOKUP(Рецепты[[#This Row],[Способ]],Способ[],2,0),0%)</f>
        <v>0</v>
      </c>
      <c r="M266" s="41">
        <f>VLOOKUP(Рецепты[[#This Row],[Способ]],Способ[],3,0)</f>
        <v>0.9</v>
      </c>
      <c r="N266" s="43">
        <f>Рецепты[[#This Row],[р]]*100%/(100%-Рецепты[[#This Row],[Потери, %]])+Рецепты[[#This Row],[Маржа]]*(Рецепты[[#This Row],[р]]*100%)/(100%-Рецепты[[#This Row],[Потери, %]])</f>
        <v>1.7822</v>
      </c>
      <c r="O266" s="43">
        <f>Рецепты[[#This Row],[Цена за 1 кг]]-(Рецепты[[#This Row],[р]]*100%/(100%-Рецепты[[#This Row],[Потери, %]]))</f>
        <v>0.84420000000000006</v>
      </c>
      <c r="P266" s="40" t="s">
        <v>495</v>
      </c>
      <c r="Q266" s="40" t="s">
        <v>506</v>
      </c>
      <c r="R266" s="44" t="str">
        <f>VLOOKUP(Рецепты[[#This Row],[Состав]],Ингредиенты[],9,0)</f>
        <v>Нет</v>
      </c>
      <c r="S266" s="52"/>
    </row>
    <row r="267" spans="1:19" x14ac:dyDescent="0.25">
      <c r="A267" s="40" t="s">
        <v>494</v>
      </c>
      <c r="B267" s="40" t="str">
        <f>B266</f>
        <v>Колбаса</v>
      </c>
      <c r="C267" s="40" t="str">
        <f>C266</f>
        <v>ГК</v>
      </c>
      <c r="D267" s="40" t="s">
        <v>220</v>
      </c>
      <c r="E267" s="41" t="str">
        <f>VLOOKUP(Рецепты[[#This Row],[Состав]],Ингредиенты[],2,0)</f>
        <v>Оболочка</v>
      </c>
      <c r="F267" s="62">
        <v>1E-3</v>
      </c>
      <c r="G267" s="42">
        <f>IF(Рецепты[[#This Row],[%]]*1000&gt;0,Рецепты[[#This Row],[%]]*1000,"")</f>
        <v>1</v>
      </c>
      <c r="H267" s="43">
        <f>IFERROR(VLOOKUP(Рецепты[[#This Row],[Состав]],Ингредиенты!A:I,3,0)*Рецепты[[#This Row],[г]],"")</f>
        <v>39.348206474190725</v>
      </c>
      <c r="I267" s="42">
        <f>СводРецепт!$A$1</f>
        <v>1000</v>
      </c>
      <c r="J267" s="42">
        <f>Рецепты[[#This Row],[%]]*Рецепты[[#This Row],[Масса]]</f>
        <v>1</v>
      </c>
      <c r="K267" s="43">
        <f>Рецепты[[#This Row],[Вес ингр-тов]]*VLOOKUP(Рецепты[[#This Row],[Состав]],Ингредиенты[],3,FALSE)</f>
        <v>39.348206474190725</v>
      </c>
      <c r="L267" s="41">
        <f>IF(VLOOKUP(Рецепты[[#This Row],[Состав]],Ингредиенты[],4,0)="Основа",VLOOKUP(Рецепты[[#This Row],[Способ]],Способ[],2,0),0%)</f>
        <v>0</v>
      </c>
      <c r="M267" s="41">
        <f>VLOOKUP(Рецепты[[#This Row],[Способ]],Способ[],3,0)</f>
        <v>0.9</v>
      </c>
      <c r="N267" s="43">
        <f>Рецепты[[#This Row],[р]]*100%/(100%-Рецепты[[#This Row],[Потери, %]])+Рецепты[[#This Row],[Маржа]]*(Рецепты[[#This Row],[р]]*100%)/(100%-Рецепты[[#This Row],[Потери, %]])</f>
        <v>74.761592300962377</v>
      </c>
      <c r="O267" s="43">
        <f>Рецепты[[#This Row],[Цена за 1 кг]]-(Рецепты[[#This Row],[р]]*100%/(100%-Рецепты[[#This Row],[Потери, %]]))</f>
        <v>35.413385826771652</v>
      </c>
      <c r="P267" s="40" t="s">
        <v>495</v>
      </c>
      <c r="Q267" s="40" t="s">
        <v>507</v>
      </c>
      <c r="R267" s="44" t="str">
        <f>VLOOKUP(Рецепты[[#This Row],[Состав]],Ингредиенты[],9,0)</f>
        <v>Нет</v>
      </c>
      <c r="S267" s="52"/>
    </row>
    <row r="268" spans="1:19" x14ac:dyDescent="0.25">
      <c r="A268" s="40" t="s">
        <v>508</v>
      </c>
      <c r="B268" s="40" t="s">
        <v>21</v>
      </c>
      <c r="C268" s="40" t="s">
        <v>9</v>
      </c>
      <c r="D268" s="40" t="s">
        <v>52</v>
      </c>
      <c r="E268" s="41" t="str">
        <f>VLOOKUP(Рецепты[[#This Row],[Состав]],Ингредиенты[],2,0)</f>
        <v>Свинина</v>
      </c>
      <c r="F268" s="62">
        <v>1</v>
      </c>
      <c r="G268" s="42">
        <f>IF(Рецепты[[#This Row],[%]]*1000&gt;0,Рецепты[[#This Row],[%]]*1000,"")</f>
        <v>1000</v>
      </c>
      <c r="H268" s="43">
        <f>IFERROR(VLOOKUP(Рецепты[[#This Row],[Состав]],Ингредиенты!A:I,3,0)*Рецепты[[#This Row],[г]],"")</f>
        <v>369</v>
      </c>
      <c r="I268" s="42">
        <f>СводРецепт!$A$1</f>
        <v>1000</v>
      </c>
      <c r="J268" s="42">
        <f>Рецепты[[#This Row],[%]]*Рецепты[[#This Row],[Масса]]</f>
        <v>1000</v>
      </c>
      <c r="K268" s="43">
        <f>Рецепты[[#This Row],[Вес ингр-тов]]*VLOOKUP(Рецепты[[#This Row],[Состав]],Ингредиенты[],3,FALSE)</f>
        <v>369</v>
      </c>
      <c r="L268" s="41">
        <f>IF(VLOOKUP(Рецепты[[#This Row],[Состав]],Ингредиенты[],4,0)="Основа",VLOOKUP(Рецепты[[#This Row],[Способ]],Способ[],2,0),0%)</f>
        <v>0.15</v>
      </c>
      <c r="M268" s="41">
        <f>VLOOKUP(Рецепты[[#This Row],[Способ]],Способ[],3,0)</f>
        <v>0.7</v>
      </c>
      <c r="N268" s="43">
        <f>Рецепты[[#This Row],[р]]*100%/(100%-Рецепты[[#This Row],[Потери, %]])+Рецепты[[#This Row],[Маржа]]*(Рецепты[[#This Row],[р]]*100%)/(100%-Рецепты[[#This Row],[Потери, %]])</f>
        <v>738</v>
      </c>
      <c r="O268" s="43">
        <f>Рецепты[[#This Row],[Цена за 1 кг]]-(Рецепты[[#This Row],[р]]*100%/(100%-Рецепты[[#This Row],[Потери, %]]))</f>
        <v>303.88235294117646</v>
      </c>
      <c r="P268" s="40" t="s">
        <v>509</v>
      </c>
      <c r="Q268" s="40" t="s">
        <v>510</v>
      </c>
      <c r="R268" s="44" t="str">
        <f>VLOOKUP(Рецепты[[#This Row],[Состав]],Ингредиенты[],9,0)</f>
        <v>Нет</v>
      </c>
      <c r="S268" s="52"/>
    </row>
    <row r="269" spans="1:19" x14ac:dyDescent="0.25">
      <c r="A269" s="40" t="s">
        <v>508</v>
      </c>
      <c r="B269" s="40" t="str">
        <f t="shared" ref="B269:B284" si="31">B268</f>
        <v>Сосиски</v>
      </c>
      <c r="C269" s="40" t="str">
        <f t="shared" ref="C269:C284" si="32">C268</f>
        <v>Вареное</v>
      </c>
      <c r="D269" s="40" t="s">
        <v>93</v>
      </c>
      <c r="E269" s="41" t="str">
        <f>VLOOKUP(Рецепты[[#This Row],[Состав]],Ингредиенты[],2,0)</f>
        <v>Добавки</v>
      </c>
      <c r="F269" s="62">
        <v>0.15</v>
      </c>
      <c r="G269" s="42">
        <f>IF(Рецепты[[#This Row],[%]]*1000&gt;0,Рецепты[[#This Row],[%]]*1000,"")</f>
        <v>150</v>
      </c>
      <c r="H269" s="43">
        <f>IFERROR(VLOOKUP(Рецепты[[#This Row],[Состав]],Ингредиенты!A:I,3,0)*Рецепты[[#This Row],[г]],"")</f>
        <v>0.15</v>
      </c>
      <c r="I269" s="42">
        <f>СводРецепт!$A$1</f>
        <v>1000</v>
      </c>
      <c r="J269" s="42">
        <f>Рецепты[[#This Row],[%]]*Рецепты[[#This Row],[Масса]]</f>
        <v>150</v>
      </c>
      <c r="K269" s="43">
        <f>Рецепты[[#This Row],[Вес ингр-тов]]*VLOOKUP(Рецепты[[#This Row],[Состав]],Ингредиенты[],3,FALSE)</f>
        <v>0.15</v>
      </c>
      <c r="L269" s="41">
        <f>IF(VLOOKUP(Рецепты[[#This Row],[Состав]],Ингредиенты[],4,0)="Основа",VLOOKUP(Рецепты[[#This Row],[Способ]],Способ[],2,0),0%)</f>
        <v>0</v>
      </c>
      <c r="M269" s="41">
        <f>VLOOKUP(Рецепты[[#This Row],[Способ]],Способ[],3,0)</f>
        <v>0.7</v>
      </c>
      <c r="N269" s="43">
        <f>Рецепты[[#This Row],[р]]*100%/(100%-Рецепты[[#This Row],[Потери, %]])+Рецепты[[#This Row],[Маржа]]*(Рецепты[[#This Row],[р]]*100%)/(100%-Рецепты[[#This Row],[Потери, %]])</f>
        <v>0.255</v>
      </c>
      <c r="O269" s="43">
        <f>Рецепты[[#This Row],[Цена за 1 кг]]-(Рецепты[[#This Row],[р]]*100%/(100%-Рецепты[[#This Row],[Потери, %]]))</f>
        <v>0.10500000000000001</v>
      </c>
      <c r="P269" s="40" t="s">
        <v>509</v>
      </c>
      <c r="Q269" s="40" t="s">
        <v>511</v>
      </c>
      <c r="R269" s="44" t="str">
        <f>VLOOKUP(Рецепты[[#This Row],[Состав]],Ингредиенты[],9,0)</f>
        <v>Да</v>
      </c>
      <c r="S269" s="52"/>
    </row>
    <row r="270" spans="1:19" x14ac:dyDescent="0.25">
      <c r="A270" s="40" t="s">
        <v>508</v>
      </c>
      <c r="B270" s="40" t="str">
        <f t="shared" si="31"/>
        <v>Сосиски</v>
      </c>
      <c r="C270" s="40" t="str">
        <f t="shared" si="32"/>
        <v>Вареное</v>
      </c>
      <c r="D270" s="40" t="s">
        <v>125</v>
      </c>
      <c r="E270" s="41" t="str">
        <f>VLOOKUP(Рецепты[[#This Row],[Состав]],Ингредиенты[],2,0)</f>
        <v>Специи</v>
      </c>
      <c r="F270" s="62">
        <v>1.6E-2</v>
      </c>
      <c r="G270" s="42">
        <f>IF(Рецепты[[#This Row],[%]]*1000&gt;0,Рецепты[[#This Row],[%]]*1000,"")</f>
        <v>16</v>
      </c>
      <c r="H270" s="43">
        <f>IFERROR(VLOOKUP(Рецепты[[#This Row],[Состав]],Ингредиенты!A:I,3,0)*Рецепты[[#This Row],[г]],"")</f>
        <v>2.048</v>
      </c>
      <c r="I270" s="42">
        <f>СводРецепт!$A$1</f>
        <v>1000</v>
      </c>
      <c r="J270" s="42">
        <f>Рецепты[[#This Row],[%]]*Рецепты[[#This Row],[Масса]]</f>
        <v>16</v>
      </c>
      <c r="K270" s="43">
        <f>Рецепты[[#This Row],[Вес ингр-тов]]*VLOOKUP(Рецепты[[#This Row],[Состав]],Ингредиенты[],3,FALSE)</f>
        <v>2.048</v>
      </c>
      <c r="L270" s="41">
        <f>IF(VLOOKUP(Рецепты[[#This Row],[Состав]],Ингредиенты[],4,0)="Основа",VLOOKUP(Рецепты[[#This Row],[Способ]],Способ[],2,0),0%)</f>
        <v>0</v>
      </c>
      <c r="M270" s="41">
        <f>VLOOKUP(Рецепты[[#This Row],[Способ]],Способ[],3,0)</f>
        <v>0.7</v>
      </c>
      <c r="N270" s="43">
        <f>Рецепты[[#This Row],[р]]*100%/(100%-Рецепты[[#This Row],[Потери, %]])+Рецепты[[#This Row],[Маржа]]*(Рецепты[[#This Row],[р]]*100%)/(100%-Рецепты[[#This Row],[Потери, %]])</f>
        <v>3.4816000000000003</v>
      </c>
      <c r="O270" s="43">
        <f>Рецепты[[#This Row],[Цена за 1 кг]]-(Рецепты[[#This Row],[р]]*100%/(100%-Рецепты[[#This Row],[Потери, %]]))</f>
        <v>1.4336000000000002</v>
      </c>
      <c r="P270" s="40" t="s">
        <v>509</v>
      </c>
      <c r="Q270" s="40" t="s">
        <v>512</v>
      </c>
      <c r="R270" s="44" t="str">
        <f>VLOOKUP(Рецепты[[#This Row],[Состав]],Ингредиенты[],9,0)</f>
        <v>Да</v>
      </c>
      <c r="S270" s="52"/>
    </row>
    <row r="271" spans="1:19" x14ac:dyDescent="0.25">
      <c r="A271" s="40" t="s">
        <v>508</v>
      </c>
      <c r="B271" s="40" t="str">
        <f t="shared" si="31"/>
        <v>Сосиски</v>
      </c>
      <c r="C271" s="40" t="str">
        <f t="shared" si="32"/>
        <v>Вареное</v>
      </c>
      <c r="D271" s="40" t="s">
        <v>157</v>
      </c>
      <c r="E271" s="41" t="str">
        <f>VLOOKUP(Рецепты[[#This Row],[Состав]],Ингредиенты[],2,0)</f>
        <v>Специи</v>
      </c>
      <c r="F271" s="62">
        <v>3.0000000000000001E-3</v>
      </c>
      <c r="G271" s="42">
        <f>IF(Рецепты[[#This Row],[%]]*1000&gt;0,Рецепты[[#This Row],[%]]*1000,"")</f>
        <v>3</v>
      </c>
      <c r="H271" s="43">
        <f>IFERROR(VLOOKUP(Рецепты[[#This Row],[Состав]],Ингредиенты!A:I,3,0)*Рецепты[[#This Row],[г]],"")</f>
        <v>2.2439999999999998</v>
      </c>
      <c r="I271" s="42">
        <f>СводРецепт!$A$1</f>
        <v>1000</v>
      </c>
      <c r="J271" s="42">
        <f>Рецепты[[#This Row],[%]]*Рецепты[[#This Row],[Масса]]</f>
        <v>3</v>
      </c>
      <c r="K271" s="43">
        <f>Рецепты[[#This Row],[Вес ингр-тов]]*VLOOKUP(Рецепты[[#This Row],[Состав]],Ингредиенты[],3,FALSE)</f>
        <v>2.2439999999999998</v>
      </c>
      <c r="L271" s="41">
        <f>IF(VLOOKUP(Рецепты[[#This Row],[Состав]],Ингредиенты[],4,0)="Основа",VLOOKUP(Рецепты[[#This Row],[Способ]],Способ[],2,0),0%)</f>
        <v>0</v>
      </c>
      <c r="M271" s="41">
        <f>VLOOKUP(Рецепты[[#This Row],[Способ]],Способ[],3,0)</f>
        <v>0.7</v>
      </c>
      <c r="N271" s="43">
        <f>Рецепты[[#This Row],[р]]*100%/(100%-Рецепты[[#This Row],[Потери, %]])+Рецепты[[#This Row],[Маржа]]*(Рецепты[[#This Row],[р]]*100%)/(100%-Рецепты[[#This Row],[Потери, %]])</f>
        <v>3.8147999999999995</v>
      </c>
      <c r="O271" s="43">
        <f>Рецепты[[#This Row],[Цена за 1 кг]]-(Рецепты[[#This Row],[р]]*100%/(100%-Рецепты[[#This Row],[Потери, %]]))</f>
        <v>1.5707999999999998</v>
      </c>
      <c r="P271" s="40" t="s">
        <v>509</v>
      </c>
      <c r="Q271" s="40" t="s">
        <v>513</v>
      </c>
      <c r="R271" s="44" t="str">
        <f>VLOOKUP(Рецепты[[#This Row],[Состав]],Ингредиенты[],9,0)</f>
        <v>Да</v>
      </c>
      <c r="S271" s="52"/>
    </row>
    <row r="272" spans="1:19" x14ac:dyDescent="0.25">
      <c r="A272" s="40" t="s">
        <v>508</v>
      </c>
      <c r="B272" s="40" t="str">
        <f t="shared" si="31"/>
        <v>Сосиски</v>
      </c>
      <c r="C272" s="40" t="str">
        <f t="shared" si="32"/>
        <v>Вареное</v>
      </c>
      <c r="D272" s="40" t="s">
        <v>133</v>
      </c>
      <c r="E272" s="41" t="str">
        <f>VLOOKUP(Рецепты[[#This Row],[Состав]],Ингредиенты[],2,0)</f>
        <v>Специи</v>
      </c>
      <c r="F272" s="62">
        <v>2E-3</v>
      </c>
      <c r="G272" s="42">
        <f>IF(Рецепты[[#This Row],[%]]*1000&gt;0,Рецепты[[#This Row],[%]]*1000,"")</f>
        <v>2</v>
      </c>
      <c r="H272" s="43">
        <f>IFERROR(VLOOKUP(Рецепты[[#This Row],[Состав]],Ингредиенты!A:I,3,0)*Рецепты[[#This Row],[г]],"")</f>
        <v>2.189090909090909</v>
      </c>
      <c r="I272" s="42">
        <f>СводРецепт!$A$1</f>
        <v>1000</v>
      </c>
      <c r="J272" s="42">
        <f>Рецепты[[#This Row],[%]]*Рецепты[[#This Row],[Масса]]</f>
        <v>2</v>
      </c>
      <c r="K272" s="43">
        <f>Рецепты[[#This Row],[Вес ингр-тов]]*VLOOKUP(Рецепты[[#This Row],[Состав]],Ингредиенты[],3,FALSE)</f>
        <v>2.189090909090909</v>
      </c>
      <c r="L272" s="41">
        <f>IF(VLOOKUP(Рецепты[[#This Row],[Состав]],Ингредиенты[],4,0)="Основа",VLOOKUP(Рецепты[[#This Row],[Способ]],Способ[],2,0),0%)</f>
        <v>0</v>
      </c>
      <c r="M272" s="41">
        <f>VLOOKUP(Рецепты[[#This Row],[Способ]],Способ[],3,0)</f>
        <v>0.7</v>
      </c>
      <c r="N272" s="43">
        <f>Рецепты[[#This Row],[р]]*100%/(100%-Рецепты[[#This Row],[Потери, %]])+Рецепты[[#This Row],[Маржа]]*(Рецепты[[#This Row],[р]]*100%)/(100%-Рецепты[[#This Row],[Потери, %]])</f>
        <v>3.7214545454545451</v>
      </c>
      <c r="O272" s="43">
        <f>Рецепты[[#This Row],[Цена за 1 кг]]-(Рецепты[[#This Row],[р]]*100%/(100%-Рецепты[[#This Row],[Потери, %]]))</f>
        <v>1.5323636363636362</v>
      </c>
      <c r="P272" s="40" t="s">
        <v>509</v>
      </c>
      <c r="Q272" s="40" t="s">
        <v>514</v>
      </c>
      <c r="R272" s="44" t="str">
        <f>VLOOKUP(Рецепты[[#This Row],[Состав]],Ингредиенты[],9,0)</f>
        <v>Да</v>
      </c>
      <c r="S272" s="52"/>
    </row>
    <row r="273" spans="1:19" x14ac:dyDescent="0.25">
      <c r="A273" s="40" t="s">
        <v>508</v>
      </c>
      <c r="B273" s="40" t="str">
        <f t="shared" si="31"/>
        <v>Сосиски</v>
      </c>
      <c r="C273" s="40" t="str">
        <f t="shared" si="32"/>
        <v>Вареное</v>
      </c>
      <c r="D273" s="40" t="s">
        <v>135</v>
      </c>
      <c r="E273" s="41" t="str">
        <f>VLOOKUP(Рецепты[[#This Row],[Состав]],Ингредиенты[],2,0)</f>
        <v>Специи</v>
      </c>
      <c r="F273" s="62">
        <v>2E-3</v>
      </c>
      <c r="G273" s="42">
        <f>IF(Рецепты[[#This Row],[%]]*1000&gt;0,Рецепты[[#This Row],[%]]*1000,"")</f>
        <v>2</v>
      </c>
      <c r="H273" s="43">
        <f>IFERROR(VLOOKUP(Рецепты[[#This Row],[Состав]],Ингредиенты!A:I,3,0)*Рецепты[[#This Row],[г]],"")</f>
        <v>3.16</v>
      </c>
      <c r="I273" s="42">
        <f>СводРецепт!$A$1</f>
        <v>1000</v>
      </c>
      <c r="J273" s="42">
        <f>Рецепты[[#This Row],[%]]*Рецепты[[#This Row],[Масса]]</f>
        <v>2</v>
      </c>
      <c r="K273" s="43">
        <f>Рецепты[[#This Row],[Вес ингр-тов]]*VLOOKUP(Рецепты[[#This Row],[Состав]],Ингредиенты[],3,FALSE)</f>
        <v>3.16</v>
      </c>
      <c r="L273" s="41">
        <f>IF(VLOOKUP(Рецепты[[#This Row],[Состав]],Ингредиенты[],4,0)="Основа",VLOOKUP(Рецепты[[#This Row],[Способ]],Способ[],2,0),0%)</f>
        <v>0</v>
      </c>
      <c r="M273" s="41">
        <f>VLOOKUP(Рецепты[[#This Row],[Способ]],Способ[],3,0)</f>
        <v>0.7</v>
      </c>
      <c r="N273" s="43">
        <f>Рецепты[[#This Row],[р]]*100%/(100%-Рецепты[[#This Row],[Потери, %]])+Рецепты[[#This Row],[Маржа]]*(Рецепты[[#This Row],[р]]*100%)/(100%-Рецепты[[#This Row],[Потери, %]])</f>
        <v>5.3719999999999999</v>
      </c>
      <c r="O273" s="43">
        <f>Рецепты[[#This Row],[Цена за 1 кг]]-(Рецепты[[#This Row],[р]]*100%/(100%-Рецепты[[#This Row],[Потери, %]]))</f>
        <v>2.2119999999999997</v>
      </c>
      <c r="P273" s="40" t="s">
        <v>509</v>
      </c>
      <c r="Q273" s="40" t="s">
        <v>515</v>
      </c>
      <c r="R273" s="44" t="str">
        <f>VLOOKUP(Рецепты[[#This Row],[Состав]],Ингредиенты[],9,0)</f>
        <v>Да</v>
      </c>
      <c r="S273" s="52"/>
    </row>
    <row r="274" spans="1:19" x14ac:dyDescent="0.25">
      <c r="A274" s="40" t="s">
        <v>508</v>
      </c>
      <c r="B274" s="40" t="str">
        <f t="shared" si="31"/>
        <v>Сосиски</v>
      </c>
      <c r="C274" s="40" t="str">
        <f t="shared" si="32"/>
        <v>Вареное</v>
      </c>
      <c r="D274" s="40" t="s">
        <v>139</v>
      </c>
      <c r="E274" s="41" t="str">
        <f>VLOOKUP(Рецепты[[#This Row],[Состав]],Ингредиенты[],2,0)</f>
        <v>Специи</v>
      </c>
      <c r="F274" s="62">
        <v>3.0000000000000001E-3</v>
      </c>
      <c r="G274" s="42">
        <f>IF(Рецепты[[#This Row],[%]]*1000&gt;0,Рецепты[[#This Row],[%]]*1000,"")</f>
        <v>3</v>
      </c>
      <c r="H274" s="43">
        <f>IFERROR(VLOOKUP(Рецепты[[#This Row],[Состав]],Ингредиенты!A:I,3,0)*Рецепты[[#This Row],[г]],"")</f>
        <v>2.3290909090909091</v>
      </c>
      <c r="I274" s="42">
        <f>СводРецепт!$A$1</f>
        <v>1000</v>
      </c>
      <c r="J274" s="42">
        <f>Рецепты[[#This Row],[%]]*Рецепты[[#This Row],[Масса]]</f>
        <v>3</v>
      </c>
      <c r="K274" s="43">
        <f>Рецепты[[#This Row],[Вес ингр-тов]]*VLOOKUP(Рецепты[[#This Row],[Состав]],Ингредиенты[],3,FALSE)</f>
        <v>2.3290909090909091</v>
      </c>
      <c r="L274" s="41">
        <f>IF(VLOOKUP(Рецепты[[#This Row],[Состав]],Ингредиенты[],4,0)="Основа",VLOOKUP(Рецепты[[#This Row],[Способ]],Способ[],2,0),0%)</f>
        <v>0</v>
      </c>
      <c r="M274" s="41">
        <f>VLOOKUP(Рецепты[[#This Row],[Способ]],Способ[],3,0)</f>
        <v>0.7</v>
      </c>
      <c r="N274" s="43">
        <f>Рецепты[[#This Row],[р]]*100%/(100%-Рецепты[[#This Row],[Потери, %]])+Рецепты[[#This Row],[Маржа]]*(Рецепты[[#This Row],[р]]*100%)/(100%-Рецепты[[#This Row],[Потери, %]])</f>
        <v>3.9594545454545456</v>
      </c>
      <c r="O274" s="43">
        <f>Рецепты[[#This Row],[Цена за 1 кг]]-(Рецепты[[#This Row],[р]]*100%/(100%-Рецепты[[#This Row],[Потери, %]]))</f>
        <v>1.6303636363636365</v>
      </c>
      <c r="P274" s="40" t="s">
        <v>509</v>
      </c>
      <c r="Q274" s="40" t="s">
        <v>516</v>
      </c>
      <c r="R274" s="44" t="str">
        <f>VLOOKUP(Рецепты[[#This Row],[Состав]],Ингредиенты[],9,0)</f>
        <v>Нет</v>
      </c>
      <c r="S274" s="52"/>
    </row>
    <row r="275" spans="1:19" x14ac:dyDescent="0.25">
      <c r="A275" s="40" t="s">
        <v>508</v>
      </c>
      <c r="B275" s="40" t="str">
        <f t="shared" si="31"/>
        <v>Сосиски</v>
      </c>
      <c r="C275" s="40" t="str">
        <f t="shared" si="32"/>
        <v>Вареное</v>
      </c>
      <c r="D275" s="40" t="s">
        <v>199</v>
      </c>
      <c r="E275" s="41" t="str">
        <f>VLOOKUP(Рецепты[[#This Row],[Состав]],Ингредиенты[],2,0)</f>
        <v>Специи</v>
      </c>
      <c r="F275" s="62">
        <v>3.0000000000000001E-3</v>
      </c>
      <c r="G275" s="42">
        <f>IF(Рецепты[[#This Row],[%]]*1000&gt;0,Рецепты[[#This Row],[%]]*1000,"")</f>
        <v>3</v>
      </c>
      <c r="H275" s="43">
        <f>IFERROR(VLOOKUP(Рецепты[[#This Row],[Состав]],Ингредиенты!A:I,3,0)*Рецепты[[#This Row],[г]],"")</f>
        <v>3.8789999999999996</v>
      </c>
      <c r="I275" s="42">
        <f>СводРецепт!$A$1</f>
        <v>1000</v>
      </c>
      <c r="J275" s="42">
        <f>Рецепты[[#This Row],[%]]*Рецепты[[#This Row],[Масса]]</f>
        <v>3</v>
      </c>
      <c r="K275" s="43">
        <f>Рецепты[[#This Row],[Вес ингр-тов]]*VLOOKUP(Рецепты[[#This Row],[Состав]],Ингредиенты[],3,FALSE)</f>
        <v>3.8789999999999996</v>
      </c>
      <c r="L275" s="41">
        <f>IF(VLOOKUP(Рецепты[[#This Row],[Состав]],Ингредиенты[],4,0)="Основа",VLOOKUP(Рецепты[[#This Row],[Способ]],Способ[],2,0),0%)</f>
        <v>0</v>
      </c>
      <c r="M275" s="41">
        <f>VLOOKUP(Рецепты[[#This Row],[Способ]],Способ[],3,0)</f>
        <v>0.7</v>
      </c>
      <c r="N275" s="43">
        <f>Рецепты[[#This Row],[р]]*100%/(100%-Рецепты[[#This Row],[Потери, %]])+Рецепты[[#This Row],[Маржа]]*(Рецепты[[#This Row],[р]]*100%)/(100%-Рецепты[[#This Row],[Потери, %]])</f>
        <v>6.5942999999999987</v>
      </c>
      <c r="O275" s="43">
        <f>Рецепты[[#This Row],[Цена за 1 кг]]-(Рецепты[[#This Row],[р]]*100%/(100%-Рецепты[[#This Row],[Потери, %]]))</f>
        <v>2.7152999999999992</v>
      </c>
      <c r="P275" s="40" t="s">
        <v>509</v>
      </c>
      <c r="Q275" s="40" t="s">
        <v>517</v>
      </c>
      <c r="R275" s="44" t="str">
        <f>VLOOKUP(Рецепты[[#This Row],[Состав]],Ингредиенты[],9,0)</f>
        <v>Нет</v>
      </c>
      <c r="S275" s="52"/>
    </row>
    <row r="276" spans="1:19" x14ac:dyDescent="0.25">
      <c r="A276" s="40" t="s">
        <v>508</v>
      </c>
      <c r="B276" s="40" t="str">
        <f t="shared" si="31"/>
        <v>Сосиски</v>
      </c>
      <c r="C276" s="40" t="str">
        <f t="shared" si="32"/>
        <v>Вареное</v>
      </c>
      <c r="D276" s="40" t="s">
        <v>197</v>
      </c>
      <c r="E276" s="41" t="str">
        <f>VLOOKUP(Рецепты[[#This Row],[Состав]],Ингредиенты[],2,0)</f>
        <v>Специи</v>
      </c>
      <c r="F276" s="62">
        <v>3.0000000000000001E-3</v>
      </c>
      <c r="G276" s="42">
        <f>IF(Рецепты[[#This Row],[%]]*1000&gt;0,Рецепты[[#This Row],[%]]*1000,"")</f>
        <v>3</v>
      </c>
      <c r="H276" s="43">
        <f>IFERROR(VLOOKUP(Рецепты[[#This Row],[Состав]],Ингредиенты!A:I,3,0)*Рецепты[[#This Row],[г]],"")</f>
        <v>1.407</v>
      </c>
      <c r="I276" s="42">
        <f>СводРецепт!$A$1</f>
        <v>1000</v>
      </c>
      <c r="J276" s="42">
        <f>Рецепты[[#This Row],[%]]*Рецепты[[#This Row],[Масса]]</f>
        <v>3</v>
      </c>
      <c r="K276" s="43">
        <f>Рецепты[[#This Row],[Вес ингр-тов]]*VLOOKUP(Рецепты[[#This Row],[Состав]],Ингредиенты[],3,FALSE)</f>
        <v>1.407</v>
      </c>
      <c r="L276" s="41">
        <f>IF(VLOOKUP(Рецепты[[#This Row],[Состав]],Ингредиенты[],4,0)="Основа",VLOOKUP(Рецепты[[#This Row],[Способ]],Способ[],2,0),0%)</f>
        <v>0</v>
      </c>
      <c r="M276" s="41">
        <f>VLOOKUP(Рецепты[[#This Row],[Способ]],Способ[],3,0)</f>
        <v>0.7</v>
      </c>
      <c r="N276" s="43">
        <f>Рецепты[[#This Row],[р]]*100%/(100%-Рецепты[[#This Row],[Потери, %]])+Рецепты[[#This Row],[Маржа]]*(Рецепты[[#This Row],[р]]*100%)/(100%-Рецепты[[#This Row],[Потери, %]])</f>
        <v>2.3919000000000001</v>
      </c>
      <c r="O276" s="43">
        <f>Рецепты[[#This Row],[Цена за 1 кг]]-(Рецепты[[#This Row],[р]]*100%/(100%-Рецепты[[#This Row],[Потери, %]]))</f>
        <v>0.98490000000000011</v>
      </c>
      <c r="P276" s="40" t="s">
        <v>509</v>
      </c>
      <c r="Q276" s="40" t="s">
        <v>518</v>
      </c>
      <c r="R276" s="44" t="str">
        <f>VLOOKUP(Рецепты[[#This Row],[Состав]],Ингредиенты[],9,0)</f>
        <v>Нет</v>
      </c>
      <c r="S276" s="52"/>
    </row>
    <row r="277" spans="1:19" x14ac:dyDescent="0.25">
      <c r="A277" s="40" t="s">
        <v>508</v>
      </c>
      <c r="B277" s="40" t="str">
        <f t="shared" si="31"/>
        <v>Сосиски</v>
      </c>
      <c r="C277" s="40" t="str">
        <f t="shared" si="32"/>
        <v>Вареное</v>
      </c>
      <c r="D277" s="40" t="s">
        <v>145</v>
      </c>
      <c r="E277" s="41" t="str">
        <f>VLOOKUP(Рецепты[[#This Row],[Состав]],Ингредиенты[],2,0)</f>
        <v>Специи</v>
      </c>
      <c r="F277" s="62">
        <v>6.0000000000000001E-3</v>
      </c>
      <c r="G277" s="42">
        <f>IF(Рецепты[[#This Row],[%]]*1000&gt;0,Рецепты[[#This Row],[%]]*1000,"")</f>
        <v>6</v>
      </c>
      <c r="H277" s="43">
        <f>IFERROR(VLOOKUP(Рецепты[[#This Row],[Состав]],Ингредиенты!A:I,3,0)*Рецепты[[#This Row],[г]],"")</f>
        <v>4.6909090909090914</v>
      </c>
      <c r="I277" s="42">
        <f>СводРецепт!$A$1</f>
        <v>1000</v>
      </c>
      <c r="J277" s="42">
        <f>Рецепты[[#This Row],[%]]*Рецепты[[#This Row],[Масса]]</f>
        <v>6</v>
      </c>
      <c r="K277" s="43">
        <f>Рецепты[[#This Row],[Вес ингр-тов]]*VLOOKUP(Рецепты[[#This Row],[Состав]],Ингредиенты[],3,FALSE)</f>
        <v>4.6909090909090914</v>
      </c>
      <c r="L277" s="41">
        <f>IF(VLOOKUP(Рецепты[[#This Row],[Состав]],Ингредиенты[],4,0)="Основа",VLOOKUP(Рецепты[[#This Row],[Способ]],Способ[],2,0),0%)</f>
        <v>0</v>
      </c>
      <c r="M277" s="41">
        <f>VLOOKUP(Рецепты[[#This Row],[Способ]],Способ[],3,0)</f>
        <v>0.7</v>
      </c>
      <c r="N277" s="43">
        <f>Рецепты[[#This Row],[р]]*100%/(100%-Рецепты[[#This Row],[Потери, %]])+Рецепты[[#This Row],[Маржа]]*(Рецепты[[#This Row],[р]]*100%)/(100%-Рецепты[[#This Row],[Потери, %]])</f>
        <v>7.9745454545454546</v>
      </c>
      <c r="O277" s="43">
        <f>Рецепты[[#This Row],[Цена за 1 кг]]-(Рецепты[[#This Row],[р]]*100%/(100%-Рецепты[[#This Row],[Потери, %]]))</f>
        <v>3.2836363636363632</v>
      </c>
      <c r="P277" s="40" t="s">
        <v>509</v>
      </c>
      <c r="Q277" s="40" t="s">
        <v>519</v>
      </c>
      <c r="R277" s="44" t="str">
        <f>VLOOKUP(Рецепты[[#This Row],[Состав]],Ингредиенты[],9,0)</f>
        <v>Нет</v>
      </c>
      <c r="S277" s="52"/>
    </row>
    <row r="278" spans="1:19" x14ac:dyDescent="0.25">
      <c r="A278" s="40" t="s">
        <v>508</v>
      </c>
      <c r="B278" s="40" t="str">
        <f>B277</f>
        <v>Сосиски</v>
      </c>
      <c r="C278" s="40" t="str">
        <f>C277</f>
        <v>Вареное</v>
      </c>
      <c r="D278" s="40" t="s">
        <v>220</v>
      </c>
      <c r="E278" s="41" t="str">
        <f>VLOOKUP(Рецепты[[#This Row],[Состав]],Ингредиенты[],2,0)</f>
        <v>Оболочка</v>
      </c>
      <c r="F278" s="62">
        <v>1E-3</v>
      </c>
      <c r="G278" s="42">
        <f>IF(Рецепты[[#This Row],[%]]*1000&gt;0,Рецепты[[#This Row],[%]]*1000,"")</f>
        <v>1</v>
      </c>
      <c r="H278" s="43">
        <f>IFERROR(VLOOKUP(Рецепты[[#This Row],[Состав]],Ингредиенты!A:I,3,0)*Рецепты[[#This Row],[г]],"")</f>
        <v>39.348206474190725</v>
      </c>
      <c r="I278" s="42">
        <f>СводРецепт!$A$1</f>
        <v>1000</v>
      </c>
      <c r="J278" s="42">
        <f>Рецепты[[#This Row],[%]]*Рецепты[[#This Row],[Масса]]</f>
        <v>1</v>
      </c>
      <c r="K278" s="43">
        <f>Рецепты[[#This Row],[Вес ингр-тов]]*VLOOKUP(Рецепты[[#This Row],[Состав]],Ингредиенты[],3,FALSE)</f>
        <v>39.348206474190725</v>
      </c>
      <c r="L278" s="41">
        <f>IF(VLOOKUP(Рецепты[[#This Row],[Состав]],Ингредиенты[],4,0)="Основа",VLOOKUP(Рецепты[[#This Row],[Способ]],Способ[],2,0),0%)</f>
        <v>0</v>
      </c>
      <c r="M278" s="41">
        <f>VLOOKUP(Рецепты[[#This Row],[Способ]],Способ[],3,0)</f>
        <v>0.7</v>
      </c>
      <c r="N278" s="43">
        <f>Рецепты[[#This Row],[р]]*100%/(100%-Рецепты[[#This Row],[Потери, %]])+Рецепты[[#This Row],[Маржа]]*(Рецепты[[#This Row],[р]]*100%)/(100%-Рецепты[[#This Row],[Потери, %]])</f>
        <v>66.891951006124231</v>
      </c>
      <c r="O278" s="43">
        <f>Рецепты[[#This Row],[Цена за 1 кг]]-(Рецепты[[#This Row],[р]]*100%/(100%-Рецепты[[#This Row],[Потери, %]]))</f>
        <v>27.543744531933505</v>
      </c>
      <c r="P278" s="40" t="s">
        <v>509</v>
      </c>
      <c r="Q278" s="40" t="s">
        <v>520</v>
      </c>
      <c r="R278" s="44" t="str">
        <f>VLOOKUP(Рецепты[[#This Row],[Состав]],Ингредиенты[],9,0)</f>
        <v>Нет</v>
      </c>
      <c r="S278" s="52"/>
    </row>
    <row r="279" spans="1:19" x14ac:dyDescent="0.25">
      <c r="A279" s="40" t="s">
        <v>521</v>
      </c>
      <c r="B279" s="40" t="str">
        <f>B277</f>
        <v>Сосиски</v>
      </c>
      <c r="C279" s="40" t="str">
        <f>C277</f>
        <v>Вареное</v>
      </c>
      <c r="D279" s="40" t="s">
        <v>71</v>
      </c>
      <c r="E279" s="41" t="str">
        <f>VLOOKUP(Рецепты[[#This Row],[Состав]],Ингредиенты[],2,0)</f>
        <v>Птица</v>
      </c>
      <c r="F279" s="62">
        <v>1</v>
      </c>
      <c r="G279" s="42">
        <f>IF(Рецепты[[#This Row],[%]]*1000&gt;0,Рецепты[[#This Row],[%]]*1000,"")</f>
        <v>1000</v>
      </c>
      <c r="H279" s="43">
        <f>IFERROR(VLOOKUP(Рецепты[[#This Row],[Состав]],Ингредиенты!A:I,3,0)*Рецепты[[#This Row],[г]],"")</f>
        <v>569.99</v>
      </c>
      <c r="I279" s="42">
        <f>СводРецепт!$A$1</f>
        <v>1000</v>
      </c>
      <c r="J279" s="42">
        <f>Рецепты[[#This Row],[%]]*Рецепты[[#This Row],[Масса]]</f>
        <v>1000</v>
      </c>
      <c r="K279" s="43">
        <f>Рецепты[[#This Row],[Вес ингр-тов]]*VLOOKUP(Рецепты[[#This Row],[Состав]],Ингредиенты[],3,FALSE)</f>
        <v>569.99</v>
      </c>
      <c r="L279" s="41">
        <f>IF(VLOOKUP(Рецепты[[#This Row],[Состав]],Ингредиенты[],4,0)="Основа",VLOOKUP(Рецепты[[#This Row],[Способ]],Способ[],2,0),0%)</f>
        <v>0.15</v>
      </c>
      <c r="M279" s="41">
        <f>VLOOKUP(Рецепты[[#This Row],[Способ]],Способ[],3,0)</f>
        <v>0.7</v>
      </c>
      <c r="N279" s="43">
        <f>Рецепты[[#This Row],[р]]*100%/(100%-Рецепты[[#This Row],[Потери, %]])+Рецепты[[#This Row],[Маржа]]*(Рецепты[[#This Row],[р]]*100%)/(100%-Рецепты[[#This Row],[Потери, %]])</f>
        <v>1139.98</v>
      </c>
      <c r="O279" s="43">
        <f>Рецепты[[#This Row],[Цена за 1 кг]]-(Рецепты[[#This Row],[р]]*100%/(100%-Рецепты[[#This Row],[Потери, %]]))</f>
        <v>469.40352941176468</v>
      </c>
      <c r="P279" s="40" t="s">
        <v>522</v>
      </c>
      <c r="Q279" s="40" t="s">
        <v>523</v>
      </c>
      <c r="R279" s="44" t="str">
        <f>VLOOKUP(Рецепты[[#This Row],[Состав]],Ингредиенты[],9,0)</f>
        <v>Нет</v>
      </c>
      <c r="S279" s="52"/>
    </row>
    <row r="280" spans="1:19" x14ac:dyDescent="0.25">
      <c r="A280" s="40" t="s">
        <v>521</v>
      </c>
      <c r="B280" s="40" t="str">
        <f t="shared" si="31"/>
        <v>Сосиски</v>
      </c>
      <c r="C280" s="40" t="str">
        <f t="shared" si="32"/>
        <v>Вареное</v>
      </c>
      <c r="D280" s="40" t="s">
        <v>128</v>
      </c>
      <c r="E280" s="41" t="str">
        <f>VLOOKUP(Рецепты[[#This Row],[Состав]],Ингредиенты[],2,0)</f>
        <v>Специи</v>
      </c>
      <c r="F280" s="62">
        <v>1.7999999999999999E-2</v>
      </c>
      <c r="G280" s="42">
        <f>IF(Рецепты[[#This Row],[%]]*1000&gt;0,Рецепты[[#This Row],[%]]*1000,"")</f>
        <v>18</v>
      </c>
      <c r="H280" s="43">
        <f>IFERROR(VLOOKUP(Рецепты[[#This Row],[Состав]],Ингредиенты!A:I,3,0)*Рецепты[[#This Row],[г]],"")</f>
        <v>0.69299999999999995</v>
      </c>
      <c r="I280" s="42">
        <f>СводРецепт!$A$1</f>
        <v>1000</v>
      </c>
      <c r="J280" s="42">
        <f>Рецепты[[#This Row],[%]]*Рецепты[[#This Row],[Масса]]</f>
        <v>18</v>
      </c>
      <c r="K280" s="43">
        <f>Рецепты[[#This Row],[Вес ингр-тов]]*VLOOKUP(Рецепты[[#This Row],[Состав]],Ингредиенты[],3,FALSE)</f>
        <v>0.69299999999999995</v>
      </c>
      <c r="L280" s="41">
        <f>IF(VLOOKUP(Рецепты[[#This Row],[Состав]],Ингредиенты[],4,0)="Основа",VLOOKUP(Рецепты[[#This Row],[Способ]],Способ[],2,0),0%)</f>
        <v>0</v>
      </c>
      <c r="M280" s="41">
        <f>VLOOKUP(Рецепты[[#This Row],[Способ]],Способ[],3,0)</f>
        <v>0.7</v>
      </c>
      <c r="N280" s="43">
        <f>Рецепты[[#This Row],[р]]*100%/(100%-Рецепты[[#This Row],[Потери, %]])+Рецепты[[#This Row],[Маржа]]*(Рецепты[[#This Row],[р]]*100%)/(100%-Рецепты[[#This Row],[Потери, %]])</f>
        <v>1.1780999999999999</v>
      </c>
      <c r="O280" s="43">
        <f>Рецепты[[#This Row],[Цена за 1 кг]]-(Рецепты[[#This Row],[р]]*100%/(100%-Рецепты[[#This Row],[Потери, %]]))</f>
        <v>0.48509999999999998</v>
      </c>
      <c r="P280" s="40" t="s">
        <v>522</v>
      </c>
      <c r="Q280" s="40" t="s">
        <v>524</v>
      </c>
      <c r="R280" s="44" t="str">
        <f>VLOOKUP(Рецепты[[#This Row],[Состав]],Ингредиенты[],9,0)</f>
        <v>Да</v>
      </c>
      <c r="S280" s="52"/>
    </row>
    <row r="281" spans="1:19" x14ac:dyDescent="0.25">
      <c r="A281" s="40" t="s">
        <v>521</v>
      </c>
      <c r="B281" s="40" t="str">
        <f t="shared" si="31"/>
        <v>Сосиски</v>
      </c>
      <c r="C281" s="40" t="str">
        <f t="shared" si="32"/>
        <v>Вареное</v>
      </c>
      <c r="D281" s="40" t="s">
        <v>202</v>
      </c>
      <c r="E281" s="41" t="str">
        <f>VLOOKUP(Рецепты[[#This Row],[Состав]],Ингредиенты[],2,0)</f>
        <v>Специи</v>
      </c>
      <c r="F281" s="62">
        <v>5.0000000000000001E-3</v>
      </c>
      <c r="G281" s="42">
        <f>IF(Рецепты[[#This Row],[%]]*1000&gt;0,Рецепты[[#This Row],[%]]*1000,"")</f>
        <v>5</v>
      </c>
      <c r="H281" s="43">
        <f>IFERROR(VLOOKUP(Рецепты[[#This Row],[Состав]],Ингредиенты!A:I,3,0)*Рецепты[[#This Row],[г]],"")</f>
        <v>7.165</v>
      </c>
      <c r="I281" s="42">
        <f>СводРецепт!$A$1</f>
        <v>1000</v>
      </c>
      <c r="J281" s="42">
        <f>Рецепты[[#This Row],[%]]*Рецепты[[#This Row],[Масса]]</f>
        <v>5</v>
      </c>
      <c r="K281" s="43">
        <f>Рецепты[[#This Row],[Вес ингр-тов]]*VLOOKUP(Рецепты[[#This Row],[Состав]],Ингредиенты[],3,FALSE)</f>
        <v>7.165</v>
      </c>
      <c r="L281" s="41">
        <f>IF(VLOOKUP(Рецепты[[#This Row],[Состав]],Ингредиенты[],4,0)="Основа",VLOOKUP(Рецепты[[#This Row],[Способ]],Способ[],2,0),0%)</f>
        <v>0</v>
      </c>
      <c r="M281" s="41">
        <f>VLOOKUP(Рецепты[[#This Row],[Способ]],Способ[],3,0)</f>
        <v>0.7</v>
      </c>
      <c r="N281" s="43">
        <f>Рецепты[[#This Row],[р]]*100%/(100%-Рецепты[[#This Row],[Потери, %]])+Рецепты[[#This Row],[Маржа]]*(Рецепты[[#This Row],[р]]*100%)/(100%-Рецепты[[#This Row],[Потери, %]])</f>
        <v>12.180499999999999</v>
      </c>
      <c r="O281" s="43">
        <f>Рецепты[[#This Row],[Цена за 1 кг]]-(Рецепты[[#This Row],[р]]*100%/(100%-Рецепты[[#This Row],[Потери, %]]))</f>
        <v>5.0154999999999985</v>
      </c>
      <c r="P281" s="40" t="s">
        <v>522</v>
      </c>
      <c r="Q281" s="40" t="s">
        <v>525</v>
      </c>
      <c r="R281" s="44" t="str">
        <f>VLOOKUP(Рецепты[[#This Row],[Состав]],Ингредиенты[],9,0)</f>
        <v>Нет</v>
      </c>
      <c r="S281" s="52"/>
    </row>
    <row r="282" spans="1:19" x14ac:dyDescent="0.25">
      <c r="A282" s="40" t="s">
        <v>521</v>
      </c>
      <c r="B282" s="40" t="str">
        <f t="shared" si="31"/>
        <v>Сосиски</v>
      </c>
      <c r="C282" s="40" t="str">
        <f t="shared" si="32"/>
        <v>Вареное</v>
      </c>
      <c r="D282" s="40" t="s">
        <v>163</v>
      </c>
      <c r="E282" s="41" t="str">
        <f>VLOOKUP(Рецепты[[#This Row],[Состав]],Ингредиенты[],2,0)</f>
        <v>Специи</v>
      </c>
      <c r="F282" s="62">
        <v>5.0000000000000001E-3</v>
      </c>
      <c r="G282" s="42">
        <f>IF(Рецепты[[#This Row],[%]]*1000&gt;0,Рецепты[[#This Row],[%]]*1000,"")</f>
        <v>5</v>
      </c>
      <c r="H282" s="43">
        <f>IFERROR(VLOOKUP(Рецепты[[#This Row],[Состав]],Ингредиенты!A:I,3,0)*Рецепты[[#This Row],[г]],"")</f>
        <v>1.335</v>
      </c>
      <c r="I282" s="42">
        <f>СводРецепт!$A$1</f>
        <v>1000</v>
      </c>
      <c r="J282" s="42">
        <f>Рецепты[[#This Row],[%]]*Рецепты[[#This Row],[Масса]]</f>
        <v>5</v>
      </c>
      <c r="K282" s="43">
        <f>Рецепты[[#This Row],[Вес ингр-тов]]*VLOOKUP(Рецепты[[#This Row],[Состав]],Ингредиенты[],3,FALSE)</f>
        <v>1.335</v>
      </c>
      <c r="L282" s="41">
        <f>IF(VLOOKUP(Рецепты[[#This Row],[Состав]],Ингредиенты[],4,0)="Основа",VLOOKUP(Рецепты[[#This Row],[Способ]],Способ[],2,0),0%)</f>
        <v>0</v>
      </c>
      <c r="M282" s="41">
        <f>VLOOKUP(Рецепты[[#This Row],[Способ]],Способ[],3,0)</f>
        <v>0.7</v>
      </c>
      <c r="N282" s="43">
        <f>Рецепты[[#This Row],[р]]*100%/(100%-Рецепты[[#This Row],[Потери, %]])+Рецепты[[#This Row],[Маржа]]*(Рецепты[[#This Row],[р]]*100%)/(100%-Рецепты[[#This Row],[Потери, %]])</f>
        <v>2.2694999999999999</v>
      </c>
      <c r="O282" s="43">
        <f>Рецепты[[#This Row],[Цена за 1 кг]]-(Рецепты[[#This Row],[р]]*100%/(100%-Рецепты[[#This Row],[Потери, %]]))</f>
        <v>0.93449999999999989</v>
      </c>
      <c r="P282" s="40" t="s">
        <v>522</v>
      </c>
      <c r="Q282" s="40" t="s">
        <v>526</v>
      </c>
      <c r="R282" s="44" t="str">
        <f>VLOOKUP(Рецепты[[#This Row],[Состав]],Ингредиенты[],9,0)</f>
        <v>Нет</v>
      </c>
      <c r="S282" s="52"/>
    </row>
    <row r="283" spans="1:19" x14ac:dyDescent="0.25">
      <c r="A283" s="40" t="s">
        <v>521</v>
      </c>
      <c r="B283" s="40" t="str">
        <f t="shared" si="31"/>
        <v>Сосиски</v>
      </c>
      <c r="C283" s="40" t="str">
        <f t="shared" si="32"/>
        <v>Вареное</v>
      </c>
      <c r="D283" s="40" t="s">
        <v>93</v>
      </c>
      <c r="E283" s="41" t="str">
        <f>VLOOKUP(Рецепты[[#This Row],[Состав]],Ингредиенты[],2,0)</f>
        <v>Добавки</v>
      </c>
      <c r="F283" s="62">
        <v>0.15</v>
      </c>
      <c r="G283" s="42">
        <f>IF(Рецепты[[#This Row],[%]]*1000&gt;0,Рецепты[[#This Row],[%]]*1000,"")</f>
        <v>150</v>
      </c>
      <c r="H283" s="43">
        <f>IFERROR(VLOOKUP(Рецепты[[#This Row],[Состав]],Ингредиенты!A:I,3,0)*Рецепты[[#This Row],[г]],"")</f>
        <v>0.15</v>
      </c>
      <c r="I283" s="42">
        <f>СводРецепт!$A$1</f>
        <v>1000</v>
      </c>
      <c r="J283" s="42">
        <f>Рецепты[[#This Row],[%]]*Рецепты[[#This Row],[Масса]]</f>
        <v>150</v>
      </c>
      <c r="K283" s="43">
        <f>Рецепты[[#This Row],[Вес ингр-тов]]*VLOOKUP(Рецепты[[#This Row],[Состав]],Ингредиенты[],3,FALSE)</f>
        <v>0.15</v>
      </c>
      <c r="L283" s="41">
        <f>IF(VLOOKUP(Рецепты[[#This Row],[Состав]],Ингредиенты[],4,0)="Основа",VLOOKUP(Рецепты[[#This Row],[Способ]],Способ[],2,0),0%)</f>
        <v>0</v>
      </c>
      <c r="M283" s="41">
        <f>VLOOKUP(Рецепты[[#This Row],[Способ]],Способ[],3,0)</f>
        <v>0.7</v>
      </c>
      <c r="N283" s="43">
        <f>Рецепты[[#This Row],[р]]*100%/(100%-Рецепты[[#This Row],[Потери, %]])+Рецепты[[#This Row],[Маржа]]*(Рецепты[[#This Row],[р]]*100%)/(100%-Рецепты[[#This Row],[Потери, %]])</f>
        <v>0.255</v>
      </c>
      <c r="O283" s="43">
        <f>Рецепты[[#This Row],[Цена за 1 кг]]-(Рецепты[[#This Row],[р]]*100%/(100%-Рецепты[[#This Row],[Потери, %]]))</f>
        <v>0.10500000000000001</v>
      </c>
      <c r="P283" s="40" t="s">
        <v>522</v>
      </c>
      <c r="Q283" s="40" t="s">
        <v>527</v>
      </c>
      <c r="R283" s="44" t="str">
        <f>VLOOKUP(Рецепты[[#This Row],[Состав]],Ингредиенты[],9,0)</f>
        <v>Да</v>
      </c>
      <c r="S283" s="52"/>
    </row>
    <row r="284" spans="1:19" x14ac:dyDescent="0.25">
      <c r="A284" s="40" t="s">
        <v>521</v>
      </c>
      <c r="B284" s="40" t="str">
        <f t="shared" si="31"/>
        <v>Сосиски</v>
      </c>
      <c r="C284" s="40" t="str">
        <f t="shared" si="32"/>
        <v>Вареное</v>
      </c>
      <c r="D284" s="40" t="s">
        <v>101</v>
      </c>
      <c r="E284" s="41" t="str">
        <f>VLOOKUP(Рецепты[[#This Row],[Состав]],Ингредиенты[],2,0)</f>
        <v>Добавки</v>
      </c>
      <c r="F284" s="62">
        <v>0.15</v>
      </c>
      <c r="G284" s="42">
        <f>IF(Рецепты[[#This Row],[%]]*1000&gt;0,Рецепты[[#This Row],[%]]*1000,"")</f>
        <v>150</v>
      </c>
      <c r="H284" s="43">
        <f>IFERROR(VLOOKUP(Рецепты[[#This Row],[Состав]],Ингредиенты!A:I,3,0)*Рецепты[[#This Row],[г]],"")</f>
        <v>24.75</v>
      </c>
      <c r="I284" s="42">
        <f>СводРецепт!$A$1</f>
        <v>1000</v>
      </c>
      <c r="J284" s="42">
        <f>Рецепты[[#This Row],[%]]*Рецепты[[#This Row],[Масса]]</f>
        <v>150</v>
      </c>
      <c r="K284" s="43">
        <f>Рецепты[[#This Row],[Вес ингр-тов]]*VLOOKUP(Рецепты[[#This Row],[Состав]],Ингредиенты[],3,FALSE)</f>
        <v>24.75</v>
      </c>
      <c r="L284" s="41">
        <f>IF(VLOOKUP(Рецепты[[#This Row],[Состав]],Ингредиенты[],4,0)="Основа",VLOOKUP(Рецепты[[#This Row],[Способ]],Способ[],2,0),0%)</f>
        <v>0</v>
      </c>
      <c r="M284" s="41">
        <f>VLOOKUP(Рецепты[[#This Row],[Способ]],Способ[],3,0)</f>
        <v>0.7</v>
      </c>
      <c r="N284" s="43">
        <f>Рецепты[[#This Row],[р]]*100%/(100%-Рецепты[[#This Row],[Потери, %]])+Рецепты[[#This Row],[Маржа]]*(Рецепты[[#This Row],[р]]*100%)/(100%-Рецепты[[#This Row],[Потери, %]])</f>
        <v>42.075000000000003</v>
      </c>
      <c r="O284" s="43">
        <f>Рецепты[[#This Row],[Цена за 1 кг]]-(Рецепты[[#This Row],[р]]*100%/(100%-Рецепты[[#This Row],[Потери, %]]))</f>
        <v>17.325000000000003</v>
      </c>
      <c r="P284" s="40" t="s">
        <v>522</v>
      </c>
      <c r="Q284" s="40" t="s">
        <v>528</v>
      </c>
      <c r="R284" s="44" t="str">
        <f>VLOOKUP(Рецепты[[#This Row],[Состав]],Ингредиенты[],9,0)</f>
        <v>Да</v>
      </c>
      <c r="S284" s="52"/>
    </row>
    <row r="285" spans="1:19" x14ac:dyDescent="0.25">
      <c r="A285" s="40" t="s">
        <v>521</v>
      </c>
      <c r="B285" s="40" t="str">
        <f>B284</f>
        <v>Сосиски</v>
      </c>
      <c r="C285" s="40" t="str">
        <f>C284</f>
        <v>Вареное</v>
      </c>
      <c r="D285" s="40" t="s">
        <v>222</v>
      </c>
      <c r="E285" s="41" t="str">
        <f>VLOOKUP(Рецепты[[#This Row],[Состав]],Ингредиенты[],2,0)</f>
        <v>Оболочка</v>
      </c>
      <c r="F285" s="62">
        <v>1E-3</v>
      </c>
      <c r="G285" s="42">
        <f>IF(Рецепты[[#This Row],[%]]*1000&gt;0,Рецепты[[#This Row],[%]]*1000,"")</f>
        <v>1</v>
      </c>
      <c r="H285" s="43">
        <f>IFERROR(VLOOKUP(Рецепты[[#This Row],[Состав]],Ингредиенты!A:I,3,0)*Рецепты[[#This Row],[г]],"")</f>
        <v>15.407180149631303</v>
      </c>
      <c r="I285" s="42">
        <f>СводРецепт!$A$1</f>
        <v>1000</v>
      </c>
      <c r="J285" s="42">
        <f>Рецепты[[#This Row],[%]]*Рецепты[[#This Row],[Масса]]</f>
        <v>1</v>
      </c>
      <c r="K285" s="43">
        <f>Рецепты[[#This Row],[Вес ингр-тов]]*VLOOKUP(Рецепты[[#This Row],[Состав]],Ингредиенты[],3,FALSE)</f>
        <v>15.407180149631303</v>
      </c>
      <c r="L285" s="41">
        <f>IF(VLOOKUP(Рецепты[[#This Row],[Состав]],Ингредиенты[],4,0)="Основа",VLOOKUP(Рецепты[[#This Row],[Способ]],Способ[],2,0),0%)</f>
        <v>0</v>
      </c>
      <c r="M285" s="41">
        <f>VLOOKUP(Рецепты[[#This Row],[Способ]],Способ[],3,0)</f>
        <v>0.7</v>
      </c>
      <c r="N285" s="43">
        <f>Рецепты[[#This Row],[р]]*100%/(100%-Рецепты[[#This Row],[Потери, %]])+Рецепты[[#This Row],[Маржа]]*(Рецепты[[#This Row],[р]]*100%)/(100%-Рецепты[[#This Row],[Потери, %]])</f>
        <v>26.192206254373215</v>
      </c>
      <c r="O285" s="43">
        <f>Рецепты[[#This Row],[Цена за 1 кг]]-(Рецепты[[#This Row],[р]]*100%/(100%-Рецепты[[#This Row],[Потери, %]]))</f>
        <v>10.785026104741911</v>
      </c>
      <c r="P285" s="40" t="s">
        <v>522</v>
      </c>
      <c r="Q285" s="40" t="s">
        <v>529</v>
      </c>
      <c r="R285" s="44" t="str">
        <f>VLOOKUP(Рецепты[[#This Row],[Состав]],Ингредиенты[],9,0)</f>
        <v>Да</v>
      </c>
      <c r="S285" s="52"/>
    </row>
    <row r="286" spans="1:19" x14ac:dyDescent="0.25">
      <c r="A286" s="40" t="s">
        <v>530</v>
      </c>
      <c r="B286" s="40" t="s">
        <v>8</v>
      </c>
      <c r="C286" s="40" t="str">
        <f>C284</f>
        <v>Вареное</v>
      </c>
      <c r="D286" s="40" t="s">
        <v>52</v>
      </c>
      <c r="E286" s="41" t="str">
        <f>VLOOKUP(Рецепты[[#This Row],[Состав]],Ингредиенты[],2,0)</f>
        <v>Свинина</v>
      </c>
      <c r="F286" s="62">
        <v>1</v>
      </c>
      <c r="G286" s="42">
        <f>IF(Рецепты[[#This Row],[%]]*1000&gt;0,Рецепты[[#This Row],[%]]*1000,"")</f>
        <v>1000</v>
      </c>
      <c r="H286" s="43">
        <f>IFERROR(VLOOKUP(Рецепты[[#This Row],[Состав]],Ингредиенты!A:I,3,0)*Рецепты[[#This Row],[г]],"")</f>
        <v>369</v>
      </c>
      <c r="I286" s="42">
        <f>СводРецепт!$A$1</f>
        <v>1000</v>
      </c>
      <c r="J286" s="42">
        <f>Рецепты[[#This Row],[%]]*Рецепты[[#This Row],[Масса]]</f>
        <v>1000</v>
      </c>
      <c r="K286" s="43">
        <f>Рецепты[[#This Row],[Вес ингр-тов]]*VLOOKUP(Рецепты[[#This Row],[Состав]],Ингредиенты[],3,FALSE)</f>
        <v>369</v>
      </c>
      <c r="L286" s="41">
        <f>IF(VLOOKUP(Рецепты[[#This Row],[Состав]],Ингредиенты[],4,0)="Основа",VLOOKUP(Рецепты[[#This Row],[Способ]],Способ[],2,0),0%)</f>
        <v>0.15</v>
      </c>
      <c r="M286" s="41">
        <f>VLOOKUP(Рецепты[[#This Row],[Способ]],Способ[],3,0)</f>
        <v>0.7</v>
      </c>
      <c r="N286" s="43">
        <f>Рецепты[[#This Row],[р]]*100%/(100%-Рецепты[[#This Row],[Потери, %]])+Рецепты[[#This Row],[Маржа]]*(Рецепты[[#This Row],[р]]*100%)/(100%-Рецепты[[#This Row],[Потери, %]])</f>
        <v>738</v>
      </c>
      <c r="O286" s="43">
        <f>Рецепты[[#This Row],[Цена за 1 кг]]-(Рецепты[[#This Row],[р]]*100%/(100%-Рецепты[[#This Row],[Потери, %]]))</f>
        <v>303.88235294117646</v>
      </c>
      <c r="P286" s="40" t="s">
        <v>531</v>
      </c>
      <c r="Q286" s="40" t="s">
        <v>532</v>
      </c>
      <c r="R286" s="44" t="str">
        <f>VLOOKUP(Рецепты[[#This Row],[Состав]],Ингредиенты[],9,0)</f>
        <v>Нет</v>
      </c>
      <c r="S286" s="52"/>
    </row>
    <row r="287" spans="1:19" x14ac:dyDescent="0.25">
      <c r="A287" s="40" t="s">
        <v>530</v>
      </c>
      <c r="B287" s="40" t="str">
        <f t="shared" ref="B287:B299" si="33">B286</f>
        <v>Колбаса</v>
      </c>
      <c r="C287" s="40" t="str">
        <f t="shared" ref="C287:C292" si="34">C286</f>
        <v>Вареное</v>
      </c>
      <c r="D287" s="40" t="s">
        <v>60</v>
      </c>
      <c r="E287" s="41" t="str">
        <f>VLOOKUP(Рецепты[[#This Row],[Состав]],Ингредиенты[],2,0)</f>
        <v>Свинина</v>
      </c>
      <c r="F287" s="62">
        <v>0.05</v>
      </c>
      <c r="G287" s="42">
        <f>IF(Рецепты[[#This Row],[%]]*1000&gt;0,Рецепты[[#This Row],[%]]*1000,"")</f>
        <v>50</v>
      </c>
      <c r="H287" s="43">
        <f>IFERROR(VLOOKUP(Рецепты[[#This Row],[Состав]],Ингредиенты!A:I,3,0)*Рецепты[[#This Row],[г]],"")</f>
        <v>15</v>
      </c>
      <c r="I287" s="42">
        <f>СводРецепт!$A$1</f>
        <v>1000</v>
      </c>
      <c r="J287" s="42">
        <f>Рецепты[[#This Row],[%]]*Рецепты[[#This Row],[Масса]]</f>
        <v>50</v>
      </c>
      <c r="K287" s="43">
        <f>Рецепты[[#This Row],[Вес ингр-тов]]*VLOOKUP(Рецепты[[#This Row],[Состав]],Ингредиенты[],3,FALSE)</f>
        <v>15</v>
      </c>
      <c r="L287" s="41">
        <f>IF(VLOOKUP(Рецепты[[#This Row],[Состав]],Ингредиенты[],4,0)="Основа",VLOOKUP(Рецепты[[#This Row],[Способ]],Способ[],2,0),0%)</f>
        <v>0.15</v>
      </c>
      <c r="M287" s="41">
        <f>VLOOKUP(Рецепты[[#This Row],[Способ]],Способ[],3,0)</f>
        <v>0.7</v>
      </c>
      <c r="N287" s="43">
        <f>Рецепты[[#This Row],[р]]*100%/(100%-Рецепты[[#This Row],[Потери, %]])+Рецепты[[#This Row],[Маржа]]*(Рецепты[[#This Row],[р]]*100%)/(100%-Рецепты[[#This Row],[Потери, %]])</f>
        <v>30</v>
      </c>
      <c r="O287" s="43">
        <f>Рецепты[[#This Row],[Цена за 1 кг]]-(Рецепты[[#This Row],[р]]*100%/(100%-Рецепты[[#This Row],[Потери, %]]))</f>
        <v>12.352941176470587</v>
      </c>
      <c r="P287" s="40" t="s">
        <v>531</v>
      </c>
      <c r="Q287" s="40" t="s">
        <v>533</v>
      </c>
      <c r="R287" s="44" t="str">
        <f>VLOOKUP(Рецепты[[#This Row],[Состав]],Ингредиенты[],9,0)</f>
        <v>Нет</v>
      </c>
      <c r="S287" s="52"/>
    </row>
    <row r="288" spans="1:19" x14ac:dyDescent="0.25">
      <c r="A288" s="40" t="s">
        <v>530</v>
      </c>
      <c r="B288" s="40" t="str">
        <f t="shared" si="33"/>
        <v>Колбаса</v>
      </c>
      <c r="C288" s="40" t="str">
        <f t="shared" si="34"/>
        <v>Вареное</v>
      </c>
      <c r="D288" s="40" t="s">
        <v>111</v>
      </c>
      <c r="E288" s="41" t="str">
        <f>VLOOKUP(Рецепты[[#This Row],[Состав]],Ингредиенты[],2,0)</f>
        <v>Добавки</v>
      </c>
      <c r="F288" s="62">
        <v>0.05</v>
      </c>
      <c r="G288" s="42">
        <f>IF(Рецепты[[#This Row],[%]]*1000&gt;0,Рецепты[[#This Row],[%]]*1000,"")</f>
        <v>50</v>
      </c>
      <c r="H288" s="43">
        <f>IFERROR(VLOOKUP(Рецепты[[#This Row],[Состав]],Ингредиенты!A:I,3,0)*Рецепты[[#This Row],[г]],"")</f>
        <v>109.99999999999999</v>
      </c>
      <c r="I288" s="42">
        <f>СводРецепт!$A$1</f>
        <v>1000</v>
      </c>
      <c r="J288" s="42">
        <f>Рецепты[[#This Row],[%]]*Рецепты[[#This Row],[Масса]]</f>
        <v>50</v>
      </c>
      <c r="K288" s="43">
        <f>Рецепты[[#This Row],[Вес ингр-тов]]*VLOOKUP(Рецепты[[#This Row],[Состав]],Ингредиенты[],3,FALSE)</f>
        <v>109.99999999999999</v>
      </c>
      <c r="L288" s="41">
        <f>IF(VLOOKUP(Рецепты[[#This Row],[Состав]],Ингредиенты[],4,0)="Основа",VLOOKUP(Рецепты[[#This Row],[Способ]],Способ[],2,0),0%)</f>
        <v>0</v>
      </c>
      <c r="M288" s="41">
        <f>VLOOKUP(Рецепты[[#This Row],[Способ]],Способ[],3,0)</f>
        <v>0.7</v>
      </c>
      <c r="N288" s="43">
        <f>Рецепты[[#This Row],[р]]*100%/(100%-Рецепты[[#This Row],[Потери, %]])+Рецепты[[#This Row],[Маржа]]*(Рецепты[[#This Row],[р]]*100%)/(100%-Рецепты[[#This Row],[Потери, %]])</f>
        <v>186.99999999999997</v>
      </c>
      <c r="O288" s="43">
        <f>Рецепты[[#This Row],[Цена за 1 кг]]-(Рецепты[[#This Row],[р]]*100%/(100%-Рецепты[[#This Row],[Потери, %]]))</f>
        <v>76.999999999999986</v>
      </c>
      <c r="P288" s="40" t="s">
        <v>531</v>
      </c>
      <c r="Q288" s="40" t="s">
        <v>534</v>
      </c>
      <c r="R288" s="44" t="str">
        <f>VLOOKUP(Рецепты[[#This Row],[Состав]],Ингредиенты[],9,0)</f>
        <v>Нет</v>
      </c>
      <c r="S288" s="52"/>
    </row>
    <row r="289" spans="1:19" x14ac:dyDescent="0.25">
      <c r="A289" s="40" t="s">
        <v>530</v>
      </c>
      <c r="B289" s="40" t="str">
        <f t="shared" si="33"/>
        <v>Колбаса</v>
      </c>
      <c r="C289" s="40" t="str">
        <f t="shared" si="34"/>
        <v>Вареное</v>
      </c>
      <c r="D289" s="40" t="s">
        <v>204</v>
      </c>
      <c r="E289" s="41" t="str">
        <f>VLOOKUP(Рецепты[[#This Row],[Состав]],Ингредиенты[],2,0)</f>
        <v>Специи</v>
      </c>
      <c r="F289" s="62">
        <v>6.4999999999999997E-3</v>
      </c>
      <c r="G289" s="42">
        <f>IF(Рецепты[[#This Row],[%]]*1000&gt;0,Рецепты[[#This Row],[%]]*1000,"")</f>
        <v>6.5</v>
      </c>
      <c r="H289" s="43">
        <f>IFERROR(VLOOKUP(Рецепты[[#This Row],[Состав]],Ингредиенты!A:I,3,0)*Рецепты[[#This Row],[г]],"")</f>
        <v>10.679500000000001</v>
      </c>
      <c r="I289" s="42">
        <f>СводРецепт!$A$1</f>
        <v>1000</v>
      </c>
      <c r="J289" s="42">
        <f>Рецепты[[#This Row],[%]]*Рецепты[[#This Row],[Масса]]</f>
        <v>6.5</v>
      </c>
      <c r="K289" s="43">
        <f>Рецепты[[#This Row],[Вес ингр-тов]]*VLOOKUP(Рецепты[[#This Row],[Состав]],Ингредиенты[],3,FALSE)</f>
        <v>10.679500000000001</v>
      </c>
      <c r="L289" s="41">
        <f>IF(VLOOKUP(Рецепты[[#This Row],[Состав]],Ингредиенты[],4,0)="Основа",VLOOKUP(Рецепты[[#This Row],[Способ]],Способ[],2,0),0%)</f>
        <v>0</v>
      </c>
      <c r="M289" s="41">
        <f>VLOOKUP(Рецепты[[#This Row],[Способ]],Способ[],3,0)</f>
        <v>0.7</v>
      </c>
      <c r="N289" s="43">
        <f>Рецепты[[#This Row],[р]]*100%/(100%-Рецепты[[#This Row],[Потери, %]])+Рецепты[[#This Row],[Маржа]]*(Рецепты[[#This Row],[р]]*100%)/(100%-Рецепты[[#This Row],[Потери, %]])</f>
        <v>18.155149999999999</v>
      </c>
      <c r="O289" s="43">
        <f>Рецепты[[#This Row],[Цена за 1 кг]]-(Рецепты[[#This Row],[р]]*100%/(100%-Рецепты[[#This Row],[Потери, %]]))</f>
        <v>7.4756499999999981</v>
      </c>
      <c r="P289" s="40" t="s">
        <v>531</v>
      </c>
      <c r="Q289" s="40" t="s">
        <v>535</v>
      </c>
      <c r="R289" s="44" t="str">
        <f>VLOOKUP(Рецепты[[#This Row],[Состав]],Ингредиенты[],9,0)</f>
        <v>Нет</v>
      </c>
      <c r="S289" s="52"/>
    </row>
    <row r="290" spans="1:19" x14ac:dyDescent="0.25">
      <c r="A290" s="40" t="s">
        <v>530</v>
      </c>
      <c r="B290" s="40" t="str">
        <f t="shared" si="33"/>
        <v>Колбаса</v>
      </c>
      <c r="C290" s="40" t="str">
        <f t="shared" si="34"/>
        <v>Вареное</v>
      </c>
      <c r="D290" s="40" t="s">
        <v>93</v>
      </c>
      <c r="E290" s="41" t="str">
        <f>VLOOKUP(Рецепты[[#This Row],[Состав]],Ингредиенты[],2,0)</f>
        <v>Добавки</v>
      </c>
      <c r="F290" s="62">
        <v>0.1</v>
      </c>
      <c r="G290" s="42">
        <f>IF(Рецепты[[#This Row],[%]]*1000&gt;0,Рецепты[[#This Row],[%]]*1000,"")</f>
        <v>100</v>
      </c>
      <c r="H290" s="43">
        <f>IFERROR(VLOOKUP(Рецепты[[#This Row],[Состав]],Ингредиенты!A:I,3,0)*Рецепты[[#This Row],[г]],"")</f>
        <v>0.1</v>
      </c>
      <c r="I290" s="42">
        <f>СводРецепт!$A$1</f>
        <v>1000</v>
      </c>
      <c r="J290" s="42">
        <f>Рецепты[[#This Row],[%]]*Рецепты[[#This Row],[Масса]]</f>
        <v>100</v>
      </c>
      <c r="K290" s="43">
        <f>Рецепты[[#This Row],[Вес ингр-тов]]*VLOOKUP(Рецепты[[#This Row],[Состав]],Ингредиенты[],3,FALSE)</f>
        <v>0.1</v>
      </c>
      <c r="L290" s="41">
        <f>IF(VLOOKUP(Рецепты[[#This Row],[Состав]],Ингредиенты[],4,0)="Основа",VLOOKUP(Рецепты[[#This Row],[Способ]],Способ[],2,0),0%)</f>
        <v>0</v>
      </c>
      <c r="M290" s="41">
        <f>VLOOKUP(Рецепты[[#This Row],[Способ]],Способ[],3,0)</f>
        <v>0.7</v>
      </c>
      <c r="N290" s="43">
        <f>Рецепты[[#This Row],[р]]*100%/(100%-Рецепты[[#This Row],[Потери, %]])+Рецепты[[#This Row],[Маржа]]*(Рецепты[[#This Row],[р]]*100%)/(100%-Рецепты[[#This Row],[Потери, %]])</f>
        <v>0.16999999999999998</v>
      </c>
      <c r="O290" s="43">
        <f>Рецепты[[#This Row],[Цена за 1 кг]]-(Рецепты[[#This Row],[р]]*100%/(100%-Рецепты[[#This Row],[Потери, %]]))</f>
        <v>6.9999999999999979E-2</v>
      </c>
      <c r="P290" s="40" t="s">
        <v>531</v>
      </c>
      <c r="Q290" s="40" t="s">
        <v>536</v>
      </c>
      <c r="R290" s="44" t="str">
        <f>VLOOKUP(Рецепты[[#This Row],[Состав]],Ингредиенты[],9,0)</f>
        <v>Да</v>
      </c>
      <c r="S290" s="52"/>
    </row>
    <row r="291" spans="1:19" x14ac:dyDescent="0.25">
      <c r="A291" s="40" t="s">
        <v>530</v>
      </c>
      <c r="B291" s="40" t="str">
        <f t="shared" si="33"/>
        <v>Колбаса</v>
      </c>
      <c r="C291" s="40" t="str">
        <f t="shared" si="34"/>
        <v>Вареное</v>
      </c>
      <c r="D291" s="40" t="s">
        <v>157</v>
      </c>
      <c r="E291" s="41" t="str">
        <f>VLOOKUP(Рецепты[[#This Row],[Состав]],Ингредиенты[],2,0)</f>
        <v>Специи</v>
      </c>
      <c r="F291" s="62">
        <v>3.0000000000000001E-3</v>
      </c>
      <c r="G291" s="42">
        <f>IF(Рецепты[[#This Row],[%]]*1000&gt;0,Рецепты[[#This Row],[%]]*1000,"")</f>
        <v>3</v>
      </c>
      <c r="H291" s="43">
        <f>IFERROR(VLOOKUP(Рецепты[[#This Row],[Состав]],Ингредиенты!A:I,3,0)*Рецепты[[#This Row],[г]],"")</f>
        <v>2.2439999999999998</v>
      </c>
      <c r="I291" s="42">
        <f>СводРецепт!$A$1</f>
        <v>1000</v>
      </c>
      <c r="J291" s="42">
        <f>Рецепты[[#This Row],[%]]*Рецепты[[#This Row],[Масса]]</f>
        <v>3</v>
      </c>
      <c r="K291" s="43">
        <f>Рецепты[[#This Row],[Вес ингр-тов]]*VLOOKUP(Рецепты[[#This Row],[Состав]],Ингредиенты[],3,FALSE)</f>
        <v>2.2439999999999998</v>
      </c>
      <c r="L291" s="41">
        <f>IF(VLOOKUP(Рецепты[[#This Row],[Состав]],Ингредиенты[],4,0)="Основа",VLOOKUP(Рецепты[[#This Row],[Способ]],Способ[],2,0),0%)</f>
        <v>0</v>
      </c>
      <c r="M291" s="41">
        <f>VLOOKUP(Рецепты[[#This Row],[Способ]],Способ[],3,0)</f>
        <v>0.7</v>
      </c>
      <c r="N291" s="43">
        <f>Рецепты[[#This Row],[р]]*100%/(100%-Рецепты[[#This Row],[Потери, %]])+Рецепты[[#This Row],[Маржа]]*(Рецепты[[#This Row],[р]]*100%)/(100%-Рецепты[[#This Row],[Потери, %]])</f>
        <v>3.8147999999999995</v>
      </c>
      <c r="O291" s="43">
        <f>Рецепты[[#This Row],[Цена за 1 кг]]-(Рецепты[[#This Row],[р]]*100%/(100%-Рецепты[[#This Row],[Потери, %]]))</f>
        <v>1.5707999999999998</v>
      </c>
      <c r="P291" s="40" t="s">
        <v>531</v>
      </c>
      <c r="Q291" s="40" t="s">
        <v>537</v>
      </c>
      <c r="R291" s="44" t="str">
        <f>VLOOKUP(Рецепты[[#This Row],[Состав]],Ингредиенты[],9,0)</f>
        <v>Да</v>
      </c>
      <c r="S291" s="52"/>
    </row>
    <row r="292" spans="1:19" x14ac:dyDescent="0.25">
      <c r="A292" s="40" t="s">
        <v>530</v>
      </c>
      <c r="B292" s="40" t="str">
        <f t="shared" si="33"/>
        <v>Колбаса</v>
      </c>
      <c r="C292" s="40" t="str">
        <f t="shared" si="34"/>
        <v>Вареное</v>
      </c>
      <c r="D292" s="40" t="s">
        <v>214</v>
      </c>
      <c r="E292" s="41" t="str">
        <f>VLOOKUP(Рецепты[[#This Row],[Состав]],Ингредиенты[],2,0)</f>
        <v>Оболочка</v>
      </c>
      <c r="F292" s="62">
        <v>1E-3</v>
      </c>
      <c r="G292" s="42">
        <f>IF(Рецепты[[#This Row],[%]]*1000&gt;0,Рецепты[[#This Row],[%]]*1000,"")</f>
        <v>1</v>
      </c>
      <c r="H292" s="43">
        <f>IFERROR(VLOOKUP(Рецепты[[#This Row],[Состав]],Ингредиенты!A:I,3,0)*Рецепты[[#This Row],[г]],"")</f>
        <v>9.7374533266692147</v>
      </c>
      <c r="I292" s="42">
        <f>СводРецепт!$A$1</f>
        <v>1000</v>
      </c>
      <c r="J292" s="42">
        <f>Рецепты[[#This Row],[%]]*Рецепты[[#This Row],[Масса]]</f>
        <v>1</v>
      </c>
      <c r="K292" s="43">
        <f>Рецепты[[#This Row],[Вес ингр-тов]]*VLOOKUP(Рецепты[[#This Row],[Состав]],Ингредиенты[],3,FALSE)</f>
        <v>9.7374533266692147</v>
      </c>
      <c r="L292" s="41">
        <f>IF(VLOOKUP(Рецепты[[#This Row],[Состав]],Ингредиенты[],4,0)="Основа",VLOOKUP(Рецепты[[#This Row],[Способ]],Способ[],2,0),0%)</f>
        <v>0</v>
      </c>
      <c r="M292" s="41">
        <f>VLOOKUP(Рецепты[[#This Row],[Способ]],Способ[],3,0)</f>
        <v>0.7</v>
      </c>
      <c r="N292" s="43">
        <f>Рецепты[[#This Row],[р]]*100%/(100%-Рецепты[[#This Row],[Потери, %]])+Рецепты[[#This Row],[Маржа]]*(Рецепты[[#This Row],[р]]*100%)/(100%-Рецепты[[#This Row],[Потери, %]])</f>
        <v>16.553670655337665</v>
      </c>
      <c r="O292" s="43">
        <f>Рецепты[[#This Row],[Цена за 1 кг]]-(Рецепты[[#This Row],[р]]*100%/(100%-Рецепты[[#This Row],[Потери, %]]))</f>
        <v>6.8162173286684506</v>
      </c>
      <c r="P292" s="40" t="s">
        <v>531</v>
      </c>
      <c r="Q292" s="40" t="s">
        <v>538</v>
      </c>
      <c r="R292" s="44" t="str">
        <f>VLOOKUP(Рецепты[[#This Row],[Состав]],Ингредиенты[],9,0)</f>
        <v>Да</v>
      </c>
      <c r="S292" s="52"/>
    </row>
    <row r="293" spans="1:19" x14ac:dyDescent="0.25">
      <c r="A293" s="40" t="s">
        <v>539</v>
      </c>
      <c r="B293" s="40" t="str">
        <f t="shared" si="33"/>
        <v>Колбаса</v>
      </c>
      <c r="C293" s="40" t="s">
        <v>27</v>
      </c>
      <c r="D293" s="40" t="s">
        <v>52</v>
      </c>
      <c r="E293" s="41" t="str">
        <f>VLOOKUP(Рецепты[[#This Row],[Состав]],Ингредиенты[],2,0)</f>
        <v>Свинина</v>
      </c>
      <c r="F293" s="62">
        <v>0.25</v>
      </c>
      <c r="G293" s="42">
        <f>IF(Рецепты[[#This Row],[%]]*1000&gt;0,Рецепты[[#This Row],[%]]*1000,"")</f>
        <v>250</v>
      </c>
      <c r="H293" s="43">
        <f>IFERROR(VLOOKUP(Рецепты[[#This Row],[Состав]],Ингредиенты!A:I,3,0)*Рецепты[[#This Row],[г]],"")</f>
        <v>92.25</v>
      </c>
      <c r="I293" s="42">
        <f>СводРецепт!$A$1</f>
        <v>1000</v>
      </c>
      <c r="J293" s="42">
        <f>Рецепты[[#This Row],[%]]*Рецепты[[#This Row],[Масса]]</f>
        <v>250</v>
      </c>
      <c r="K293" s="43">
        <f>Рецепты[[#This Row],[Вес ингр-тов]]*VLOOKUP(Рецепты[[#This Row],[Состав]],Ингредиенты[],3,FALSE)</f>
        <v>92.25</v>
      </c>
      <c r="L293" s="41">
        <f>IF(VLOOKUP(Рецепты[[#This Row],[Состав]],Ингредиенты[],4,0)="Основа",VLOOKUP(Рецепты[[#This Row],[Способ]],Способ[],2,0),0%)</f>
        <v>0.35</v>
      </c>
      <c r="M293" s="41">
        <f>VLOOKUP(Рецепты[[#This Row],[Способ]],Способ[],3,0)</f>
        <v>2</v>
      </c>
      <c r="N293" s="43">
        <f>Рецепты[[#This Row],[р]]*100%/(100%-Рецепты[[#This Row],[Потери, %]])+Рецепты[[#This Row],[Маржа]]*(Рецепты[[#This Row],[р]]*100%)/(100%-Рецепты[[#This Row],[Потери, %]])</f>
        <v>425.76923076923072</v>
      </c>
      <c r="O293" s="43">
        <f>Рецепты[[#This Row],[Цена за 1 кг]]-(Рецепты[[#This Row],[р]]*100%/(100%-Рецепты[[#This Row],[Потери, %]]))</f>
        <v>283.84615384615381</v>
      </c>
      <c r="P293" s="40" t="s">
        <v>540</v>
      </c>
      <c r="Q293" s="40" t="s">
        <v>541</v>
      </c>
      <c r="R293" s="44" t="str">
        <f>VLOOKUP(Рецепты[[#This Row],[Состав]],Ингредиенты[],9,0)</f>
        <v>Нет</v>
      </c>
      <c r="S293" s="52"/>
    </row>
    <row r="294" spans="1:19" x14ac:dyDescent="0.25">
      <c r="A294" s="40" t="s">
        <v>539</v>
      </c>
      <c r="B294" s="40" t="str">
        <f t="shared" si="33"/>
        <v>Колбаса</v>
      </c>
      <c r="C294" s="40" t="str">
        <f t="shared" ref="C294:C299" si="35">C293</f>
        <v>Сыровяленное</v>
      </c>
      <c r="D294" s="40" t="s">
        <v>54</v>
      </c>
      <c r="E294" s="41" t="str">
        <f>VLOOKUP(Рецепты[[#This Row],[Состав]],Ингредиенты[],2,0)</f>
        <v>Свинина</v>
      </c>
      <c r="F294" s="62">
        <v>0.25</v>
      </c>
      <c r="G294" s="42">
        <f>IF(Рецепты[[#This Row],[%]]*1000&gt;0,Рецепты[[#This Row],[%]]*1000,"")</f>
        <v>250</v>
      </c>
      <c r="H294" s="43">
        <f>IFERROR(VLOOKUP(Рецепты[[#This Row],[Состав]],Ингредиенты!A:I,3,0)*Рецепты[[#This Row],[г]],"")</f>
        <v>107.4975</v>
      </c>
      <c r="I294" s="42">
        <f>СводРецепт!$A$1</f>
        <v>1000</v>
      </c>
      <c r="J294" s="42">
        <f>Рецепты[[#This Row],[%]]*Рецепты[[#This Row],[Масса]]</f>
        <v>250</v>
      </c>
      <c r="K294" s="43">
        <f>Рецепты[[#This Row],[Вес ингр-тов]]*VLOOKUP(Рецепты[[#This Row],[Состав]],Ингредиенты[],3,FALSE)</f>
        <v>107.4975</v>
      </c>
      <c r="L294" s="41">
        <f>IF(VLOOKUP(Рецепты[[#This Row],[Состав]],Ингредиенты[],4,0)="Основа",VLOOKUP(Рецепты[[#This Row],[Способ]],Способ[],2,0),0%)</f>
        <v>0.35</v>
      </c>
      <c r="M294" s="41">
        <f>VLOOKUP(Рецепты[[#This Row],[Способ]],Способ[],3,0)</f>
        <v>2</v>
      </c>
      <c r="N294" s="43">
        <f>Рецепты[[#This Row],[р]]*100%/(100%-Рецепты[[#This Row],[Потери, %]])+Рецепты[[#This Row],[Маржа]]*(Рецепты[[#This Row],[р]]*100%)/(100%-Рецепты[[#This Row],[Потери, %]])</f>
        <v>496.14230769230767</v>
      </c>
      <c r="O294" s="43">
        <f>Рецепты[[#This Row],[Цена за 1 кг]]-(Рецепты[[#This Row],[р]]*100%/(100%-Рецепты[[#This Row],[Потери, %]]))</f>
        <v>330.76153846153841</v>
      </c>
      <c r="P294" s="40" t="s">
        <v>540</v>
      </c>
      <c r="Q294" s="40" t="s">
        <v>542</v>
      </c>
      <c r="R294" s="44" t="str">
        <f>VLOOKUP(Рецепты[[#This Row],[Состав]],Ингредиенты[],9,0)</f>
        <v>Нет</v>
      </c>
      <c r="S294" s="52"/>
    </row>
    <row r="295" spans="1:19" x14ac:dyDescent="0.25">
      <c r="A295" s="40" t="s">
        <v>539</v>
      </c>
      <c r="B295" s="40" t="str">
        <f t="shared" si="33"/>
        <v>Колбаса</v>
      </c>
      <c r="C295" s="40" t="str">
        <f t="shared" si="35"/>
        <v>Сыровяленное</v>
      </c>
      <c r="D295" s="40" t="s">
        <v>12</v>
      </c>
      <c r="E295" s="41" t="str">
        <f>VLOOKUP(Рецепты[[#This Row],[Состав]],Ингредиенты[],2,0)</f>
        <v>Говядина</v>
      </c>
      <c r="F295" s="62">
        <v>0.5</v>
      </c>
      <c r="G295" s="42">
        <f>IF(Рецепты[[#This Row],[%]]*1000&gt;0,Рецепты[[#This Row],[%]]*1000,"")</f>
        <v>500</v>
      </c>
      <c r="H295" s="43">
        <f>IFERROR(VLOOKUP(Рецепты[[#This Row],[Состав]],Ингредиенты!A:I,3,0)*Рецепты[[#This Row],[г]],"")</f>
        <v>354.995</v>
      </c>
      <c r="I295" s="42">
        <f>СводРецепт!$A$1</f>
        <v>1000</v>
      </c>
      <c r="J295" s="42">
        <f>Рецепты[[#This Row],[%]]*Рецепты[[#This Row],[Масса]]</f>
        <v>500</v>
      </c>
      <c r="K295" s="43">
        <f>Рецепты[[#This Row],[Вес ингр-тов]]*VLOOKUP(Рецепты[[#This Row],[Состав]],Ингредиенты[],3,FALSE)</f>
        <v>354.995</v>
      </c>
      <c r="L295" s="41">
        <f>IF(VLOOKUP(Рецепты[[#This Row],[Состав]],Ингредиенты[],4,0)="Основа",VLOOKUP(Рецепты[[#This Row],[Способ]],Способ[],2,0),0%)</f>
        <v>0.35</v>
      </c>
      <c r="M295" s="41">
        <f>VLOOKUP(Рецепты[[#This Row],[Способ]],Способ[],3,0)</f>
        <v>2</v>
      </c>
      <c r="N295" s="43">
        <f>Рецепты[[#This Row],[р]]*100%/(100%-Рецепты[[#This Row],[Потери, %]])+Рецепты[[#This Row],[Маржа]]*(Рецепты[[#This Row],[р]]*100%)/(100%-Рецепты[[#This Row],[Потери, %]])</f>
        <v>1638.4384615384615</v>
      </c>
      <c r="O295" s="43">
        <f>Рецепты[[#This Row],[Цена за 1 кг]]-(Рецепты[[#This Row],[р]]*100%/(100%-Рецепты[[#This Row],[Потери, %]]))</f>
        <v>1092.2923076923075</v>
      </c>
      <c r="P295" s="40" t="s">
        <v>540</v>
      </c>
      <c r="Q295" s="40" t="s">
        <v>543</v>
      </c>
      <c r="R295" s="44" t="str">
        <f>VLOOKUP(Рецепты[[#This Row],[Состав]],Ингредиенты[],9,0)</f>
        <v>Да</v>
      </c>
      <c r="S295" s="52"/>
    </row>
    <row r="296" spans="1:19" x14ac:dyDescent="0.25">
      <c r="A296" s="40" t="s">
        <v>539</v>
      </c>
      <c r="B296" s="40" t="str">
        <f t="shared" si="33"/>
        <v>Колбаса</v>
      </c>
      <c r="C296" s="40" t="str">
        <f t="shared" si="35"/>
        <v>Сыровяленное</v>
      </c>
      <c r="D296" s="40" t="s">
        <v>125</v>
      </c>
      <c r="E296" s="41" t="str">
        <f>VLOOKUP(Рецепты[[#This Row],[Состав]],Ингредиенты[],2,0)</f>
        <v>Специи</v>
      </c>
      <c r="F296" s="62">
        <v>2.5000000000000001E-2</v>
      </c>
      <c r="G296" s="42">
        <f>IF(Рецепты[[#This Row],[%]]*1000&gt;0,Рецепты[[#This Row],[%]]*1000,"")</f>
        <v>25</v>
      </c>
      <c r="H296" s="43">
        <f>IFERROR(VLOOKUP(Рецепты[[#This Row],[Состав]],Ингредиенты!A:I,3,0)*Рецепты[[#This Row],[г]],"")</f>
        <v>3.2</v>
      </c>
      <c r="I296" s="42">
        <f>СводРецепт!$A$1</f>
        <v>1000</v>
      </c>
      <c r="J296" s="42">
        <f>Рецепты[[#This Row],[%]]*Рецепты[[#This Row],[Масса]]</f>
        <v>25</v>
      </c>
      <c r="K296" s="43">
        <f>Рецепты[[#This Row],[Вес ингр-тов]]*VLOOKUP(Рецепты[[#This Row],[Состав]],Ингредиенты[],3,FALSE)</f>
        <v>3.2</v>
      </c>
      <c r="L296" s="41">
        <f>IF(VLOOKUP(Рецепты[[#This Row],[Состав]],Ингредиенты[],4,0)="Основа",VLOOKUP(Рецепты[[#This Row],[Способ]],Способ[],2,0),0%)</f>
        <v>0</v>
      </c>
      <c r="M296" s="41">
        <f>VLOOKUP(Рецепты[[#This Row],[Способ]],Способ[],3,0)</f>
        <v>2</v>
      </c>
      <c r="N296" s="43">
        <f>Рецепты[[#This Row],[р]]*100%/(100%-Рецепты[[#This Row],[Потери, %]])+Рецепты[[#This Row],[Маржа]]*(Рецепты[[#This Row],[р]]*100%)/(100%-Рецепты[[#This Row],[Потери, %]])</f>
        <v>9.6000000000000014</v>
      </c>
      <c r="O296" s="43">
        <f>Рецепты[[#This Row],[Цена за 1 кг]]-(Рецепты[[#This Row],[р]]*100%/(100%-Рецепты[[#This Row],[Потери, %]]))</f>
        <v>6.4000000000000012</v>
      </c>
      <c r="P296" s="40" t="s">
        <v>540</v>
      </c>
      <c r="Q296" s="40" t="s">
        <v>544</v>
      </c>
      <c r="R296" s="44" t="str">
        <f>VLOOKUP(Рецепты[[#This Row],[Состав]],Ингредиенты[],9,0)</f>
        <v>Да</v>
      </c>
      <c r="S296" s="52"/>
    </row>
    <row r="297" spans="1:19" x14ac:dyDescent="0.25">
      <c r="A297" s="40" t="s">
        <v>539</v>
      </c>
      <c r="B297" s="40" t="str">
        <f t="shared" si="33"/>
        <v>Колбаса</v>
      </c>
      <c r="C297" s="40" t="str">
        <f t="shared" si="35"/>
        <v>Сыровяленное</v>
      </c>
      <c r="D297" s="40" t="s">
        <v>206</v>
      </c>
      <c r="E297" s="41" t="str">
        <f>VLOOKUP(Рецепты[[#This Row],[Состав]],Ингредиенты[],2,0)</f>
        <v>Специи</v>
      </c>
      <c r="F297" s="62">
        <v>0.01</v>
      </c>
      <c r="G297" s="42">
        <f>IF(Рецепты[[#This Row],[%]]*1000&gt;0,Рецепты[[#This Row],[%]]*1000,"")</f>
        <v>10</v>
      </c>
      <c r="H297" s="43">
        <f>IFERROR(VLOOKUP(Рецепты[[#This Row],[Состав]],Ингредиенты!A:I,3,0)*Рецепты[[#This Row],[г]],"")</f>
        <v>11</v>
      </c>
      <c r="I297" s="42">
        <f>СводРецепт!$A$1</f>
        <v>1000</v>
      </c>
      <c r="J297" s="42">
        <f>Рецепты[[#This Row],[%]]*Рецепты[[#This Row],[Масса]]</f>
        <v>10</v>
      </c>
      <c r="K297" s="43">
        <f>Рецепты[[#This Row],[Вес ингр-тов]]*VLOOKUP(Рецепты[[#This Row],[Состав]],Ингредиенты[],3,FALSE)</f>
        <v>11</v>
      </c>
      <c r="L297" s="41">
        <f>IF(VLOOKUP(Рецепты[[#This Row],[Состав]],Ингредиенты[],4,0)="Основа",VLOOKUP(Рецепты[[#This Row],[Способ]],Способ[],2,0),0%)</f>
        <v>0</v>
      </c>
      <c r="M297" s="41">
        <f>VLOOKUP(Рецепты[[#This Row],[Способ]],Способ[],3,0)</f>
        <v>2</v>
      </c>
      <c r="N297" s="43">
        <f>Рецепты[[#This Row],[р]]*100%/(100%-Рецепты[[#This Row],[Потери, %]])+Рецепты[[#This Row],[Маржа]]*(Рецепты[[#This Row],[р]]*100%)/(100%-Рецепты[[#This Row],[Потери, %]])</f>
        <v>33</v>
      </c>
      <c r="O297" s="43">
        <f>Рецепты[[#This Row],[Цена за 1 кг]]-(Рецепты[[#This Row],[р]]*100%/(100%-Рецепты[[#This Row],[Потери, %]]))</f>
        <v>22</v>
      </c>
      <c r="P297" s="40" t="s">
        <v>540</v>
      </c>
      <c r="Q297" s="40" t="s">
        <v>545</v>
      </c>
      <c r="R297" s="44" t="str">
        <f>VLOOKUP(Рецепты[[#This Row],[Состав]],Ингредиенты[],9,0)</f>
        <v>Нет</v>
      </c>
      <c r="S297" s="52"/>
    </row>
    <row r="298" spans="1:19" x14ac:dyDescent="0.25">
      <c r="A298" s="40" t="s">
        <v>539</v>
      </c>
      <c r="B298" s="40" t="str">
        <f t="shared" si="33"/>
        <v>Колбаса</v>
      </c>
      <c r="C298" s="40" t="str">
        <f t="shared" si="35"/>
        <v>Сыровяленное</v>
      </c>
      <c r="D298" s="40" t="s">
        <v>159</v>
      </c>
      <c r="E298" s="41" t="str">
        <f>VLOOKUP(Рецепты[[#This Row],[Состав]],Ингредиенты[],2,0)</f>
        <v>Специи</v>
      </c>
      <c r="F298" s="62">
        <v>3.0000000000000001E-3</v>
      </c>
      <c r="G298" s="42">
        <f>IF(Рецепты[[#This Row],[%]]*1000&gt;0,Рецепты[[#This Row],[%]]*1000,"")</f>
        <v>3</v>
      </c>
      <c r="H298" s="43">
        <f>IFERROR(VLOOKUP(Рецепты[[#This Row],[Состав]],Ингредиенты!A:I,3,0)*Рецепты[[#This Row],[г]],"")</f>
        <v>5.1059999999999999</v>
      </c>
      <c r="I298" s="42">
        <f>СводРецепт!$A$1</f>
        <v>1000</v>
      </c>
      <c r="J298" s="42">
        <f>Рецепты[[#This Row],[%]]*Рецепты[[#This Row],[Масса]]</f>
        <v>3</v>
      </c>
      <c r="K298" s="43">
        <f>Рецепты[[#This Row],[Вес ингр-тов]]*VLOOKUP(Рецепты[[#This Row],[Состав]],Ингредиенты[],3,FALSE)</f>
        <v>5.1059999999999999</v>
      </c>
      <c r="L298" s="41">
        <f>IF(VLOOKUP(Рецепты[[#This Row],[Состав]],Ингредиенты[],4,0)="Основа",VLOOKUP(Рецепты[[#This Row],[Способ]],Способ[],2,0),0%)</f>
        <v>0</v>
      </c>
      <c r="M298" s="41">
        <f>VLOOKUP(Рецепты[[#This Row],[Способ]],Способ[],3,0)</f>
        <v>2</v>
      </c>
      <c r="N298" s="43">
        <f>Рецепты[[#This Row],[р]]*100%/(100%-Рецепты[[#This Row],[Потери, %]])+Рецепты[[#This Row],[Маржа]]*(Рецепты[[#This Row],[р]]*100%)/(100%-Рецепты[[#This Row],[Потери, %]])</f>
        <v>15.318</v>
      </c>
      <c r="O298" s="43">
        <f>Рецепты[[#This Row],[Цена за 1 кг]]-(Рецепты[[#This Row],[р]]*100%/(100%-Рецепты[[#This Row],[Потери, %]]))</f>
        <v>10.212</v>
      </c>
      <c r="P298" s="40" t="s">
        <v>540</v>
      </c>
      <c r="Q298" s="40" t="s">
        <v>546</v>
      </c>
      <c r="R298" s="44" t="str">
        <f>VLOOKUP(Рецепты[[#This Row],[Состав]],Ингредиенты[],9,0)</f>
        <v>Да</v>
      </c>
      <c r="S298" s="52"/>
    </row>
    <row r="299" spans="1:19" x14ac:dyDescent="0.25">
      <c r="A299" s="40" t="s">
        <v>539</v>
      </c>
      <c r="B299" s="40" t="str">
        <f t="shared" si="33"/>
        <v>Колбаса</v>
      </c>
      <c r="C299" s="40" t="str">
        <f t="shared" si="35"/>
        <v>Сыровяленное</v>
      </c>
      <c r="D299" s="40" t="s">
        <v>216</v>
      </c>
      <c r="E299" s="41" t="str">
        <f>VLOOKUP(Рецепты[[#This Row],[Состав]],Ингредиенты[],2,0)</f>
        <v>Оболочка</v>
      </c>
      <c r="F299" s="62">
        <v>1E-3</v>
      </c>
      <c r="G299" s="42">
        <f>IF(Рецепты[[#This Row],[%]]*1000&gt;0,Рецепты[[#This Row],[%]]*1000,"")</f>
        <v>1</v>
      </c>
      <c r="H299" s="43">
        <f>IFERROR(VLOOKUP(Рецепты[[#This Row],[Состав]],Ингредиенты!A:I,3,0)*Рецепты[[#This Row],[г]],"")</f>
        <v>35.564871777750035</v>
      </c>
      <c r="I299" s="42">
        <f>СводРецепт!$A$1</f>
        <v>1000</v>
      </c>
      <c r="J299" s="42">
        <f>Рецепты[[#This Row],[%]]*Рецепты[[#This Row],[Масса]]</f>
        <v>1</v>
      </c>
      <c r="K299" s="43">
        <f>Рецепты[[#This Row],[Вес ингр-тов]]*VLOOKUP(Рецепты[[#This Row],[Состав]],Ингредиенты[],3,FALSE)</f>
        <v>35.564871777750035</v>
      </c>
      <c r="L299" s="41">
        <f>IF(VLOOKUP(Рецепты[[#This Row],[Состав]],Ингредиенты[],4,0)="Основа",VLOOKUP(Рецепты[[#This Row],[Способ]],Способ[],2,0),0%)</f>
        <v>0</v>
      </c>
      <c r="M299" s="41">
        <f>VLOOKUP(Рецепты[[#This Row],[Способ]],Способ[],3,0)</f>
        <v>2</v>
      </c>
      <c r="N299" s="43">
        <f>Рецепты[[#This Row],[р]]*100%/(100%-Рецепты[[#This Row],[Потери, %]])+Рецепты[[#This Row],[Маржа]]*(Рецепты[[#This Row],[р]]*100%)/(100%-Рецепты[[#This Row],[Потери, %]])</f>
        <v>106.69461533325011</v>
      </c>
      <c r="O299" s="43">
        <f>Рецепты[[#This Row],[Цена за 1 кг]]-(Рецепты[[#This Row],[р]]*100%/(100%-Рецепты[[#This Row],[Потери, %]]))</f>
        <v>71.129743555500085</v>
      </c>
      <c r="P299" s="40" t="s">
        <v>540</v>
      </c>
      <c r="Q299" s="40" t="s">
        <v>547</v>
      </c>
      <c r="R299" s="44" t="str">
        <f>VLOOKUP(Рецепты[[#This Row],[Состав]],Ингредиенты[],9,0)</f>
        <v>Нет</v>
      </c>
      <c r="S299" s="52"/>
    </row>
    <row r="300" spans="1:19" x14ac:dyDescent="0.25">
      <c r="A300" s="40" t="s">
        <v>548</v>
      </c>
      <c r="B300" s="40" t="s">
        <v>26</v>
      </c>
      <c r="C300" s="40" t="s">
        <v>26</v>
      </c>
      <c r="D300" s="40" t="s">
        <v>85</v>
      </c>
      <c r="E300" s="41" t="str">
        <f>VLOOKUP(Рецепты[[#This Row],[Состав]],Ингредиенты[],2,0)</f>
        <v>Добавки</v>
      </c>
      <c r="F300" s="62">
        <v>1</v>
      </c>
      <c r="G300" s="42">
        <f>IF(Рецепты[[#This Row],[%]]*1000&gt;0,Рецепты[[#This Row],[%]]*1000,"")</f>
        <v>1000</v>
      </c>
      <c r="H300" s="43">
        <f>IFERROR(VLOOKUP(Рецепты[[#This Row],[Состав]],Ингредиенты!A:I,3,0)*Рецепты[[#This Row],[г]],"")</f>
        <v>66.66</v>
      </c>
      <c r="I300" s="42">
        <f>СводРецепт!$A$1</f>
        <v>1000</v>
      </c>
      <c r="J300" s="42">
        <f>Рецепты[[#This Row],[%]]*Рецепты[[#This Row],[Масса]]</f>
        <v>1000</v>
      </c>
      <c r="K300" s="43">
        <f>Рецепты[[#This Row],[Вес ингр-тов]]*VLOOKUP(Рецепты[[#This Row],[Состав]],Ингредиенты[],3,FALSE)</f>
        <v>66.66</v>
      </c>
      <c r="L300" s="41">
        <f>IF(VLOOKUP(Рецепты[[#This Row],[Состав]],Ингредиенты[],4,0)="Основа",VLOOKUP(Рецепты[[#This Row],[Способ]],Способ[],2,0),0%)</f>
        <v>0.92</v>
      </c>
      <c r="M300" s="41">
        <f>VLOOKUP(Рецепты[[#This Row],[Способ]],Способ[],3,0)</f>
        <v>3</v>
      </c>
      <c r="N300" s="43">
        <f>Рецепты[[#This Row],[р]]*100%/(100%-Рецепты[[#This Row],[Потери, %]])+Рецепты[[#This Row],[Маржа]]*(Рецепты[[#This Row],[р]]*100%)/(100%-Рецепты[[#This Row],[Потери, %]])</f>
        <v>3333.0000000000014</v>
      </c>
      <c r="O300" s="43">
        <f>Рецепты[[#This Row],[Цена за 1 кг]]-(Рецепты[[#This Row],[р]]*100%/(100%-Рецепты[[#This Row],[Потери, %]]))</f>
        <v>2499.7500000000009</v>
      </c>
      <c r="P300" t="s">
        <v>549</v>
      </c>
      <c r="Q300" s="40" t="s">
        <v>550</v>
      </c>
      <c r="R300" s="44" t="str">
        <f>VLOOKUP(Рецепты[[#This Row],[Состав]],Ингредиенты[],9,0)</f>
        <v>Да</v>
      </c>
      <c r="S300" s="52"/>
    </row>
    <row r="301" spans="1:19" x14ac:dyDescent="0.25">
      <c r="A301" s="40" t="s">
        <v>548</v>
      </c>
      <c r="B301" s="40" t="str">
        <f t="shared" ref="B301:C303" si="36">B300</f>
        <v>Сыр</v>
      </c>
      <c r="C301" s="40" t="str">
        <f t="shared" si="36"/>
        <v>Сыр</v>
      </c>
      <c r="D301" s="40" t="s">
        <v>96</v>
      </c>
      <c r="E301" s="41" t="str">
        <f>VLOOKUP(Рецепты[[#This Row],[Состав]],Ингредиенты[],2,0)</f>
        <v>Добавки</v>
      </c>
      <c r="F301" s="62">
        <v>0.03</v>
      </c>
      <c r="G301" s="42">
        <f>IF(Рецепты[[#This Row],[%]]*1000&gt;0,Рецепты[[#This Row],[%]]*1000,"")</f>
        <v>30</v>
      </c>
      <c r="H301" s="43">
        <f>IFERROR(VLOOKUP(Рецепты[[#This Row],[Состав]],Ингредиенты!A:I,3,0)*Рецепты[[#This Row],[г]],"")</f>
        <v>5.1899999999999995</v>
      </c>
      <c r="I301" s="42">
        <f>СводРецепт!$A$1</f>
        <v>1000</v>
      </c>
      <c r="J301" s="42">
        <f>Рецепты[[#This Row],[%]]*Рецепты[[#This Row],[Масса]]</f>
        <v>30</v>
      </c>
      <c r="K301" s="43">
        <f>Рецепты[[#This Row],[Вес ингр-тов]]*VLOOKUP(Рецепты[[#This Row],[Состав]],Ингредиенты[],3,FALSE)</f>
        <v>5.1899999999999995</v>
      </c>
      <c r="L301" s="41">
        <f>IF(VLOOKUP(Рецепты[[#This Row],[Состав]],Ингредиенты[],4,0)="Основа",VLOOKUP(Рецепты[[#This Row],[Способ]],Способ[],2,0),0%)</f>
        <v>0</v>
      </c>
      <c r="M301" s="41">
        <f>VLOOKUP(Рецепты[[#This Row],[Способ]],Способ[],3,0)</f>
        <v>3</v>
      </c>
      <c r="N301" s="43">
        <f>Рецепты[[#This Row],[р]]*100%/(100%-Рецепты[[#This Row],[Потери, %]])+Рецепты[[#This Row],[Маржа]]*(Рецепты[[#This Row],[р]]*100%)/(100%-Рецепты[[#This Row],[Потери, %]])</f>
        <v>20.759999999999998</v>
      </c>
      <c r="O301" s="43">
        <f>Рецепты[[#This Row],[Цена за 1 кг]]-(Рецепты[[#This Row],[р]]*100%/(100%-Рецепты[[#This Row],[Потери, %]]))</f>
        <v>15.569999999999999</v>
      </c>
      <c r="P301" t="s">
        <v>549</v>
      </c>
      <c r="Q301" s="40" t="s">
        <v>550</v>
      </c>
      <c r="R301" s="44" t="str">
        <f>VLOOKUP(Рецепты[[#This Row],[Состав]],Ингредиенты[],9,0)</f>
        <v>Да</v>
      </c>
      <c r="S301" s="52"/>
    </row>
    <row r="302" spans="1:19" x14ac:dyDescent="0.25">
      <c r="A302" s="40" t="s">
        <v>548</v>
      </c>
      <c r="B302" s="40" t="str">
        <f t="shared" si="36"/>
        <v>Сыр</v>
      </c>
      <c r="C302" s="40" t="str">
        <f t="shared" si="36"/>
        <v>Сыр</v>
      </c>
      <c r="D302" s="40" t="s">
        <v>93</v>
      </c>
      <c r="E302" s="41" t="str">
        <f>VLOOKUP(Рецепты[[#This Row],[Состав]],Ингредиенты[],2,0)</f>
        <v>Добавки</v>
      </c>
      <c r="F302" s="62">
        <v>0.5</v>
      </c>
      <c r="G302" s="42">
        <f>IF(Рецепты[[#This Row],[%]]*1000&gt;0,Рецепты[[#This Row],[%]]*1000,"")</f>
        <v>500</v>
      </c>
      <c r="H302" s="43">
        <f>IFERROR(VLOOKUP(Рецепты[[#This Row],[Состав]],Ингредиенты!A:I,3,0)*Рецепты[[#This Row],[г]],"")</f>
        <v>0.5</v>
      </c>
      <c r="I302" s="42">
        <f>СводРецепт!$A$1</f>
        <v>1000</v>
      </c>
      <c r="J302" s="42">
        <f>Рецепты[[#This Row],[%]]*Рецепты[[#This Row],[Масса]]</f>
        <v>500</v>
      </c>
      <c r="K302" s="43">
        <f>Рецепты[[#This Row],[Вес ингр-тов]]*VLOOKUP(Рецепты[[#This Row],[Состав]],Ингредиенты[],3,FALSE)</f>
        <v>0.5</v>
      </c>
      <c r="L302" s="41">
        <f>IF(VLOOKUP(Рецепты[[#This Row],[Состав]],Ингредиенты[],4,0)="Основа",VLOOKUP(Рецепты[[#This Row],[Способ]],Способ[],2,0),0%)</f>
        <v>0</v>
      </c>
      <c r="M302" s="41">
        <f>VLOOKUP(Рецепты[[#This Row],[Способ]],Способ[],3,0)</f>
        <v>3</v>
      </c>
      <c r="N302" s="43">
        <f>Рецепты[[#This Row],[р]]*100%/(100%-Рецепты[[#This Row],[Потери, %]])+Рецепты[[#This Row],[Маржа]]*(Рецепты[[#This Row],[р]]*100%)/(100%-Рецепты[[#This Row],[Потери, %]])</f>
        <v>2</v>
      </c>
      <c r="O302" s="43">
        <f>Рецепты[[#This Row],[Цена за 1 кг]]-(Рецепты[[#This Row],[р]]*100%/(100%-Рецепты[[#This Row],[Потери, %]]))</f>
        <v>1.5</v>
      </c>
      <c r="P302" t="s">
        <v>549</v>
      </c>
      <c r="Q302" s="40" t="s">
        <v>550</v>
      </c>
      <c r="R302" s="44" t="str">
        <f>VLOOKUP(Рецепты[[#This Row],[Состав]],Ингредиенты[],9,0)</f>
        <v>Да</v>
      </c>
      <c r="S302" s="52"/>
    </row>
    <row r="303" spans="1:19" x14ac:dyDescent="0.25">
      <c r="A303" s="40" t="s">
        <v>548</v>
      </c>
      <c r="B303" s="40" t="str">
        <f t="shared" si="36"/>
        <v>Сыр</v>
      </c>
      <c r="C303" s="40" t="str">
        <f t="shared" si="36"/>
        <v>Сыр</v>
      </c>
      <c r="D303" s="40" t="s">
        <v>128</v>
      </c>
      <c r="E303" s="41" t="str">
        <f>VLOOKUP(Рецепты[[#This Row],[Состав]],Ингредиенты[],2,0)</f>
        <v>Специи</v>
      </c>
      <c r="F303" s="62">
        <v>0.1</v>
      </c>
      <c r="G303" s="42">
        <f>IF(Рецепты[[#This Row],[%]]*1000&gt;0,Рецепты[[#This Row],[%]]*1000,"")</f>
        <v>100</v>
      </c>
      <c r="H303" s="43">
        <f>IFERROR(VLOOKUP(Рецепты[[#This Row],[Состав]],Ингредиенты!A:I,3,0)*Рецепты[[#This Row],[г]],"")</f>
        <v>3.85</v>
      </c>
      <c r="I303" s="42">
        <f>СводРецепт!$A$1</f>
        <v>1000</v>
      </c>
      <c r="J303" s="42">
        <f>Рецепты[[#This Row],[%]]*Рецепты[[#This Row],[Масса]]</f>
        <v>100</v>
      </c>
      <c r="K303" s="43">
        <f>Рецепты[[#This Row],[Вес ингр-тов]]*VLOOKUP(Рецепты[[#This Row],[Состав]],Ингредиенты[],3,FALSE)</f>
        <v>3.85</v>
      </c>
      <c r="L303" s="41">
        <f>IF(VLOOKUP(Рецепты[[#This Row],[Состав]],Ингредиенты[],4,0)="Основа",VLOOKUP(Рецепты[[#This Row],[Способ]],Способ[],2,0),0%)</f>
        <v>0</v>
      </c>
      <c r="M303" s="41">
        <f>VLOOKUP(Рецепты[[#This Row],[Способ]],Способ[],3,0)</f>
        <v>3</v>
      </c>
      <c r="N303" s="43">
        <f>Рецепты[[#This Row],[р]]*100%/(100%-Рецепты[[#This Row],[Потери, %]])+Рецепты[[#This Row],[Маржа]]*(Рецепты[[#This Row],[р]]*100%)/(100%-Рецепты[[#This Row],[Потери, %]])</f>
        <v>15.4</v>
      </c>
      <c r="O303" s="43">
        <f>Рецепты[[#This Row],[Цена за 1 кг]]-(Рецепты[[#This Row],[р]]*100%/(100%-Рецепты[[#This Row],[Потери, %]]))</f>
        <v>11.55</v>
      </c>
      <c r="P303" t="s">
        <v>549</v>
      </c>
      <c r="Q303" s="40" t="s">
        <v>550</v>
      </c>
      <c r="R303" s="44" t="str">
        <f>VLOOKUP(Рецепты[[#This Row],[Состав]],Ингредиенты[],9,0)</f>
        <v>Да</v>
      </c>
      <c r="S303" s="52"/>
    </row>
    <row r="304" spans="1:19" x14ac:dyDescent="0.25">
      <c r="A304" s="40" t="s">
        <v>551</v>
      </c>
      <c r="B304" s="40" t="str">
        <f>B303</f>
        <v>Сыр</v>
      </c>
      <c r="C304" s="40" t="str">
        <f>C303</f>
        <v>Сыр</v>
      </c>
      <c r="D304" s="40" t="s">
        <v>85</v>
      </c>
      <c r="E304" s="41" t="str">
        <f>VLOOKUP(Рецепты[[#This Row],[Состав]],Ингредиенты[],2,0)</f>
        <v>Добавки</v>
      </c>
      <c r="F304" s="62">
        <v>1</v>
      </c>
      <c r="G304" s="42">
        <f>IF(Рецепты[[#This Row],[%]]*1000&gt;0,Рецепты[[#This Row],[%]]*1000,"")</f>
        <v>1000</v>
      </c>
      <c r="H304" s="43">
        <f>IFERROR(VLOOKUP(Рецепты[[#This Row],[Состав]],Ингредиенты!A:I,3,0)*Рецепты[[#This Row],[г]],"")</f>
        <v>66.66</v>
      </c>
      <c r="I304" s="42">
        <f>СводРецепт!$A$1</f>
        <v>1000</v>
      </c>
      <c r="J304" s="42">
        <f>Рецепты[[#This Row],[%]]*Рецепты[[#This Row],[Масса]]</f>
        <v>1000</v>
      </c>
      <c r="K304" s="43">
        <f>Рецепты[[#This Row],[Вес ингр-тов]]*VLOOKUP(Рецепты[[#This Row],[Состав]],Ингредиенты[],3,FALSE)</f>
        <v>66.66</v>
      </c>
      <c r="L304" s="41">
        <f>IF(VLOOKUP(Рецепты[[#This Row],[Состав]],Ингредиенты[],4,0)="Основа",VLOOKUP(Рецепты[[#This Row],[Способ]],Способ[],2,0),0%)</f>
        <v>0.92</v>
      </c>
      <c r="M304" s="41">
        <f>VLOOKUP(Рецепты[[#This Row],[Способ]],Способ[],3,0)</f>
        <v>3</v>
      </c>
      <c r="N304" s="43">
        <f>Рецепты[[#This Row],[р]]*100%/(100%-Рецепты[[#This Row],[Потери, %]])+Рецепты[[#This Row],[Маржа]]*(Рецепты[[#This Row],[р]]*100%)/(100%-Рецепты[[#This Row],[Потери, %]])</f>
        <v>3333.0000000000014</v>
      </c>
      <c r="O304" s="43">
        <f>Рецепты[[#This Row],[Цена за 1 кг]]-(Рецепты[[#This Row],[р]]*100%/(100%-Рецепты[[#This Row],[Потери, %]]))</f>
        <v>2499.7500000000009</v>
      </c>
      <c r="P304" t="s">
        <v>552</v>
      </c>
      <c r="Q304" s="40" t="s">
        <v>553</v>
      </c>
      <c r="R304" s="44" t="str">
        <f>VLOOKUP(Рецепты[[#This Row],[Состав]],Ингредиенты[],9,0)</f>
        <v>Да</v>
      </c>
      <c r="S304" s="52"/>
    </row>
    <row r="305" spans="1:19" x14ac:dyDescent="0.25">
      <c r="A305" s="40" t="s">
        <v>551</v>
      </c>
      <c r="B305" s="40" t="str">
        <f t="shared" ref="B305:B306" si="37">B304</f>
        <v>Сыр</v>
      </c>
      <c r="C305" s="40" t="str">
        <f t="shared" ref="C305:C306" si="38">C304</f>
        <v>Сыр</v>
      </c>
      <c r="D305" s="40" t="s">
        <v>99</v>
      </c>
      <c r="E305" s="41" t="str">
        <f>VLOOKUP(Рецепты[[#This Row],[Состав]],Ингредиенты[],2,0)</f>
        <v>Добавки</v>
      </c>
      <c r="F305" s="62">
        <v>1.5E-3</v>
      </c>
      <c r="G305" s="42">
        <f>IF(Рецепты[[#This Row],[%]]*1000&gt;0,Рецепты[[#This Row],[%]]*1000,"")</f>
        <v>1.5</v>
      </c>
      <c r="H305" s="43">
        <f>IFERROR(VLOOKUP(Рецепты[[#This Row],[Состав]],Ингредиенты!A:I,3,0)*Рецепты[[#This Row],[г]],"")</f>
        <v>0.26650000000000001</v>
      </c>
      <c r="I305" s="42">
        <f>СводРецепт!$A$1</f>
        <v>1000</v>
      </c>
      <c r="J305" s="42">
        <f>Рецепты[[#This Row],[%]]*Рецепты[[#This Row],[Масса]]</f>
        <v>1.5</v>
      </c>
      <c r="K305" s="43">
        <f>Рецепты[[#This Row],[Вес ингр-тов]]*VLOOKUP(Рецепты[[#This Row],[Состав]],Ингредиенты[],3,FALSE)</f>
        <v>0.26650000000000001</v>
      </c>
      <c r="L305" s="41">
        <f>IF(VLOOKUP(Рецепты[[#This Row],[Состав]],Ингредиенты[],4,0)="Основа",VLOOKUP(Рецепты[[#This Row],[Способ]],Способ[],2,0),0%)</f>
        <v>0</v>
      </c>
      <c r="M305" s="41">
        <f>VLOOKUP(Рецепты[[#This Row],[Способ]],Способ[],3,0)</f>
        <v>3</v>
      </c>
      <c r="N305" s="43">
        <f>Рецепты[[#This Row],[р]]*100%/(100%-Рецепты[[#This Row],[Потери, %]])+Рецепты[[#This Row],[Маржа]]*(Рецепты[[#This Row],[р]]*100%)/(100%-Рецепты[[#This Row],[Потери, %]])</f>
        <v>1.0660000000000001</v>
      </c>
      <c r="O305" s="43">
        <f>Рецепты[[#This Row],[Цена за 1 кг]]-(Рецепты[[#This Row],[р]]*100%/(100%-Рецепты[[#This Row],[Потери, %]]))</f>
        <v>0.7995000000000001</v>
      </c>
      <c r="P305" t="s">
        <v>552</v>
      </c>
      <c r="Q305" s="40" t="s">
        <v>553</v>
      </c>
      <c r="R305" s="44" t="str">
        <f>VLOOKUP(Рецепты[[#This Row],[Состав]],Ингредиенты[],9,0)</f>
        <v>Да</v>
      </c>
      <c r="S305" s="52"/>
    </row>
    <row r="306" spans="1:19" x14ac:dyDescent="0.25">
      <c r="A306" s="40" t="s">
        <v>551</v>
      </c>
      <c r="B306" s="40" t="str">
        <f t="shared" si="37"/>
        <v>Сыр</v>
      </c>
      <c r="C306" s="40" t="str">
        <f t="shared" si="38"/>
        <v>Сыр</v>
      </c>
      <c r="D306" s="40" t="s">
        <v>93</v>
      </c>
      <c r="E306" s="41" t="str">
        <f>VLOOKUP(Рецепты[[#This Row],[Состав]],Ингредиенты[],2,0)</f>
        <v>Добавки</v>
      </c>
      <c r="F306" s="62">
        <v>0.05</v>
      </c>
      <c r="G306" s="42">
        <f>IF(Рецепты[[#This Row],[%]]*1000&gt;0,Рецепты[[#This Row],[%]]*1000,"")</f>
        <v>50</v>
      </c>
      <c r="H306" s="43">
        <f>IFERROR(VLOOKUP(Рецепты[[#This Row],[Состав]],Ингредиенты!A:I,3,0)*Рецепты[[#This Row],[г]],"")</f>
        <v>0.05</v>
      </c>
      <c r="I306" s="42">
        <f>СводРецепт!$A$1</f>
        <v>1000</v>
      </c>
      <c r="J306" s="42">
        <f>Рецепты[[#This Row],[%]]*Рецепты[[#This Row],[Масса]]</f>
        <v>50</v>
      </c>
      <c r="K306" s="43">
        <f>Рецепты[[#This Row],[Вес ингр-тов]]*VLOOKUP(Рецепты[[#This Row],[Состав]],Ингредиенты[],3,FALSE)</f>
        <v>0.05</v>
      </c>
      <c r="L306" s="41">
        <f>IF(VLOOKUP(Рецепты[[#This Row],[Состав]],Ингредиенты[],4,0)="Основа",VLOOKUP(Рецепты[[#This Row],[Способ]],Способ[],2,0),0%)</f>
        <v>0</v>
      </c>
      <c r="M306" s="41">
        <f>VLOOKUP(Рецепты[[#This Row],[Способ]],Способ[],3,0)</f>
        <v>3</v>
      </c>
      <c r="N306" s="43">
        <f>Рецепты[[#This Row],[р]]*100%/(100%-Рецепты[[#This Row],[Потери, %]])+Рецепты[[#This Row],[Маржа]]*(Рецепты[[#This Row],[р]]*100%)/(100%-Рецепты[[#This Row],[Потери, %]])</f>
        <v>0.2</v>
      </c>
      <c r="O306" s="43">
        <f>Рецепты[[#This Row],[Цена за 1 кг]]-(Рецепты[[#This Row],[р]]*100%/(100%-Рецепты[[#This Row],[Потери, %]]))</f>
        <v>0.15000000000000002</v>
      </c>
      <c r="P306" t="s">
        <v>552</v>
      </c>
      <c r="Q306" s="40" t="s">
        <v>553</v>
      </c>
      <c r="R306" s="44" t="str">
        <f>VLOOKUP(Рецепты[[#This Row],[Состав]],Ингредиенты[],9,0)</f>
        <v>Да</v>
      </c>
      <c r="S306" s="52"/>
    </row>
    <row r="307" spans="1:19" x14ac:dyDescent="0.25">
      <c r="A307" s="40" t="s">
        <v>551</v>
      </c>
      <c r="B307" s="40" t="str">
        <f>B306</f>
        <v>Сыр</v>
      </c>
      <c r="C307" s="40" t="str">
        <f>C306</f>
        <v>Сыр</v>
      </c>
      <c r="D307" s="40" t="s">
        <v>128</v>
      </c>
      <c r="E307" s="41" t="str">
        <f>VLOOKUP(Рецепты[[#This Row],[Состав]],Ингредиенты[],2,0)</f>
        <v>Специи</v>
      </c>
      <c r="F307" s="62">
        <v>1E-3</v>
      </c>
      <c r="G307" s="42">
        <f>IF(Рецепты[[#This Row],[%]]*1000&gt;0,Рецепты[[#This Row],[%]]*1000,"")</f>
        <v>1</v>
      </c>
      <c r="H307" s="43">
        <f>IFERROR(VLOOKUP(Рецепты[[#This Row],[Состав]],Ингредиенты!A:I,3,0)*Рецепты[[#This Row],[г]],"")</f>
        <v>3.85E-2</v>
      </c>
      <c r="I307" s="42">
        <f>СводРецепт!$A$1</f>
        <v>1000</v>
      </c>
      <c r="J307" s="42">
        <f>Рецепты[[#This Row],[%]]*Рецепты[[#This Row],[Масса]]</f>
        <v>1</v>
      </c>
      <c r="K307" s="43">
        <f>Рецепты[[#This Row],[Вес ингр-тов]]*VLOOKUP(Рецепты[[#This Row],[Состав]],Ингредиенты[],3,FALSE)</f>
        <v>3.85E-2</v>
      </c>
      <c r="L307" s="41">
        <f>IF(VLOOKUP(Рецепты[[#This Row],[Состав]],Ингредиенты[],4,0)="Основа",VLOOKUP(Рецепты[[#This Row],[Способ]],Способ[],2,0),0%)</f>
        <v>0</v>
      </c>
      <c r="M307" s="41">
        <f>VLOOKUP(Рецепты[[#This Row],[Способ]],Способ[],3,0)</f>
        <v>3</v>
      </c>
      <c r="N307" s="43">
        <f>Рецепты[[#This Row],[р]]*100%/(100%-Рецепты[[#This Row],[Потери, %]])+Рецепты[[#This Row],[Маржа]]*(Рецепты[[#This Row],[р]]*100%)/(100%-Рецепты[[#This Row],[Потери, %]])</f>
        <v>0.154</v>
      </c>
      <c r="O307" s="43">
        <f>Рецепты[[#This Row],[Цена за 1 кг]]-(Рецепты[[#This Row],[р]]*100%/(100%-Рецепты[[#This Row],[Потери, %]]))</f>
        <v>0.11549999999999999</v>
      </c>
      <c r="P307" t="s">
        <v>552</v>
      </c>
      <c r="Q307" s="40" t="s">
        <v>553</v>
      </c>
      <c r="R307" s="44" t="str">
        <f>VLOOKUP(Рецепты[[#This Row],[Состав]],Ингредиенты[],9,0)</f>
        <v>Да</v>
      </c>
      <c r="S307" s="52"/>
    </row>
    <row r="308" spans="1:19" x14ac:dyDescent="0.25">
      <c r="A308" s="40" t="s">
        <v>554</v>
      </c>
      <c r="B308" s="40" t="s">
        <v>8</v>
      </c>
      <c r="C308" s="40" t="s">
        <v>5</v>
      </c>
      <c r="D308" s="40" t="s">
        <v>78</v>
      </c>
      <c r="E308" s="41" t="str">
        <f>VLOOKUP(Рецепты[[#This Row],[Состав]],Ингредиенты[],2,0)</f>
        <v>Рыба</v>
      </c>
      <c r="F308" s="62">
        <v>1</v>
      </c>
      <c r="G308" s="42">
        <f>IF(Рецепты[[#This Row],[%]]*1000&gt;0,Рецепты[[#This Row],[%]]*1000,"")</f>
        <v>1000</v>
      </c>
      <c r="H308" s="43">
        <f>IFERROR(VLOOKUP(Рецепты[[#This Row],[Состав]],Ингредиенты!A:I,3,0)*Рецепты[[#This Row],[г]],"")</f>
        <v>307.69230769230774</v>
      </c>
      <c r="I308" s="42">
        <f>СводРецепт!$A$1</f>
        <v>1000</v>
      </c>
      <c r="J308" s="42">
        <f>Рецепты[[#This Row],[%]]*Рецепты[[#This Row],[Масса]]</f>
        <v>1000</v>
      </c>
      <c r="K308" s="43">
        <f>Рецепты[[#This Row],[Вес ингр-тов]]*VLOOKUP(Рецепты[[#This Row],[Состав]],Ингредиенты[],3,FALSE)</f>
        <v>307.69230769230774</v>
      </c>
      <c r="L308" s="41">
        <f>IF(VLOOKUP(Рецепты[[#This Row],[Состав]],Ингредиенты[],4,0)="Основа",VLOOKUP(Рецепты[[#This Row],[Способ]],Способ[],2,0),0%)</f>
        <v>0.15</v>
      </c>
      <c r="M308" s="41">
        <f>VLOOKUP(Рецепты[[#This Row],[Способ]],Способ[],3,0)</f>
        <v>0.9</v>
      </c>
      <c r="N308" s="43">
        <f>Рецепты[[#This Row],[р]]*100%/(100%-Рецепты[[#This Row],[Потери, %]])+Рецепты[[#This Row],[Маржа]]*(Рецепты[[#This Row],[р]]*100%)/(100%-Рецепты[[#This Row],[Потери, %]])</f>
        <v>687.78280542986431</v>
      </c>
      <c r="O308" s="43">
        <f>Рецепты[[#This Row],[Цена за 1 кг]]-(Рецепты[[#This Row],[р]]*100%/(100%-Рецепты[[#This Row],[Потери, %]]))</f>
        <v>325.79185520361989</v>
      </c>
      <c r="P308" t="s">
        <v>555</v>
      </c>
      <c r="Q308" s="40" t="s">
        <v>556</v>
      </c>
      <c r="R308" s="44" t="str">
        <f>VLOOKUP(Рецепты[[#This Row],[Состав]],Ингредиенты[],9,0)</f>
        <v>Да</v>
      </c>
      <c r="S308" s="52"/>
    </row>
    <row r="309" spans="1:19" x14ac:dyDescent="0.25">
      <c r="A309" s="40" t="s">
        <v>554</v>
      </c>
      <c r="B309" s="40" t="str">
        <f t="shared" ref="B309:B317" si="39">B308</f>
        <v>Колбаса</v>
      </c>
      <c r="C309" s="40" t="str">
        <f t="shared" ref="C309:C317" si="40">C308</f>
        <v>ГК</v>
      </c>
      <c r="D309" s="40" t="s">
        <v>128</v>
      </c>
      <c r="E309" s="41" t="str">
        <f>VLOOKUP(Рецепты[[#This Row],[Состав]],Ингредиенты[],2,0)</f>
        <v>Специи</v>
      </c>
      <c r="F309" s="62">
        <v>1.6E-2</v>
      </c>
      <c r="G309" s="42">
        <f>IF(Рецепты[[#This Row],[%]]*1000&gt;0,Рецепты[[#This Row],[%]]*1000,"")</f>
        <v>16</v>
      </c>
      <c r="H309" s="43">
        <f>IFERROR(VLOOKUP(Рецепты[[#This Row],[Состав]],Ингредиенты!A:I,3,0)*Рецепты[[#This Row],[г]],"")</f>
        <v>0.61599999999999999</v>
      </c>
      <c r="I309" s="42">
        <f>СводРецепт!$A$1</f>
        <v>1000</v>
      </c>
      <c r="J309" s="42">
        <f>Рецепты[[#This Row],[%]]*Рецепты[[#This Row],[Масса]]</f>
        <v>16</v>
      </c>
      <c r="K309" s="43">
        <f>Рецепты[[#This Row],[Вес ингр-тов]]*VLOOKUP(Рецепты[[#This Row],[Состав]],Ингредиенты[],3,FALSE)</f>
        <v>0.61599999999999999</v>
      </c>
      <c r="L309" s="41">
        <f>IF(VLOOKUP(Рецепты[[#This Row],[Состав]],Ингредиенты[],4,0)="Основа",VLOOKUP(Рецепты[[#This Row],[Способ]],Способ[],2,0),0%)</f>
        <v>0</v>
      </c>
      <c r="M309" s="41">
        <f>VLOOKUP(Рецепты[[#This Row],[Способ]],Способ[],3,0)</f>
        <v>0.9</v>
      </c>
      <c r="N309" s="43">
        <f>Рецепты[[#This Row],[р]]*100%/(100%-Рецепты[[#This Row],[Потери, %]])+Рецепты[[#This Row],[Маржа]]*(Рецепты[[#This Row],[р]]*100%)/(100%-Рецепты[[#This Row],[Потери, %]])</f>
        <v>1.1703999999999999</v>
      </c>
      <c r="O309" s="43">
        <f>Рецепты[[#This Row],[Цена за 1 кг]]-(Рецепты[[#This Row],[р]]*100%/(100%-Рецепты[[#This Row],[Потери, %]]))</f>
        <v>0.55439999999999989</v>
      </c>
      <c r="P309" t="s">
        <v>555</v>
      </c>
      <c r="Q309" s="40" t="s">
        <v>556</v>
      </c>
      <c r="R309" s="44" t="str">
        <f>VLOOKUP(Рецепты[[#This Row],[Состав]],Ингредиенты[],9,0)</f>
        <v>Да</v>
      </c>
      <c r="S309" s="52"/>
    </row>
    <row r="310" spans="1:19" x14ac:dyDescent="0.25">
      <c r="A310" s="40" t="s">
        <v>554</v>
      </c>
      <c r="B310" s="40" t="str">
        <f t="shared" si="39"/>
        <v>Колбаса</v>
      </c>
      <c r="C310" s="40" t="str">
        <f t="shared" si="40"/>
        <v>ГК</v>
      </c>
      <c r="D310" s="40" t="s">
        <v>131</v>
      </c>
      <c r="E310" s="41" t="str">
        <f>VLOOKUP(Рецепты[[#This Row],[Состав]],Ингредиенты[],2,0)</f>
        <v>Специи</v>
      </c>
      <c r="F310" s="62">
        <v>3.5000000000000001E-3</v>
      </c>
      <c r="G310" s="42">
        <f>IF(Рецепты[[#This Row],[%]]*1000&gt;0,Рецепты[[#This Row],[%]]*1000,"")</f>
        <v>3.5</v>
      </c>
      <c r="H310" s="43">
        <f>IFERROR(VLOOKUP(Рецепты[[#This Row],[Состав]],Ингредиенты!A:I,3,0)*Рецепты[[#This Row],[г]],"")</f>
        <v>0.28308823529411764</v>
      </c>
      <c r="I310" s="42">
        <f>СводРецепт!$A$1</f>
        <v>1000</v>
      </c>
      <c r="J310" s="42">
        <f>Рецепты[[#This Row],[%]]*Рецепты[[#This Row],[Масса]]</f>
        <v>3.5</v>
      </c>
      <c r="K310" s="43">
        <f>Рецепты[[#This Row],[Вес ингр-тов]]*VLOOKUP(Рецепты[[#This Row],[Состав]],Ингредиенты[],3,FALSE)</f>
        <v>0.28308823529411764</v>
      </c>
      <c r="L310" s="41">
        <f>IF(VLOOKUP(Рецепты[[#This Row],[Состав]],Ингредиенты[],4,0)="Основа",VLOOKUP(Рецепты[[#This Row],[Способ]],Способ[],2,0),0%)</f>
        <v>0</v>
      </c>
      <c r="M310" s="41">
        <f>VLOOKUP(Рецепты[[#This Row],[Способ]],Способ[],3,0)</f>
        <v>0.9</v>
      </c>
      <c r="N310" s="43">
        <f>Рецепты[[#This Row],[р]]*100%/(100%-Рецепты[[#This Row],[Потери, %]])+Рецепты[[#This Row],[Маржа]]*(Рецепты[[#This Row],[р]]*100%)/(100%-Рецепты[[#This Row],[Потери, %]])</f>
        <v>0.53786764705882351</v>
      </c>
      <c r="O310" s="43">
        <f>Рецепты[[#This Row],[Цена за 1 кг]]-(Рецепты[[#This Row],[р]]*100%/(100%-Рецепты[[#This Row],[Потери, %]]))</f>
        <v>0.25477941176470587</v>
      </c>
      <c r="P310" t="s">
        <v>555</v>
      </c>
      <c r="Q310" s="40" t="s">
        <v>556</v>
      </c>
      <c r="R310" s="44" t="str">
        <f>VLOOKUP(Рецепты[[#This Row],[Состав]],Ингредиенты[],9,0)</f>
        <v>Да</v>
      </c>
      <c r="S310" s="52"/>
    </row>
    <row r="311" spans="1:19" x14ac:dyDescent="0.25">
      <c r="A311" s="40" t="s">
        <v>554</v>
      </c>
      <c r="B311" s="40" t="str">
        <f t="shared" si="39"/>
        <v>Колбаса</v>
      </c>
      <c r="C311" s="40" t="str">
        <f t="shared" si="40"/>
        <v>ГК</v>
      </c>
      <c r="D311" s="40" t="s">
        <v>149</v>
      </c>
      <c r="E311" s="41" t="str">
        <f>VLOOKUP(Рецепты[[#This Row],[Состав]],Ингредиенты[],2,0)</f>
        <v>Специи</v>
      </c>
      <c r="F311" s="62">
        <v>1E-3</v>
      </c>
      <c r="G311" s="42">
        <f>IF(Рецепты[[#This Row],[%]]*1000&gt;0,Рецепты[[#This Row],[%]]*1000,"")</f>
        <v>1</v>
      </c>
      <c r="H311" s="43">
        <f>IFERROR(VLOOKUP(Рецепты[[#This Row],[Состав]],Ингредиенты!A:I,3,0)*Рецепты[[#This Row],[г]],"")</f>
        <v>2.0772727272727272</v>
      </c>
      <c r="I311" s="42">
        <f>СводРецепт!$A$1</f>
        <v>1000</v>
      </c>
      <c r="J311" s="42">
        <f>Рецепты[[#This Row],[%]]*Рецепты[[#This Row],[Масса]]</f>
        <v>1</v>
      </c>
      <c r="K311" s="43">
        <f>Рецепты[[#This Row],[Вес ингр-тов]]*VLOOKUP(Рецепты[[#This Row],[Состав]],Ингредиенты[],3,FALSE)</f>
        <v>2.0772727272727272</v>
      </c>
      <c r="L311" s="41">
        <f>IF(VLOOKUP(Рецепты[[#This Row],[Состав]],Ингредиенты[],4,0)="Основа",VLOOKUP(Рецепты[[#This Row],[Способ]],Способ[],2,0),0%)</f>
        <v>0</v>
      </c>
      <c r="M311" s="41">
        <f>VLOOKUP(Рецепты[[#This Row],[Способ]],Способ[],3,0)</f>
        <v>0.9</v>
      </c>
      <c r="N311" s="43">
        <f>Рецепты[[#This Row],[р]]*100%/(100%-Рецепты[[#This Row],[Потери, %]])+Рецепты[[#This Row],[Маржа]]*(Рецепты[[#This Row],[р]]*100%)/(100%-Рецепты[[#This Row],[Потери, %]])</f>
        <v>3.9468181818181813</v>
      </c>
      <c r="O311" s="43">
        <f>Рецепты[[#This Row],[Цена за 1 кг]]-(Рецепты[[#This Row],[р]]*100%/(100%-Рецепты[[#This Row],[Потери, %]]))</f>
        <v>1.8695454545454542</v>
      </c>
      <c r="P311" t="s">
        <v>555</v>
      </c>
      <c r="Q311" s="40" t="s">
        <v>556</v>
      </c>
      <c r="R311" s="44" t="str">
        <f>VLOOKUP(Рецепты[[#This Row],[Состав]],Ингредиенты[],9,0)</f>
        <v>Да</v>
      </c>
      <c r="S311" s="52"/>
    </row>
    <row r="312" spans="1:19" x14ac:dyDescent="0.25">
      <c r="A312" s="40" t="s">
        <v>554</v>
      </c>
      <c r="B312" s="40" t="str">
        <f t="shared" si="39"/>
        <v>Колбаса</v>
      </c>
      <c r="C312" s="40" t="str">
        <f t="shared" si="40"/>
        <v>ГК</v>
      </c>
      <c r="D312" s="40" t="s">
        <v>135</v>
      </c>
      <c r="E312" s="41" t="str">
        <f>VLOOKUP(Рецепты[[#This Row],[Состав]],Ингредиенты[],2,0)</f>
        <v>Специи</v>
      </c>
      <c r="F312" s="62">
        <v>2.5000000000000001E-3</v>
      </c>
      <c r="G312" s="42">
        <f>IF(Рецепты[[#This Row],[%]]*1000&gt;0,Рецепты[[#This Row],[%]]*1000,"")</f>
        <v>2.5</v>
      </c>
      <c r="H312" s="43">
        <f>IFERROR(VLOOKUP(Рецепты[[#This Row],[Состав]],Ингредиенты!A:I,3,0)*Рецепты[[#This Row],[г]],"")</f>
        <v>3.95</v>
      </c>
      <c r="I312" s="42">
        <f>СводРецепт!$A$1</f>
        <v>1000</v>
      </c>
      <c r="J312" s="42">
        <f>Рецепты[[#This Row],[%]]*Рецепты[[#This Row],[Масса]]</f>
        <v>2.5</v>
      </c>
      <c r="K312" s="43">
        <f>Рецепты[[#This Row],[Вес ингр-тов]]*VLOOKUP(Рецепты[[#This Row],[Состав]],Ингредиенты[],3,FALSE)</f>
        <v>3.95</v>
      </c>
      <c r="L312" s="41">
        <f>IF(VLOOKUP(Рецепты[[#This Row],[Состав]],Ингредиенты[],4,0)="Основа",VLOOKUP(Рецепты[[#This Row],[Способ]],Способ[],2,0),0%)</f>
        <v>0</v>
      </c>
      <c r="M312" s="41">
        <f>VLOOKUP(Рецепты[[#This Row],[Способ]],Способ[],3,0)</f>
        <v>0.9</v>
      </c>
      <c r="N312" s="43">
        <f>Рецепты[[#This Row],[р]]*100%/(100%-Рецепты[[#This Row],[Потери, %]])+Рецепты[[#This Row],[Маржа]]*(Рецепты[[#This Row],[р]]*100%)/(100%-Рецепты[[#This Row],[Потери, %]])</f>
        <v>7.5050000000000008</v>
      </c>
      <c r="O312" s="43">
        <f>Рецепты[[#This Row],[Цена за 1 кг]]-(Рецепты[[#This Row],[р]]*100%/(100%-Рецепты[[#This Row],[Потери, %]]))</f>
        <v>3.5550000000000006</v>
      </c>
      <c r="P312" t="s">
        <v>555</v>
      </c>
      <c r="Q312" s="40" t="s">
        <v>556</v>
      </c>
      <c r="R312" s="44" t="str">
        <f>VLOOKUP(Рецепты[[#This Row],[Состав]],Ингредиенты[],9,0)</f>
        <v>Да</v>
      </c>
      <c r="S312" s="52"/>
    </row>
    <row r="313" spans="1:19" x14ac:dyDescent="0.25">
      <c r="A313" s="40" t="s">
        <v>554</v>
      </c>
      <c r="B313" s="40" t="str">
        <f t="shared" si="39"/>
        <v>Колбаса</v>
      </c>
      <c r="C313" s="40" t="str">
        <f t="shared" si="40"/>
        <v>ГК</v>
      </c>
      <c r="D313" s="40" t="s">
        <v>151</v>
      </c>
      <c r="E313" s="41" t="str">
        <f>VLOOKUP(Рецепты[[#This Row],[Состав]],Ингредиенты[],2,0)</f>
        <v>Специи</v>
      </c>
      <c r="F313" s="62">
        <v>3.0000000000000001E-3</v>
      </c>
      <c r="G313" s="42">
        <f>IF(Рецепты[[#This Row],[%]]*1000&gt;0,Рецепты[[#This Row],[%]]*1000,"")</f>
        <v>3</v>
      </c>
      <c r="H313" s="43">
        <f>IFERROR(VLOOKUP(Рецепты[[#This Row],[Состав]],Ингредиенты!A:I,3,0)*Рецепты[[#This Row],[г]],"")</f>
        <v>2.6349999999999998</v>
      </c>
      <c r="I313" s="42">
        <f>СводРецепт!$A$1</f>
        <v>1000</v>
      </c>
      <c r="J313" s="42">
        <f>Рецепты[[#This Row],[%]]*Рецепты[[#This Row],[Масса]]</f>
        <v>3</v>
      </c>
      <c r="K313" s="43">
        <f>Рецепты[[#This Row],[Вес ингр-тов]]*VLOOKUP(Рецепты[[#This Row],[Состав]],Ингредиенты[],3,FALSE)</f>
        <v>2.6349999999999998</v>
      </c>
      <c r="L313" s="41">
        <f>IF(VLOOKUP(Рецепты[[#This Row],[Состав]],Ингредиенты[],4,0)="Основа",VLOOKUP(Рецепты[[#This Row],[Способ]],Способ[],2,0),0%)</f>
        <v>0</v>
      </c>
      <c r="M313" s="41">
        <f>VLOOKUP(Рецепты[[#This Row],[Способ]],Способ[],3,0)</f>
        <v>0.9</v>
      </c>
      <c r="N313" s="43">
        <f>Рецепты[[#This Row],[р]]*100%/(100%-Рецепты[[#This Row],[Потери, %]])+Рецепты[[#This Row],[Маржа]]*(Рецепты[[#This Row],[р]]*100%)/(100%-Рецепты[[#This Row],[Потери, %]])</f>
        <v>5.0064999999999991</v>
      </c>
      <c r="O313" s="43">
        <f>Рецепты[[#This Row],[Цена за 1 кг]]-(Рецепты[[#This Row],[р]]*100%/(100%-Рецепты[[#This Row],[Потери, %]]))</f>
        <v>2.3714999999999993</v>
      </c>
      <c r="P313" t="s">
        <v>555</v>
      </c>
      <c r="Q313" s="40" t="s">
        <v>556</v>
      </c>
      <c r="R313" s="44" t="str">
        <f>VLOOKUP(Рецепты[[#This Row],[Состав]],Ингредиенты[],9,0)</f>
        <v>Да</v>
      </c>
      <c r="S313" s="52"/>
    </row>
    <row r="314" spans="1:19" x14ac:dyDescent="0.25">
      <c r="A314" s="40" t="s">
        <v>554</v>
      </c>
      <c r="B314" s="40" t="str">
        <f t="shared" si="39"/>
        <v>Колбаса</v>
      </c>
      <c r="C314" s="40" t="str">
        <f t="shared" si="40"/>
        <v>ГК</v>
      </c>
      <c r="D314" s="40" t="s">
        <v>143</v>
      </c>
      <c r="E314" s="41" t="str">
        <f>VLOOKUP(Рецепты[[#This Row],[Состав]],Ингредиенты[],2,0)</f>
        <v>Специи</v>
      </c>
      <c r="F314" s="62">
        <v>5.0000000000000001E-4</v>
      </c>
      <c r="G314" s="42">
        <f>IF(Рецепты[[#This Row],[%]]*1000&gt;0,Рецепты[[#This Row],[%]]*1000,"")</f>
        <v>0.5</v>
      </c>
      <c r="H314" s="43">
        <f>IFERROR(VLOOKUP(Рецепты[[#This Row],[Состав]],Ингредиенты!A:I,3,0)*Рецепты[[#This Row],[г]],"")</f>
        <v>0.56599999999999995</v>
      </c>
      <c r="I314" s="42">
        <f>СводРецепт!$A$1</f>
        <v>1000</v>
      </c>
      <c r="J314" s="42">
        <f>Рецепты[[#This Row],[%]]*Рецепты[[#This Row],[Масса]]</f>
        <v>0.5</v>
      </c>
      <c r="K314" s="43">
        <f>Рецепты[[#This Row],[Вес ингр-тов]]*VLOOKUP(Рецепты[[#This Row],[Состав]],Ингредиенты[],3,FALSE)</f>
        <v>0.56599999999999995</v>
      </c>
      <c r="L314" s="41">
        <f>IF(VLOOKUP(Рецепты[[#This Row],[Состав]],Ингредиенты[],4,0)="Основа",VLOOKUP(Рецепты[[#This Row],[Способ]],Способ[],2,0),0%)</f>
        <v>0</v>
      </c>
      <c r="M314" s="41">
        <f>VLOOKUP(Рецепты[[#This Row],[Способ]],Способ[],3,0)</f>
        <v>0.9</v>
      </c>
      <c r="N314" s="43">
        <f>Рецепты[[#This Row],[р]]*100%/(100%-Рецепты[[#This Row],[Потери, %]])+Рецепты[[#This Row],[Маржа]]*(Рецепты[[#This Row],[р]]*100%)/(100%-Рецепты[[#This Row],[Потери, %]])</f>
        <v>1.0753999999999999</v>
      </c>
      <c r="O314" s="43">
        <f>Рецепты[[#This Row],[Цена за 1 кг]]-(Рецепты[[#This Row],[р]]*100%/(100%-Рецепты[[#This Row],[Потери, %]]))</f>
        <v>0.50939999999999996</v>
      </c>
      <c r="P314" t="s">
        <v>555</v>
      </c>
      <c r="Q314" s="40" t="s">
        <v>556</v>
      </c>
      <c r="R314" s="44" t="str">
        <f>VLOOKUP(Рецепты[[#This Row],[Состав]],Ингредиенты[],9,0)</f>
        <v>Да</v>
      </c>
      <c r="S314" s="52"/>
    </row>
    <row r="315" spans="1:19" x14ac:dyDescent="0.25">
      <c r="A315" s="40" t="s">
        <v>554</v>
      </c>
      <c r="B315" s="40" t="str">
        <f t="shared" si="39"/>
        <v>Колбаса</v>
      </c>
      <c r="C315" s="40" t="str">
        <f t="shared" si="40"/>
        <v>ГК</v>
      </c>
      <c r="D315" s="40" t="s">
        <v>115</v>
      </c>
      <c r="E315" s="41" t="str">
        <f>VLOOKUP(Рецепты[[#This Row],[Состав]],Ингредиенты[],2,0)</f>
        <v>Добавки</v>
      </c>
      <c r="F315" s="62">
        <v>1E-4</v>
      </c>
      <c r="G315" s="42">
        <f>IF(Рецепты[[#This Row],[%]]*1000&gt;0,Рецепты[[#This Row],[%]]*1000,"")</f>
        <v>0.1</v>
      </c>
      <c r="H315" s="43">
        <f>IFERROR(VLOOKUP(Рецепты[[#This Row],[Состав]],Ингредиенты!A:I,3,0)*Рецепты[[#This Row],[г]],"")</f>
        <v>0.90769230769230769</v>
      </c>
      <c r="I315" s="42">
        <f>СводРецепт!$A$1</f>
        <v>1000</v>
      </c>
      <c r="J315" s="42">
        <f>Рецепты[[#This Row],[%]]*Рецепты[[#This Row],[Масса]]</f>
        <v>0.1</v>
      </c>
      <c r="K315" s="43">
        <f>Рецепты[[#This Row],[Вес ингр-тов]]*VLOOKUP(Рецепты[[#This Row],[Состав]],Ингредиенты[],3,FALSE)</f>
        <v>0.90769230769230769</v>
      </c>
      <c r="L315" s="41">
        <f>IF(VLOOKUP(Рецепты[[#This Row],[Состав]],Ингредиенты[],4,0)="Основа",VLOOKUP(Рецепты[[#This Row],[Способ]],Способ[],2,0),0%)</f>
        <v>0</v>
      </c>
      <c r="M315" s="41">
        <f>VLOOKUP(Рецепты[[#This Row],[Способ]],Способ[],3,0)</f>
        <v>0.9</v>
      </c>
      <c r="N315" s="43">
        <f>Рецепты[[#This Row],[р]]*100%/(100%-Рецепты[[#This Row],[Потери, %]])+Рецепты[[#This Row],[Маржа]]*(Рецепты[[#This Row],[р]]*100%)/(100%-Рецепты[[#This Row],[Потери, %]])</f>
        <v>1.7246153846153847</v>
      </c>
      <c r="O315" s="43">
        <f>Рецепты[[#This Row],[Цена за 1 кг]]-(Рецепты[[#This Row],[р]]*100%/(100%-Рецепты[[#This Row],[Потери, %]]))</f>
        <v>0.81692307692307697</v>
      </c>
      <c r="P315" t="s">
        <v>555</v>
      </c>
      <c r="Q315" s="40" t="s">
        <v>556</v>
      </c>
      <c r="R315" s="44" t="str">
        <f>VLOOKUP(Рецепты[[#This Row],[Состав]],Ингредиенты[],9,0)</f>
        <v>Нет</v>
      </c>
      <c r="S315" s="52"/>
    </row>
    <row r="316" spans="1:19" x14ac:dyDescent="0.25">
      <c r="A316" s="40" t="s">
        <v>554</v>
      </c>
      <c r="B316" s="40" t="str">
        <f t="shared" si="39"/>
        <v>Колбаса</v>
      </c>
      <c r="C316" s="40" t="str">
        <f t="shared" si="40"/>
        <v>ГК</v>
      </c>
      <c r="D316" s="40" t="s">
        <v>93</v>
      </c>
      <c r="E316" s="41" t="str">
        <f>VLOOKUP(Рецепты[[#This Row],[Состав]],Ингредиенты[],2,0)</f>
        <v>Добавки</v>
      </c>
      <c r="F316" s="62">
        <v>5.0000000000000001E-3</v>
      </c>
      <c r="G316" s="42">
        <f>IF(Рецепты[[#This Row],[%]]*1000&gt;0,Рецепты[[#This Row],[%]]*1000,"")</f>
        <v>5</v>
      </c>
      <c r="H316" s="43">
        <f>IFERROR(VLOOKUP(Рецепты[[#This Row],[Состав]],Ингредиенты!A:I,3,0)*Рецепты[[#This Row],[г]],"")</f>
        <v>5.0000000000000001E-3</v>
      </c>
      <c r="I316" s="42">
        <f>СводРецепт!$A$1</f>
        <v>1000</v>
      </c>
      <c r="J316" s="42">
        <f>Рецепты[[#This Row],[%]]*Рецепты[[#This Row],[Масса]]</f>
        <v>5</v>
      </c>
      <c r="K316" s="43">
        <f>Рецепты[[#This Row],[Вес ингр-тов]]*VLOOKUP(Рецепты[[#This Row],[Состав]],Ингредиенты[],3,FALSE)</f>
        <v>5.0000000000000001E-3</v>
      </c>
      <c r="L316" s="41">
        <f>IF(VLOOKUP(Рецепты[[#This Row],[Состав]],Ингредиенты[],4,0)="Основа",VLOOKUP(Рецепты[[#This Row],[Способ]],Способ[],2,0),0%)</f>
        <v>0</v>
      </c>
      <c r="M316" s="41">
        <f>VLOOKUP(Рецепты[[#This Row],[Способ]],Способ[],3,0)</f>
        <v>0.9</v>
      </c>
      <c r="N316" s="43">
        <f>Рецепты[[#This Row],[р]]*100%/(100%-Рецепты[[#This Row],[Потери, %]])+Рецепты[[#This Row],[Маржа]]*(Рецепты[[#This Row],[р]]*100%)/(100%-Рецепты[[#This Row],[Потери, %]])</f>
        <v>9.5000000000000015E-3</v>
      </c>
      <c r="O316" s="43">
        <f>Рецепты[[#This Row],[Цена за 1 кг]]-(Рецепты[[#This Row],[р]]*100%/(100%-Рецепты[[#This Row],[Потери, %]]))</f>
        <v>4.5000000000000014E-3</v>
      </c>
      <c r="P316" t="s">
        <v>555</v>
      </c>
      <c r="Q316" s="40" t="s">
        <v>556</v>
      </c>
      <c r="R316" s="44" t="str">
        <f>VLOOKUP(Рецепты[[#This Row],[Состав]],Ингредиенты[],9,0)</f>
        <v>Да</v>
      </c>
      <c r="S316" s="52"/>
    </row>
    <row r="317" spans="1:19" x14ac:dyDescent="0.25">
      <c r="A317" s="40" t="s">
        <v>554</v>
      </c>
      <c r="B317" s="40" t="str">
        <f t="shared" si="39"/>
        <v>Колбаса</v>
      </c>
      <c r="C317" s="40" t="str">
        <f t="shared" si="40"/>
        <v>ГК</v>
      </c>
      <c r="D317" s="40" t="s">
        <v>220</v>
      </c>
      <c r="E317" s="41" t="str">
        <f>VLOOKUP(Рецепты[[#This Row],[Состав]],Ингредиенты[],2,0)</f>
        <v>Оболочка</v>
      </c>
      <c r="F317" s="62">
        <v>1E-3</v>
      </c>
      <c r="G317" s="42">
        <f>IF(Рецепты[[#This Row],[%]]*1000&gt;0,Рецепты[[#This Row],[%]]*1000,"")</f>
        <v>1</v>
      </c>
      <c r="H317" s="43">
        <f>IFERROR(VLOOKUP(Рецепты[[#This Row],[Состав]],Ингредиенты!A:I,3,0)*Рецепты[[#This Row],[г]],"")</f>
        <v>39.348206474190725</v>
      </c>
      <c r="I317" s="42">
        <f>СводРецепт!$A$1</f>
        <v>1000</v>
      </c>
      <c r="J317" s="42">
        <f>Рецепты[[#This Row],[%]]*Рецепты[[#This Row],[Масса]]</f>
        <v>1</v>
      </c>
      <c r="K317" s="43">
        <f>Рецепты[[#This Row],[Вес ингр-тов]]*VLOOKUP(Рецепты[[#This Row],[Состав]],Ингредиенты[],3,FALSE)</f>
        <v>39.348206474190725</v>
      </c>
      <c r="L317" s="41">
        <f>IF(VLOOKUP(Рецепты[[#This Row],[Состав]],Ингредиенты[],4,0)="Основа",VLOOKUP(Рецепты[[#This Row],[Способ]],Способ[],2,0),0%)</f>
        <v>0</v>
      </c>
      <c r="M317" s="41">
        <f>VLOOKUP(Рецепты[[#This Row],[Способ]],Способ[],3,0)</f>
        <v>0.9</v>
      </c>
      <c r="N317" s="43">
        <f>Рецепты[[#This Row],[р]]*100%/(100%-Рецепты[[#This Row],[Потери, %]])+Рецепты[[#This Row],[Маржа]]*(Рецепты[[#This Row],[р]]*100%)/(100%-Рецепты[[#This Row],[Потери, %]])</f>
        <v>74.761592300962377</v>
      </c>
      <c r="O317" s="43">
        <f>Рецепты[[#This Row],[Цена за 1 кг]]-(Рецепты[[#This Row],[р]]*100%/(100%-Рецепты[[#This Row],[Потери, %]]))</f>
        <v>35.413385826771652</v>
      </c>
      <c r="P317" t="s">
        <v>555</v>
      </c>
      <c r="Q317" s="40" t="s">
        <v>556</v>
      </c>
      <c r="R317" s="44" t="str">
        <f>VLOOKUP(Рецепты[[#This Row],[Состав]],Ингредиенты[],9,0)</f>
        <v>Нет</v>
      </c>
      <c r="S317" s="52"/>
    </row>
    <row r="318" spans="1:19" x14ac:dyDescent="0.25">
      <c r="A318" s="40" t="s">
        <v>557</v>
      </c>
      <c r="B318" s="40" t="str">
        <f>B317</f>
        <v>Колбаса</v>
      </c>
      <c r="C318" s="40" t="s">
        <v>9</v>
      </c>
      <c r="D318" s="40" t="s">
        <v>63</v>
      </c>
      <c r="E318" s="41" t="str">
        <f>VLOOKUP(Рецепты[[#This Row],[Состав]],Ингредиенты[],2,0)</f>
        <v>Свинина</v>
      </c>
      <c r="F318" s="62">
        <v>1</v>
      </c>
      <c r="G318" s="42">
        <f>IF(Рецепты[[#This Row],[%]]*1000&gt;0,Рецепты[[#This Row],[%]]*1000,"")</f>
        <v>1000</v>
      </c>
      <c r="H318" s="43">
        <f>IFERROR(VLOOKUP(Рецепты[[#This Row],[Состав]],Ингредиенты!A:I,3,0)*Рецепты[[#This Row],[г]],"")</f>
        <v>100</v>
      </c>
      <c r="I318" s="42">
        <f>СводРецепт!$A$1</f>
        <v>1000</v>
      </c>
      <c r="J318" s="42">
        <f>Рецепты[[#This Row],[%]]*Рецепты[[#This Row],[Масса]]</f>
        <v>1000</v>
      </c>
      <c r="K318" s="43">
        <f>Рецепты[[#This Row],[Вес ингр-тов]]*VLOOKUP(Рецепты[[#This Row],[Состав]],Ингредиенты[],3,FALSE)</f>
        <v>100</v>
      </c>
      <c r="L318" s="41">
        <f>IF(VLOOKUP(Рецепты[[#This Row],[Состав]],Ингредиенты[],4,0)="Основа",VLOOKUP(Рецепты[[#This Row],[Способ]],Способ[],2,0),0%)</f>
        <v>0.15</v>
      </c>
      <c r="M318" s="41">
        <f>VLOOKUP(Рецепты[[#This Row],[Способ]],Способ[],3,0)</f>
        <v>0.7</v>
      </c>
      <c r="N318" s="43">
        <f>Рецепты[[#This Row],[р]]*100%/(100%-Рецепты[[#This Row],[Потери, %]])+Рецепты[[#This Row],[Маржа]]*(Рецепты[[#This Row],[р]]*100%)/(100%-Рецепты[[#This Row],[Потери, %]])</f>
        <v>200</v>
      </c>
      <c r="O318" s="43">
        <f>Рецепты[[#This Row],[Цена за 1 кг]]-(Рецепты[[#This Row],[р]]*100%/(100%-Рецепты[[#This Row],[Потери, %]]))</f>
        <v>82.35294117647058</v>
      </c>
      <c r="P318" t="s">
        <v>558</v>
      </c>
      <c r="Q318" s="40" t="s">
        <v>559</v>
      </c>
      <c r="R318" s="44" t="str">
        <f>VLOOKUP(Рецепты[[#This Row],[Состав]],Ингредиенты[],9,0)</f>
        <v>Да</v>
      </c>
      <c r="S318" s="52"/>
    </row>
    <row r="319" spans="1:19" x14ac:dyDescent="0.25">
      <c r="A319" s="40" t="s">
        <v>557</v>
      </c>
      <c r="B319" s="40" t="str">
        <f>B318</f>
        <v>Колбаса</v>
      </c>
      <c r="C319" s="40" t="str">
        <f>C318</f>
        <v>Вареное</v>
      </c>
      <c r="D319" s="40" t="s">
        <v>93</v>
      </c>
      <c r="E319" s="41" t="str">
        <f>VLOOKUP(Рецепты[[#This Row],[Состав]],Ингредиенты[],2,0)</f>
        <v>Добавки</v>
      </c>
      <c r="F319" s="62">
        <v>0.8</v>
      </c>
      <c r="G319" s="42">
        <f>IF(Рецепты[[#This Row],[%]]*1000&gt;0,Рецепты[[#This Row],[%]]*1000,"")</f>
        <v>800</v>
      </c>
      <c r="H319" s="43">
        <f>IFERROR(VLOOKUP(Рецепты[[#This Row],[Состав]],Ингредиенты!A:I,3,0)*Рецепты[[#This Row],[г]],"")</f>
        <v>0.8</v>
      </c>
      <c r="I319" s="42">
        <f>СводРецепт!$A$1</f>
        <v>1000</v>
      </c>
      <c r="J319" s="42">
        <f>Рецепты[[#This Row],[%]]*Рецепты[[#This Row],[Масса]]</f>
        <v>800</v>
      </c>
      <c r="K319" s="43">
        <f>Рецепты[[#This Row],[Вес ингр-тов]]*VLOOKUP(Рецепты[[#This Row],[Состав]],Ингредиенты[],3,FALSE)</f>
        <v>0.8</v>
      </c>
      <c r="L319" s="41">
        <f>IF(VLOOKUP(Рецепты[[#This Row],[Состав]],Ингредиенты[],4,0)="Основа",VLOOKUP(Рецепты[[#This Row],[Способ]],Способ[],2,0),0%)</f>
        <v>0</v>
      </c>
      <c r="M319" s="41">
        <f>VLOOKUP(Рецепты[[#This Row],[Способ]],Способ[],3,0)</f>
        <v>0.7</v>
      </c>
      <c r="N319" s="43">
        <f>Рецепты[[#This Row],[р]]*100%/(100%-Рецепты[[#This Row],[Потери, %]])+Рецепты[[#This Row],[Маржа]]*(Рецепты[[#This Row],[р]]*100%)/(100%-Рецепты[[#This Row],[Потери, %]])</f>
        <v>1.3599999999999999</v>
      </c>
      <c r="O319" s="43">
        <f>Рецепты[[#This Row],[Цена за 1 кг]]-(Рецепты[[#This Row],[р]]*100%/(100%-Рецепты[[#This Row],[Потери, %]]))</f>
        <v>0.55999999999999983</v>
      </c>
      <c r="P319" t="s">
        <v>560</v>
      </c>
      <c r="Q319" s="40" t="s">
        <v>559</v>
      </c>
      <c r="R319" s="44" t="str">
        <f>VLOOKUP(Рецепты[[#This Row],[Состав]],Ингредиенты[],9,0)</f>
        <v>Да</v>
      </c>
      <c r="S319" s="52"/>
    </row>
    <row r="320" spans="1:19" x14ac:dyDescent="0.25">
      <c r="A320" s="40" t="s">
        <v>557</v>
      </c>
      <c r="B320" s="40" t="str">
        <f>B318</f>
        <v>Колбаса</v>
      </c>
      <c r="C320" s="40" t="str">
        <f>C318</f>
        <v>Вареное</v>
      </c>
      <c r="D320" s="40" t="s">
        <v>125</v>
      </c>
      <c r="E320" s="41" t="str">
        <f>VLOOKUP(Рецепты[[#This Row],[Состав]],Ингредиенты[],2,0)</f>
        <v>Специи</v>
      </c>
      <c r="F320" s="62">
        <v>0.01</v>
      </c>
      <c r="G320" s="42">
        <f>IF(Рецепты[[#This Row],[%]]*1000&gt;0,Рецепты[[#This Row],[%]]*1000,"")</f>
        <v>10</v>
      </c>
      <c r="H320" s="43">
        <f>IFERROR(VLOOKUP(Рецепты[[#This Row],[Состав]],Ингредиенты!A:I,3,0)*Рецепты[[#This Row],[г]],"")</f>
        <v>1.28</v>
      </c>
      <c r="I320" s="42">
        <f>СводРецепт!$A$1</f>
        <v>1000</v>
      </c>
      <c r="J320" s="42">
        <f>Рецепты[[#This Row],[%]]*Рецепты[[#This Row],[Масса]]</f>
        <v>10</v>
      </c>
      <c r="K320" s="43">
        <f>Рецепты[[#This Row],[Вес ингр-тов]]*VLOOKUP(Рецепты[[#This Row],[Состав]],Ингредиенты[],3,FALSE)</f>
        <v>1.28</v>
      </c>
      <c r="L320" s="41">
        <f>IF(VLOOKUP(Рецепты[[#This Row],[Состав]],Ингредиенты[],4,0)="Основа",VLOOKUP(Рецепты[[#This Row],[Способ]],Способ[],2,0),0%)</f>
        <v>0</v>
      </c>
      <c r="M320" s="41">
        <f>VLOOKUP(Рецепты[[#This Row],[Способ]],Способ[],3,0)</f>
        <v>0.7</v>
      </c>
      <c r="N320" s="43">
        <f>Рецепты[[#This Row],[р]]*100%/(100%-Рецепты[[#This Row],[Потери, %]])+Рецепты[[#This Row],[Маржа]]*(Рецепты[[#This Row],[р]]*100%)/(100%-Рецепты[[#This Row],[Потери, %]])</f>
        <v>2.1760000000000002</v>
      </c>
      <c r="O320" s="43">
        <f>Рецепты[[#This Row],[Цена за 1 кг]]-(Рецепты[[#This Row],[р]]*100%/(100%-Рецепты[[#This Row],[Потери, %]]))</f>
        <v>0.89600000000000013</v>
      </c>
      <c r="P320" t="s">
        <v>560</v>
      </c>
      <c r="Q320" s="40" t="s">
        <v>559</v>
      </c>
      <c r="R320" s="44" t="str">
        <f>VLOOKUP(Рецепты[[#This Row],[Состав]],Ингредиенты[],9,0)</f>
        <v>Да</v>
      </c>
      <c r="S320" s="52"/>
    </row>
    <row r="321" spans="1:19" x14ac:dyDescent="0.25">
      <c r="A321" s="40" t="s">
        <v>557</v>
      </c>
      <c r="B321" s="40" t="str">
        <f t="shared" ref="B321:B323" si="41">B320</f>
        <v>Колбаса</v>
      </c>
      <c r="C321" s="40" t="str">
        <f t="shared" ref="C321:C323" si="42">C320</f>
        <v>Вареное</v>
      </c>
      <c r="D321" s="40" t="s">
        <v>128</v>
      </c>
      <c r="E321" s="41" t="str">
        <f>VLOOKUP(Рецепты[[#This Row],[Состав]],Ингредиенты[],2,0)</f>
        <v>Специи</v>
      </c>
      <c r="F321" s="62">
        <v>5.0000000000000001E-3</v>
      </c>
      <c r="G321" s="42">
        <f>IF(Рецепты[[#This Row],[%]]*1000&gt;0,Рецепты[[#This Row],[%]]*1000,"")</f>
        <v>5</v>
      </c>
      <c r="H321" s="43">
        <f>IFERROR(VLOOKUP(Рецепты[[#This Row],[Состав]],Ингредиенты!A:I,3,0)*Рецепты[[#This Row],[г]],"")</f>
        <v>0.1925</v>
      </c>
      <c r="I321" s="42">
        <f>СводРецепт!$A$1</f>
        <v>1000</v>
      </c>
      <c r="J321" s="42">
        <f>Рецепты[[#This Row],[%]]*Рецепты[[#This Row],[Масса]]</f>
        <v>5</v>
      </c>
      <c r="K321" s="43">
        <f>Рецепты[[#This Row],[Вес ингр-тов]]*VLOOKUP(Рецепты[[#This Row],[Состав]],Ингредиенты[],3,FALSE)</f>
        <v>0.1925</v>
      </c>
      <c r="L321" s="41">
        <f>IF(VLOOKUP(Рецепты[[#This Row],[Состав]],Ингредиенты[],4,0)="Основа",VLOOKUP(Рецепты[[#This Row],[Способ]],Способ[],2,0),0%)</f>
        <v>0</v>
      </c>
      <c r="M321" s="41">
        <f>VLOOKUP(Рецепты[[#This Row],[Способ]],Способ[],3,0)</f>
        <v>0.7</v>
      </c>
      <c r="N321" s="43">
        <f>Рецепты[[#This Row],[р]]*100%/(100%-Рецепты[[#This Row],[Потери, %]])+Рецепты[[#This Row],[Маржа]]*(Рецепты[[#This Row],[р]]*100%)/(100%-Рецепты[[#This Row],[Потери, %]])</f>
        <v>0.32724999999999999</v>
      </c>
      <c r="O321" s="43">
        <f>Рецепты[[#This Row],[Цена за 1 кг]]-(Рецепты[[#This Row],[р]]*100%/(100%-Рецепты[[#This Row],[Потери, %]]))</f>
        <v>0.13474999999999998</v>
      </c>
      <c r="P321" t="s">
        <v>558</v>
      </c>
      <c r="Q321" s="40" t="s">
        <v>559</v>
      </c>
      <c r="R321" s="44" t="str">
        <f>VLOOKUP(Рецепты[[#This Row],[Состав]],Ингредиенты[],9,0)</f>
        <v>Да</v>
      </c>
      <c r="S321" s="52"/>
    </row>
    <row r="322" spans="1:19" x14ac:dyDescent="0.25">
      <c r="A322" s="40" t="s">
        <v>557</v>
      </c>
      <c r="B322" s="40" t="str">
        <f t="shared" si="41"/>
        <v>Колбаса</v>
      </c>
      <c r="C322" s="40" t="str">
        <f t="shared" si="42"/>
        <v>Вареное</v>
      </c>
      <c r="D322" s="40" t="s">
        <v>151</v>
      </c>
      <c r="E322" s="41" t="str">
        <f>VLOOKUP(Рецепты[[#This Row],[Состав]],Ингредиенты[],2,0)</f>
        <v>Специи</v>
      </c>
      <c r="F322" s="62">
        <v>0.01</v>
      </c>
      <c r="G322" s="42">
        <f>IF(Рецепты[[#This Row],[%]]*1000&gt;0,Рецепты[[#This Row],[%]]*1000,"")</f>
        <v>10</v>
      </c>
      <c r="H322" s="43">
        <f>IFERROR(VLOOKUP(Рецепты[[#This Row],[Состав]],Ингредиенты!A:I,3,0)*Рецепты[[#This Row],[г]],"")</f>
        <v>8.7833333333333332</v>
      </c>
      <c r="I322" s="42">
        <f>СводРецепт!$A$1</f>
        <v>1000</v>
      </c>
      <c r="J322" s="42">
        <f>Рецепты[[#This Row],[%]]*Рецепты[[#This Row],[Масса]]</f>
        <v>10</v>
      </c>
      <c r="K322" s="43">
        <f>Рецепты[[#This Row],[Вес ингр-тов]]*VLOOKUP(Рецепты[[#This Row],[Состав]],Ингредиенты[],3,FALSE)</f>
        <v>8.7833333333333332</v>
      </c>
      <c r="L322" s="41">
        <f>IF(VLOOKUP(Рецепты[[#This Row],[Состав]],Ингредиенты[],4,0)="Основа",VLOOKUP(Рецепты[[#This Row],[Способ]],Способ[],2,0),0%)</f>
        <v>0</v>
      </c>
      <c r="M322" s="41">
        <f>VLOOKUP(Рецепты[[#This Row],[Способ]],Способ[],3,0)</f>
        <v>0.7</v>
      </c>
      <c r="N322" s="43">
        <f>Рецепты[[#This Row],[р]]*100%/(100%-Рецепты[[#This Row],[Потери, %]])+Рецепты[[#This Row],[Маржа]]*(Рецепты[[#This Row],[р]]*100%)/(100%-Рецепты[[#This Row],[Потери, %]])</f>
        <v>14.931666666666665</v>
      </c>
      <c r="O322" s="43">
        <f>Рецепты[[#This Row],[Цена за 1 кг]]-(Рецепты[[#This Row],[р]]*100%/(100%-Рецепты[[#This Row],[Потери, %]]))</f>
        <v>6.1483333333333317</v>
      </c>
      <c r="P322" t="s">
        <v>560</v>
      </c>
      <c r="Q322" s="40" t="s">
        <v>559</v>
      </c>
      <c r="R322" s="44" t="str">
        <f>VLOOKUP(Рецепты[[#This Row],[Состав]],Ингредиенты[],9,0)</f>
        <v>Да</v>
      </c>
      <c r="S322" s="52"/>
    </row>
    <row r="323" spans="1:19" x14ac:dyDescent="0.25">
      <c r="A323" s="40" t="s">
        <v>557</v>
      </c>
      <c r="B323" s="40" t="str">
        <f t="shared" si="41"/>
        <v>Колбаса</v>
      </c>
      <c r="C323" s="40" t="str">
        <f t="shared" si="42"/>
        <v>Вареное</v>
      </c>
      <c r="D323" s="40" t="s">
        <v>133</v>
      </c>
      <c r="E323" s="41" t="str">
        <f>VLOOKUP(Рецепты[[#This Row],[Состав]],Ингредиенты[],2,0)</f>
        <v>Специи</v>
      </c>
      <c r="F323" s="62">
        <v>4.0000000000000001E-3</v>
      </c>
      <c r="G323" s="42">
        <f>IF(Рецепты[[#This Row],[%]]*1000&gt;0,Рецепты[[#This Row],[%]]*1000,"")</f>
        <v>4</v>
      </c>
      <c r="H323" s="43">
        <f>IFERROR(VLOOKUP(Рецепты[[#This Row],[Состав]],Ингредиенты!A:I,3,0)*Рецепты[[#This Row],[г]],"")</f>
        <v>4.378181818181818</v>
      </c>
      <c r="I323" s="42">
        <f>СводРецепт!$A$1</f>
        <v>1000</v>
      </c>
      <c r="J323" s="42">
        <f>Рецепты[[#This Row],[%]]*Рецепты[[#This Row],[Масса]]</f>
        <v>4</v>
      </c>
      <c r="K323" s="43">
        <f>Рецепты[[#This Row],[Вес ингр-тов]]*VLOOKUP(Рецепты[[#This Row],[Состав]],Ингредиенты[],3,FALSE)</f>
        <v>4.378181818181818</v>
      </c>
      <c r="L323" s="41">
        <f>IF(VLOOKUP(Рецепты[[#This Row],[Состав]],Ингредиенты[],4,0)="Основа",VLOOKUP(Рецепты[[#This Row],[Способ]],Способ[],2,0),0%)</f>
        <v>0</v>
      </c>
      <c r="M323" s="41">
        <f>VLOOKUP(Рецепты[[#This Row],[Способ]],Способ[],3,0)</f>
        <v>0.7</v>
      </c>
      <c r="N323" s="43">
        <f>Рецепты[[#This Row],[р]]*100%/(100%-Рецепты[[#This Row],[Потери, %]])+Рецепты[[#This Row],[Маржа]]*(Рецепты[[#This Row],[р]]*100%)/(100%-Рецепты[[#This Row],[Потери, %]])</f>
        <v>7.4429090909090903</v>
      </c>
      <c r="O323" s="43">
        <f>Рецепты[[#This Row],[Цена за 1 кг]]-(Рецепты[[#This Row],[р]]*100%/(100%-Рецепты[[#This Row],[Потери, %]]))</f>
        <v>3.0647272727272723</v>
      </c>
      <c r="P323" t="s">
        <v>560</v>
      </c>
      <c r="Q323" s="40" t="s">
        <v>559</v>
      </c>
      <c r="R323" s="44" t="str">
        <f>VLOOKUP(Рецепты[[#This Row],[Состав]],Ингредиенты[],9,0)</f>
        <v>Да</v>
      </c>
      <c r="S323" s="52"/>
    </row>
    <row r="324" spans="1:19" x14ac:dyDescent="0.25">
      <c r="A324" s="40" t="s">
        <v>557</v>
      </c>
      <c r="B324" s="40" t="str">
        <f>B323</f>
        <v>Колбаса</v>
      </c>
      <c r="C324" s="40" t="str">
        <f>C323</f>
        <v>Вареное</v>
      </c>
      <c r="D324" s="40" t="s">
        <v>155</v>
      </c>
      <c r="E324" s="41" t="str">
        <f>VLOOKUP(Рецепты[[#This Row],[Состав]],Ингредиенты[],2,0)</f>
        <v>Специи</v>
      </c>
      <c r="F324" s="62">
        <v>3.0000000000000001E-3</v>
      </c>
      <c r="G324" s="42">
        <f>IF(Рецепты[[#This Row],[%]]*1000&gt;0,Рецепты[[#This Row],[%]]*1000,"")</f>
        <v>3</v>
      </c>
      <c r="H324" s="43">
        <f>IFERROR(VLOOKUP(Рецепты[[#This Row],[Состав]],Ингредиенты!A:I,3,0)*Рецепты[[#This Row],[г]],"")</f>
        <v>1.5066666666666668</v>
      </c>
      <c r="I324" s="42">
        <f>СводРецепт!$A$1</f>
        <v>1000</v>
      </c>
      <c r="J324" s="42">
        <f>Рецепты[[#This Row],[%]]*Рецепты[[#This Row],[Масса]]</f>
        <v>3</v>
      </c>
      <c r="K324" s="43">
        <f>Рецепты[[#This Row],[Вес ингр-тов]]*VLOOKUP(Рецепты[[#This Row],[Состав]],Ингредиенты[],3,FALSE)</f>
        <v>1.5066666666666668</v>
      </c>
      <c r="L324" s="41">
        <f>IF(VLOOKUP(Рецепты[[#This Row],[Состав]],Ингредиенты[],4,0)="Основа",VLOOKUP(Рецепты[[#This Row],[Способ]],Способ[],2,0),0%)</f>
        <v>0</v>
      </c>
      <c r="M324" s="41">
        <f>VLOOKUP(Рецепты[[#This Row],[Способ]],Способ[],3,0)</f>
        <v>0.7</v>
      </c>
      <c r="N324" s="43">
        <f>Рецепты[[#This Row],[р]]*100%/(100%-Рецепты[[#This Row],[Потери, %]])+Рецепты[[#This Row],[Маржа]]*(Рецепты[[#This Row],[р]]*100%)/(100%-Рецепты[[#This Row],[Потери, %]])</f>
        <v>2.5613333333333337</v>
      </c>
      <c r="O324" s="43">
        <f>Рецепты[[#This Row],[Цена за 1 кг]]-(Рецепты[[#This Row],[р]]*100%/(100%-Рецепты[[#This Row],[Потери, %]]))</f>
        <v>1.0546666666666669</v>
      </c>
      <c r="P324" t="s">
        <v>558</v>
      </c>
      <c r="Q324" s="40" t="s">
        <v>559</v>
      </c>
      <c r="R324" s="44" t="str">
        <f>VLOOKUP(Рецепты[[#This Row],[Состав]],Ингредиенты[],9,0)</f>
        <v>Да</v>
      </c>
      <c r="S324" s="52"/>
    </row>
    <row r="325" spans="1:19" x14ac:dyDescent="0.25">
      <c r="A325" s="40" t="s">
        <v>557</v>
      </c>
      <c r="B325" s="40" t="str">
        <f>B324</f>
        <v>Колбаса</v>
      </c>
      <c r="C325" s="40" t="str">
        <f>C324</f>
        <v>Вареное</v>
      </c>
      <c r="D325" s="40" t="s">
        <v>214</v>
      </c>
      <c r="E325" s="41" t="str">
        <f>VLOOKUP(Рецепты[[#This Row],[Состав]],Ингредиенты[],2,0)</f>
        <v>Оболочка</v>
      </c>
      <c r="F325" s="62">
        <v>1E-3</v>
      </c>
      <c r="G325" s="42">
        <f>IF(Рецепты[[#This Row],[%]]*1000&gt;0,Рецепты[[#This Row],[%]]*1000,"")</f>
        <v>1</v>
      </c>
      <c r="H325" s="43">
        <f>IFERROR(VLOOKUP(Рецепты[[#This Row],[Состав]],Ингредиенты!A:I,3,0)*Рецепты[[#This Row],[г]],"")</f>
        <v>9.7374533266692147</v>
      </c>
      <c r="I325" s="42">
        <f>СводРецепт!$A$1</f>
        <v>1000</v>
      </c>
      <c r="J325" s="42">
        <f>Рецепты[[#This Row],[%]]*Рецепты[[#This Row],[Масса]]</f>
        <v>1</v>
      </c>
      <c r="K325" s="43">
        <f>Рецепты[[#This Row],[Вес ингр-тов]]*VLOOKUP(Рецепты[[#This Row],[Состав]],Ингредиенты[],3,FALSE)</f>
        <v>9.7374533266692147</v>
      </c>
      <c r="L325" s="41">
        <f>IF(VLOOKUP(Рецепты[[#This Row],[Состав]],Ингредиенты[],4,0)="Основа",VLOOKUP(Рецепты[[#This Row],[Способ]],Способ[],2,0),0%)</f>
        <v>0</v>
      </c>
      <c r="M325" s="41">
        <f>VLOOKUP(Рецепты[[#This Row],[Способ]],Способ[],3,0)</f>
        <v>0.7</v>
      </c>
      <c r="N325" s="43">
        <f>Рецепты[[#This Row],[р]]*100%/(100%-Рецепты[[#This Row],[Потери, %]])+Рецепты[[#This Row],[Маржа]]*(Рецепты[[#This Row],[р]]*100%)/(100%-Рецепты[[#This Row],[Потери, %]])</f>
        <v>16.553670655337665</v>
      </c>
      <c r="O325" s="43">
        <f>Рецепты[[#This Row],[Цена за 1 кг]]-(Рецепты[[#This Row],[р]]*100%/(100%-Рецепты[[#This Row],[Потери, %]]))</f>
        <v>6.8162173286684506</v>
      </c>
      <c r="P325" t="s">
        <v>560</v>
      </c>
      <c r="Q325" s="40" t="s">
        <v>559</v>
      </c>
      <c r="R325" s="44" t="str">
        <f>VLOOKUP(Рецепты[[#This Row],[Состав]],Ингредиенты[],9,0)</f>
        <v>Да</v>
      </c>
      <c r="S325" s="52"/>
    </row>
    <row r="326" spans="1:19" x14ac:dyDescent="0.25">
      <c r="A326" s="40" t="s">
        <v>561</v>
      </c>
      <c r="B326" s="40" t="s">
        <v>21</v>
      </c>
      <c r="C326" s="40" t="str">
        <f>C325</f>
        <v>Вареное</v>
      </c>
      <c r="D326" s="40" t="s">
        <v>70</v>
      </c>
      <c r="E326" s="41" t="str">
        <f>VLOOKUP(Рецепты[[#This Row],[Состав]],Ингредиенты[],2,0)</f>
        <v>Птица</v>
      </c>
      <c r="F326" s="62">
        <v>1</v>
      </c>
      <c r="G326" s="42">
        <f>IF(Рецепты[[#This Row],[%]]*1000&gt;0,Рецепты[[#This Row],[%]]*1000,"")</f>
        <v>1000</v>
      </c>
      <c r="H326" s="43">
        <f>IFERROR(VLOOKUP(Рецепты[[#This Row],[Состав]],Ингредиенты!A:I,3,0)*Рецепты[[#This Row],[г]],"")</f>
        <v>261.1764705882353</v>
      </c>
      <c r="I326" s="42">
        <f>СводРецепт!$A$1</f>
        <v>1000</v>
      </c>
      <c r="J326" s="42">
        <f>Рецепты[[#This Row],[%]]*Рецепты[[#This Row],[Масса]]</f>
        <v>1000</v>
      </c>
      <c r="K326" s="43">
        <f>Рецепты[[#This Row],[Вес ингр-тов]]*VLOOKUP(Рецепты[[#This Row],[Состав]],Ингредиенты[],3,FALSE)</f>
        <v>261.1764705882353</v>
      </c>
      <c r="L326" s="41">
        <f>IF(VLOOKUP(Рецепты[[#This Row],[Состав]],Ингредиенты[],4,0)="Основа",VLOOKUP(Рецепты[[#This Row],[Способ]],Способ[],2,0),0%)</f>
        <v>0.15</v>
      </c>
      <c r="M326" s="41">
        <f>VLOOKUP(Рецепты[[#This Row],[Способ]],Способ[],3,0)</f>
        <v>0.7</v>
      </c>
      <c r="N326" s="43">
        <f>Рецепты[[#This Row],[р]]*100%/(100%-Рецепты[[#This Row],[Потери, %]])+Рецепты[[#This Row],[Маржа]]*(Рецепты[[#This Row],[р]]*100%)/(100%-Рецепты[[#This Row],[Потери, %]])</f>
        <v>522.35294117647061</v>
      </c>
      <c r="O326" s="43">
        <f>Рецепты[[#This Row],[Цена за 1 кг]]-(Рецепты[[#This Row],[р]]*100%/(100%-Рецепты[[#This Row],[Потери, %]]))</f>
        <v>215.08650519031141</v>
      </c>
      <c r="P326" t="s">
        <v>562</v>
      </c>
      <c r="Q326" s="40" t="s">
        <v>563</v>
      </c>
      <c r="R326" s="44" t="str">
        <f>VLOOKUP(Рецепты[[#This Row],[Состав]],Ингредиенты[],9,0)</f>
        <v>Нет</v>
      </c>
      <c r="S326" s="52"/>
    </row>
    <row r="327" spans="1:19" x14ac:dyDescent="0.25">
      <c r="A327" s="40" t="s">
        <v>561</v>
      </c>
      <c r="B327" s="40" t="str">
        <f t="shared" ref="B327:B331" si="43">B326</f>
        <v>Сосиски</v>
      </c>
      <c r="C327" s="40" t="str">
        <f t="shared" ref="C327:C331" si="44">C326</f>
        <v>Вареное</v>
      </c>
      <c r="D327" s="40" t="s">
        <v>121</v>
      </c>
      <c r="E327" s="41" t="str">
        <f>VLOOKUP(Рецепты[[#This Row],[Состав]],Ингредиенты[],2,0)</f>
        <v>Добавки</v>
      </c>
      <c r="F327" s="62">
        <v>0.15</v>
      </c>
      <c r="G327" s="42">
        <f>IF(Рецепты[[#This Row],[%]]*1000&gt;0,Рецепты[[#This Row],[%]]*1000,"")</f>
        <v>150</v>
      </c>
      <c r="H327" s="43">
        <f>IFERROR(VLOOKUP(Рецепты[[#This Row],[Состав]],Ингредиенты!A:I,3,0)*Рецепты[[#This Row],[г]],"")</f>
        <v>75.900000000000006</v>
      </c>
      <c r="I327" s="42">
        <f>СводРецепт!$A$1</f>
        <v>1000</v>
      </c>
      <c r="J327" s="42">
        <f>Рецепты[[#This Row],[%]]*Рецепты[[#This Row],[Масса]]</f>
        <v>150</v>
      </c>
      <c r="K327" s="43">
        <f>Рецепты[[#This Row],[Вес ингр-тов]]*VLOOKUP(Рецепты[[#This Row],[Состав]],Ингредиенты[],3,FALSE)</f>
        <v>75.900000000000006</v>
      </c>
      <c r="L327" s="41">
        <f>IF(VLOOKUP(Рецепты[[#This Row],[Состав]],Ингредиенты[],4,0)="Основа",VLOOKUP(Рецепты[[#This Row],[Способ]],Способ[],2,0),0%)</f>
        <v>0</v>
      </c>
      <c r="M327" s="41">
        <f>VLOOKUP(Рецепты[[#This Row],[Способ]],Способ[],3,0)</f>
        <v>0.7</v>
      </c>
      <c r="N327" s="43">
        <f>Рецепты[[#This Row],[р]]*100%/(100%-Рецепты[[#This Row],[Потери, %]])+Рецепты[[#This Row],[Маржа]]*(Рецепты[[#This Row],[р]]*100%)/(100%-Рецепты[[#This Row],[Потери, %]])</f>
        <v>129.03</v>
      </c>
      <c r="O327" s="43">
        <f>Рецепты[[#This Row],[Цена за 1 кг]]-(Рецепты[[#This Row],[р]]*100%/(100%-Рецепты[[#This Row],[Потери, %]]))</f>
        <v>53.129999999999995</v>
      </c>
      <c r="P327" t="s">
        <v>562</v>
      </c>
      <c r="Q327" s="40" t="s">
        <v>563</v>
      </c>
      <c r="R327" s="44" t="str">
        <f>VLOOKUP(Рецепты[[#This Row],[Состав]],Ингредиенты[],9,0)</f>
        <v>Да</v>
      </c>
      <c r="S327" s="52"/>
    </row>
    <row r="328" spans="1:19" x14ac:dyDescent="0.25">
      <c r="A328" s="40" t="s">
        <v>561</v>
      </c>
      <c r="B328" s="40" t="str">
        <f t="shared" si="43"/>
        <v>Сосиски</v>
      </c>
      <c r="C328" s="40" t="str">
        <f t="shared" si="44"/>
        <v>Вареное</v>
      </c>
      <c r="D328" s="40" t="s">
        <v>125</v>
      </c>
      <c r="E328" s="41" t="str">
        <f>VLOOKUP(Рецепты[[#This Row],[Состав]],Ингредиенты[],2,0)</f>
        <v>Специи</v>
      </c>
      <c r="F328" s="62">
        <v>1.4999999999999999E-2</v>
      </c>
      <c r="G328" s="42">
        <f>IF(Рецепты[[#This Row],[%]]*1000&gt;0,Рецепты[[#This Row],[%]]*1000,"")</f>
        <v>15</v>
      </c>
      <c r="H328" s="43">
        <f>IFERROR(VLOOKUP(Рецепты[[#This Row],[Состав]],Ингредиенты!A:I,3,0)*Рецепты[[#This Row],[г]],"")</f>
        <v>1.92</v>
      </c>
      <c r="I328" s="42">
        <f>СводРецепт!$A$1</f>
        <v>1000</v>
      </c>
      <c r="J328" s="42">
        <f>Рецепты[[#This Row],[%]]*Рецепты[[#This Row],[Масса]]</f>
        <v>15</v>
      </c>
      <c r="K328" s="43">
        <f>Рецепты[[#This Row],[Вес ингр-тов]]*VLOOKUP(Рецепты[[#This Row],[Состав]],Ингредиенты[],3,FALSE)</f>
        <v>1.92</v>
      </c>
      <c r="L328" s="41">
        <f>IF(VLOOKUP(Рецепты[[#This Row],[Состав]],Ингредиенты[],4,0)="Основа",VLOOKUP(Рецепты[[#This Row],[Способ]],Способ[],2,0),0%)</f>
        <v>0</v>
      </c>
      <c r="M328" s="41">
        <f>VLOOKUP(Рецепты[[#This Row],[Способ]],Способ[],3,0)</f>
        <v>0.7</v>
      </c>
      <c r="N328" s="43">
        <f>Рецепты[[#This Row],[р]]*100%/(100%-Рецепты[[#This Row],[Потери, %]])+Рецепты[[#This Row],[Маржа]]*(Рецепты[[#This Row],[р]]*100%)/(100%-Рецепты[[#This Row],[Потери, %]])</f>
        <v>3.2639999999999998</v>
      </c>
      <c r="O328" s="43">
        <f>Рецепты[[#This Row],[Цена за 1 кг]]-(Рецепты[[#This Row],[р]]*100%/(100%-Рецепты[[#This Row],[Потери, %]]))</f>
        <v>1.3439999999999999</v>
      </c>
      <c r="P328" t="s">
        <v>562</v>
      </c>
      <c r="Q328" s="40" t="s">
        <v>563</v>
      </c>
      <c r="R328" s="44" t="str">
        <f>VLOOKUP(Рецепты[[#This Row],[Состав]],Ингредиенты[],9,0)</f>
        <v>Да</v>
      </c>
      <c r="S328" s="52"/>
    </row>
    <row r="329" spans="1:19" x14ac:dyDescent="0.25">
      <c r="A329" s="40" t="s">
        <v>561</v>
      </c>
      <c r="B329" s="40" t="str">
        <f t="shared" si="43"/>
        <v>Сосиски</v>
      </c>
      <c r="C329" s="40" t="str">
        <f t="shared" si="44"/>
        <v>Вареное</v>
      </c>
      <c r="D329" s="40" t="s">
        <v>131</v>
      </c>
      <c r="E329" s="41" t="str">
        <f>VLOOKUP(Рецепты[[#This Row],[Состав]],Ингредиенты[],2,0)</f>
        <v>Специи</v>
      </c>
      <c r="F329" s="62">
        <v>5.0000000000000001E-3</v>
      </c>
      <c r="G329" s="42">
        <f>IF(Рецепты[[#This Row],[%]]*1000&gt;0,Рецепты[[#This Row],[%]]*1000,"")</f>
        <v>5</v>
      </c>
      <c r="H329" s="43">
        <f>IFERROR(VLOOKUP(Рецепты[[#This Row],[Состав]],Ингредиенты!A:I,3,0)*Рецепты[[#This Row],[г]],"")</f>
        <v>0.40441176470588236</v>
      </c>
      <c r="I329" s="42">
        <f>СводРецепт!$A$1</f>
        <v>1000</v>
      </c>
      <c r="J329" s="42">
        <f>Рецепты[[#This Row],[%]]*Рецепты[[#This Row],[Масса]]</f>
        <v>5</v>
      </c>
      <c r="K329" s="43">
        <f>Рецепты[[#This Row],[Вес ингр-тов]]*VLOOKUP(Рецепты[[#This Row],[Состав]],Ингредиенты[],3,FALSE)</f>
        <v>0.40441176470588236</v>
      </c>
      <c r="L329" s="41">
        <f>IF(VLOOKUP(Рецепты[[#This Row],[Состав]],Ингредиенты[],4,0)="Основа",VLOOKUP(Рецепты[[#This Row],[Способ]],Способ[],2,0),0%)</f>
        <v>0</v>
      </c>
      <c r="M329" s="41">
        <f>VLOOKUP(Рецепты[[#This Row],[Способ]],Способ[],3,0)</f>
        <v>0.7</v>
      </c>
      <c r="N329" s="43">
        <f>Рецепты[[#This Row],[р]]*100%/(100%-Рецепты[[#This Row],[Потери, %]])+Рецепты[[#This Row],[Маржа]]*(Рецепты[[#This Row],[р]]*100%)/(100%-Рецепты[[#This Row],[Потери, %]])</f>
        <v>0.6875</v>
      </c>
      <c r="O329" s="43">
        <f>Рецепты[[#This Row],[Цена за 1 кг]]-(Рецепты[[#This Row],[р]]*100%/(100%-Рецепты[[#This Row],[Потери, %]]))</f>
        <v>0.28308823529411764</v>
      </c>
      <c r="P329" t="s">
        <v>562</v>
      </c>
      <c r="Q329" s="40" t="s">
        <v>563</v>
      </c>
      <c r="R329" s="44" t="str">
        <f>VLOOKUP(Рецепты[[#This Row],[Состав]],Ингредиенты[],9,0)</f>
        <v>Да</v>
      </c>
      <c r="S329" s="52"/>
    </row>
    <row r="330" spans="1:19" x14ac:dyDescent="0.25">
      <c r="A330" s="40" t="s">
        <v>561</v>
      </c>
      <c r="B330" s="40" t="str">
        <f t="shared" si="43"/>
        <v>Сосиски</v>
      </c>
      <c r="C330" s="40" t="str">
        <f t="shared" si="44"/>
        <v>Вареное</v>
      </c>
      <c r="D330" s="40" t="s">
        <v>133</v>
      </c>
      <c r="E330" s="41" t="str">
        <f>VLOOKUP(Рецепты[[#This Row],[Состав]],Ингредиенты[],2,0)</f>
        <v>Специи</v>
      </c>
      <c r="F330" s="62">
        <v>1E-3</v>
      </c>
      <c r="G330" s="42">
        <f>IF(Рецепты[[#This Row],[%]]*1000&gt;0,Рецепты[[#This Row],[%]]*1000,"")</f>
        <v>1</v>
      </c>
      <c r="H330" s="43">
        <f>IFERROR(VLOOKUP(Рецепты[[#This Row],[Состав]],Ингредиенты!A:I,3,0)*Рецепты[[#This Row],[г]],"")</f>
        <v>1.0945454545454545</v>
      </c>
      <c r="I330" s="42">
        <f>СводРецепт!$A$1</f>
        <v>1000</v>
      </c>
      <c r="J330" s="42">
        <f>Рецепты[[#This Row],[%]]*Рецепты[[#This Row],[Масса]]</f>
        <v>1</v>
      </c>
      <c r="K330" s="43">
        <f>Рецепты[[#This Row],[Вес ингр-тов]]*VLOOKUP(Рецепты[[#This Row],[Состав]],Ингредиенты[],3,FALSE)</f>
        <v>1.0945454545454545</v>
      </c>
      <c r="L330" s="41">
        <f>IF(VLOOKUP(Рецепты[[#This Row],[Состав]],Ингредиенты[],4,0)="Основа",VLOOKUP(Рецепты[[#This Row],[Способ]],Способ[],2,0),0%)</f>
        <v>0</v>
      </c>
      <c r="M330" s="41">
        <f>VLOOKUP(Рецепты[[#This Row],[Способ]],Способ[],3,0)</f>
        <v>0.7</v>
      </c>
      <c r="N330" s="43">
        <f>Рецепты[[#This Row],[р]]*100%/(100%-Рецепты[[#This Row],[Потери, %]])+Рецепты[[#This Row],[Маржа]]*(Рецепты[[#This Row],[р]]*100%)/(100%-Рецепты[[#This Row],[Потери, %]])</f>
        <v>1.8607272727272726</v>
      </c>
      <c r="O330" s="43">
        <f>Рецепты[[#This Row],[Цена за 1 кг]]-(Рецепты[[#This Row],[р]]*100%/(100%-Рецепты[[#This Row],[Потери, %]]))</f>
        <v>0.76618181818181808</v>
      </c>
      <c r="P330" t="s">
        <v>562</v>
      </c>
      <c r="Q330" s="40" t="s">
        <v>563</v>
      </c>
      <c r="R330" s="44" t="str">
        <f>VLOOKUP(Рецепты[[#This Row],[Состав]],Ингредиенты[],9,0)</f>
        <v>Да</v>
      </c>
      <c r="S330" s="52"/>
    </row>
    <row r="331" spans="1:19" x14ac:dyDescent="0.25">
      <c r="A331" s="40" t="s">
        <v>561</v>
      </c>
      <c r="B331" s="40" t="str">
        <f t="shared" si="43"/>
        <v>Сосиски</v>
      </c>
      <c r="C331" s="40" t="str">
        <f t="shared" si="44"/>
        <v>Вареное</v>
      </c>
      <c r="D331" s="40" t="s">
        <v>149</v>
      </c>
      <c r="E331" s="41" t="str">
        <f>VLOOKUP(Рецепты[[#This Row],[Состав]],Ингредиенты[],2,0)</f>
        <v>Специи</v>
      </c>
      <c r="F331" s="62">
        <v>1E-3</v>
      </c>
      <c r="G331" s="42">
        <f>IF(Рецепты[[#This Row],[%]]*1000&gt;0,Рецепты[[#This Row],[%]]*1000,"")</f>
        <v>1</v>
      </c>
      <c r="H331" s="43">
        <f>IFERROR(VLOOKUP(Рецепты[[#This Row],[Состав]],Ингредиенты!A:I,3,0)*Рецепты[[#This Row],[г]],"")</f>
        <v>2.0772727272727272</v>
      </c>
      <c r="I331" s="42">
        <f>СводРецепт!$A$1</f>
        <v>1000</v>
      </c>
      <c r="J331" s="42">
        <f>Рецепты[[#This Row],[%]]*Рецепты[[#This Row],[Масса]]</f>
        <v>1</v>
      </c>
      <c r="K331" s="43">
        <f>Рецепты[[#This Row],[Вес ингр-тов]]*VLOOKUP(Рецепты[[#This Row],[Состав]],Ингредиенты[],3,FALSE)</f>
        <v>2.0772727272727272</v>
      </c>
      <c r="L331" s="41">
        <f>IF(VLOOKUP(Рецепты[[#This Row],[Состав]],Ингредиенты[],4,0)="Основа",VLOOKUP(Рецепты[[#This Row],[Способ]],Способ[],2,0),0%)</f>
        <v>0</v>
      </c>
      <c r="M331" s="41">
        <f>VLOOKUP(Рецепты[[#This Row],[Способ]],Способ[],3,0)</f>
        <v>0.7</v>
      </c>
      <c r="N331" s="43">
        <f>Рецепты[[#This Row],[р]]*100%/(100%-Рецепты[[#This Row],[Потери, %]])+Рецепты[[#This Row],[Маржа]]*(Рецепты[[#This Row],[р]]*100%)/(100%-Рецепты[[#This Row],[Потери, %]])</f>
        <v>3.5313636363636363</v>
      </c>
      <c r="O331" s="43">
        <f>Рецепты[[#This Row],[Цена за 1 кг]]-(Рецепты[[#This Row],[р]]*100%/(100%-Рецепты[[#This Row],[Потери, %]]))</f>
        <v>1.4540909090909091</v>
      </c>
      <c r="P331" t="s">
        <v>562</v>
      </c>
      <c r="Q331" s="40" t="s">
        <v>563</v>
      </c>
      <c r="R331" s="44" t="str">
        <f>VLOOKUP(Рецепты[[#This Row],[Состав]],Ингредиенты[],9,0)</f>
        <v>Да</v>
      </c>
      <c r="S331" s="52"/>
    </row>
    <row r="332" spans="1:19" x14ac:dyDescent="0.25">
      <c r="A332" s="40" t="s">
        <v>561</v>
      </c>
      <c r="B332" s="40" t="str">
        <f t="shared" ref="B332:C334" si="45">B331</f>
        <v>Сосиски</v>
      </c>
      <c r="C332" s="40" t="str">
        <f t="shared" si="45"/>
        <v>Вареное</v>
      </c>
      <c r="D332" s="40" t="s">
        <v>153</v>
      </c>
      <c r="E332" s="41" t="str">
        <f>VLOOKUP(Рецепты[[#This Row],[Состав]],Ингредиенты[],2,0)</f>
        <v>Специи</v>
      </c>
      <c r="F332" s="62">
        <v>5.0000000000000001E-4</v>
      </c>
      <c r="G332" s="42">
        <f>IF(Рецепты[[#This Row],[%]]*1000&gt;0,Рецепты[[#This Row],[%]]*1000,"")</f>
        <v>0.5</v>
      </c>
      <c r="H332" s="43">
        <f>IFERROR(VLOOKUP(Рецепты[[#This Row],[Состав]],Ингредиенты!A:I,3,0)*Рецепты[[#This Row],[г]],"")</f>
        <v>0.75666666666666671</v>
      </c>
      <c r="I332" s="42">
        <f>СводРецепт!$A$1</f>
        <v>1000</v>
      </c>
      <c r="J332" s="42">
        <f>Рецепты[[#This Row],[%]]*Рецепты[[#This Row],[Масса]]</f>
        <v>0.5</v>
      </c>
      <c r="K332" s="43">
        <f>Рецепты[[#This Row],[Вес ингр-тов]]*VLOOKUP(Рецепты[[#This Row],[Состав]],Ингредиенты[],3,FALSE)</f>
        <v>0.75666666666666671</v>
      </c>
      <c r="L332" s="41">
        <f>IF(VLOOKUP(Рецепты[[#This Row],[Состав]],Ингредиенты[],4,0)="Основа",VLOOKUP(Рецепты[[#This Row],[Способ]],Способ[],2,0),0%)</f>
        <v>0</v>
      </c>
      <c r="M332" s="41">
        <f>VLOOKUP(Рецепты[[#This Row],[Способ]],Способ[],3,0)</f>
        <v>0.7</v>
      </c>
      <c r="N332" s="43">
        <f>Рецепты[[#This Row],[р]]*100%/(100%-Рецепты[[#This Row],[Потери, %]])+Рецепты[[#This Row],[Маржа]]*(Рецепты[[#This Row],[р]]*100%)/(100%-Рецепты[[#This Row],[Потери, %]])</f>
        <v>1.2863333333333333</v>
      </c>
      <c r="O332" s="43">
        <f>Рецепты[[#This Row],[Цена за 1 кг]]-(Рецепты[[#This Row],[р]]*100%/(100%-Рецепты[[#This Row],[Потери, %]]))</f>
        <v>0.52966666666666662</v>
      </c>
      <c r="P332" t="s">
        <v>562</v>
      </c>
      <c r="Q332" s="40" t="s">
        <v>563</v>
      </c>
      <c r="R332" s="44" t="str">
        <f>VLOOKUP(Рецепты[[#This Row],[Состав]],Ингредиенты[],9,0)</f>
        <v>Да</v>
      </c>
      <c r="S332" s="52"/>
    </row>
    <row r="333" spans="1:19" x14ac:dyDescent="0.25">
      <c r="A333" s="40" t="s">
        <v>561</v>
      </c>
      <c r="B333" s="40" t="str">
        <f t="shared" si="45"/>
        <v>Сосиски</v>
      </c>
      <c r="C333" s="40" t="str">
        <f t="shared" si="45"/>
        <v>Вареное</v>
      </c>
      <c r="D333" s="40" t="s">
        <v>157</v>
      </c>
      <c r="E333" s="41" t="str">
        <f>VLOOKUP(Рецепты[[#This Row],[Состав]],Ингредиенты[],2,0)</f>
        <v>Специи</v>
      </c>
      <c r="F333" s="62">
        <v>2E-3</v>
      </c>
      <c r="G333" s="42">
        <f>IF(Рецепты[[#This Row],[%]]*1000&gt;0,Рецепты[[#This Row],[%]]*1000,"")</f>
        <v>2</v>
      </c>
      <c r="H333" s="43">
        <f>IFERROR(VLOOKUP(Рецепты[[#This Row],[Состав]],Ингредиенты!A:I,3,0)*Рецепты[[#This Row],[г]],"")</f>
        <v>1.496</v>
      </c>
      <c r="I333" s="42">
        <f>СводРецепт!$A$1</f>
        <v>1000</v>
      </c>
      <c r="J333" s="42">
        <f>Рецепты[[#This Row],[%]]*Рецепты[[#This Row],[Масса]]</f>
        <v>2</v>
      </c>
      <c r="K333" s="43">
        <f>Рецепты[[#This Row],[Вес ингр-тов]]*VLOOKUP(Рецепты[[#This Row],[Состав]],Ингредиенты[],3,FALSE)</f>
        <v>1.496</v>
      </c>
      <c r="L333" s="41">
        <f>IF(VLOOKUP(Рецепты[[#This Row],[Состав]],Ингредиенты[],4,0)="Основа",VLOOKUP(Рецепты[[#This Row],[Способ]],Способ[],2,0),0%)</f>
        <v>0</v>
      </c>
      <c r="M333" s="41">
        <f>VLOOKUP(Рецепты[[#This Row],[Способ]],Способ[],3,0)</f>
        <v>0.7</v>
      </c>
      <c r="N333" s="43">
        <f>Рецепты[[#This Row],[р]]*100%/(100%-Рецепты[[#This Row],[Потери, %]])+Рецепты[[#This Row],[Маржа]]*(Рецепты[[#This Row],[р]]*100%)/(100%-Рецепты[[#This Row],[Потери, %]])</f>
        <v>2.5431999999999997</v>
      </c>
      <c r="O333" s="43">
        <f>Рецепты[[#This Row],[Цена за 1 кг]]-(Рецепты[[#This Row],[р]]*100%/(100%-Рецепты[[#This Row],[Потери, %]]))</f>
        <v>1.0471999999999997</v>
      </c>
      <c r="P333" t="s">
        <v>562</v>
      </c>
      <c r="Q333" s="40" t="s">
        <v>563</v>
      </c>
      <c r="R333" s="44" t="str">
        <f>VLOOKUP(Рецепты[[#This Row],[Состав]],Ингредиенты[],9,0)</f>
        <v>Да</v>
      </c>
      <c r="S333" s="52"/>
    </row>
    <row r="334" spans="1:19" x14ac:dyDescent="0.25">
      <c r="A334" s="40" t="s">
        <v>561</v>
      </c>
      <c r="B334" s="40" t="str">
        <f t="shared" si="45"/>
        <v>Сосиски</v>
      </c>
      <c r="C334" s="40" t="str">
        <f t="shared" si="45"/>
        <v>Вареное</v>
      </c>
      <c r="D334" s="40" t="s">
        <v>220</v>
      </c>
      <c r="E334" s="41" t="str">
        <f>VLOOKUP(Рецепты[[#This Row],[Состав]],Ингредиенты[],2,0)</f>
        <v>Оболочка</v>
      </c>
      <c r="F334" s="62">
        <v>1E-3</v>
      </c>
      <c r="G334" s="42">
        <f>IF(Рецепты[[#This Row],[%]]*1000&gt;0,Рецепты[[#This Row],[%]]*1000,"")</f>
        <v>1</v>
      </c>
      <c r="H334" s="43">
        <f>IFERROR(VLOOKUP(Рецепты[[#This Row],[Состав]],Ингредиенты!A:I,3,0)*Рецепты[[#This Row],[г]],"")</f>
        <v>39.348206474190725</v>
      </c>
      <c r="I334" s="42">
        <f>СводРецепт!$A$1</f>
        <v>1000</v>
      </c>
      <c r="J334" s="42">
        <f>Рецепты[[#This Row],[%]]*Рецепты[[#This Row],[Масса]]</f>
        <v>1</v>
      </c>
      <c r="K334" s="43">
        <f>Рецепты[[#This Row],[Вес ингр-тов]]*VLOOKUP(Рецепты[[#This Row],[Состав]],Ингредиенты[],3,FALSE)</f>
        <v>39.348206474190725</v>
      </c>
      <c r="L334" s="41">
        <f>IF(VLOOKUP(Рецепты[[#This Row],[Состав]],Ингредиенты[],4,0)="Основа",VLOOKUP(Рецепты[[#This Row],[Способ]],Способ[],2,0),0%)</f>
        <v>0</v>
      </c>
      <c r="M334" s="41">
        <f>VLOOKUP(Рецепты[[#This Row],[Способ]],Способ[],3,0)</f>
        <v>0.7</v>
      </c>
      <c r="N334" s="43">
        <f>Рецепты[[#This Row],[р]]*100%/(100%-Рецепты[[#This Row],[Потери, %]])+Рецепты[[#This Row],[Маржа]]*(Рецепты[[#This Row],[р]]*100%)/(100%-Рецепты[[#This Row],[Потери, %]])</f>
        <v>66.891951006124231</v>
      </c>
      <c r="O334" s="43">
        <f>Рецепты[[#This Row],[Цена за 1 кг]]-(Рецепты[[#This Row],[р]]*100%/(100%-Рецепты[[#This Row],[Потери, %]]))</f>
        <v>27.543744531933505</v>
      </c>
      <c r="P334" t="s">
        <v>562</v>
      </c>
      <c r="Q334" s="40" t="s">
        <v>563</v>
      </c>
      <c r="R334" s="44" t="str">
        <f>VLOOKUP(Рецепты[[#This Row],[Состав]],Ингредиенты[],9,0)</f>
        <v>Нет</v>
      </c>
      <c r="S334" s="52"/>
    </row>
    <row r="335" spans="1:19" x14ac:dyDescent="0.25">
      <c r="A335" s="40" t="s">
        <v>564</v>
      </c>
      <c r="B335" s="40" t="s">
        <v>17</v>
      </c>
      <c r="C335" s="40" t="s">
        <v>9</v>
      </c>
      <c r="D335" s="40" t="s">
        <v>53</v>
      </c>
      <c r="E335" s="41" t="str">
        <f>VLOOKUP(Рецепты[[#This Row],[Состав]],Ингредиенты[],2,0)</f>
        <v>Свинина</v>
      </c>
      <c r="F335" s="62">
        <v>1</v>
      </c>
      <c r="G335" s="42">
        <f>IF(Рецепты[[#This Row],[%]]*1000&gt;0,Рецепты[[#This Row],[%]]*1000,"")</f>
        <v>1000</v>
      </c>
      <c r="H335" s="43">
        <f>IFERROR(VLOOKUP(Рецепты[[#This Row],[Состав]],Ингредиенты!A:I,3,0)*Рецепты[[#This Row],[г]],"")</f>
        <v>580</v>
      </c>
      <c r="I335" s="42">
        <f>СводРецепт!$A$1</f>
        <v>1000</v>
      </c>
      <c r="J335" s="42">
        <f>Рецепты[[#This Row],[%]]*Рецепты[[#This Row],[Масса]]</f>
        <v>1000</v>
      </c>
      <c r="K335" s="43">
        <f>Рецепты[[#This Row],[Вес ингр-тов]]*VLOOKUP(Рецепты[[#This Row],[Состав]],Ингредиенты[],3,FALSE)</f>
        <v>580</v>
      </c>
      <c r="L335" s="41">
        <f>IF(VLOOKUP(Рецепты[[#This Row],[Состав]],Ингредиенты[],4,0)="Основа",VLOOKUP(Рецепты[[#This Row],[Способ]],Способ[],2,0),0%)</f>
        <v>0.15</v>
      </c>
      <c r="M335" s="41">
        <f>VLOOKUP(Рецепты[[#This Row],[Способ]],Способ[],3,0)</f>
        <v>0.7</v>
      </c>
      <c r="N335" s="43">
        <f>Рецепты[[#This Row],[р]]*100%/(100%-Рецепты[[#This Row],[Потери, %]])+Рецепты[[#This Row],[Маржа]]*(Рецепты[[#This Row],[р]]*100%)/(100%-Рецепты[[#This Row],[Потери, %]])</f>
        <v>1160</v>
      </c>
      <c r="O335" s="43">
        <f>Рецепты[[#This Row],[Цена за 1 кг]]-(Рецепты[[#This Row],[р]]*100%/(100%-Рецепты[[#This Row],[Потери, %]]))</f>
        <v>477.64705882352939</v>
      </c>
      <c r="P335" t="s">
        <v>565</v>
      </c>
      <c r="Q335" s="40" t="s">
        <v>566</v>
      </c>
      <c r="R335" s="44" t="str">
        <f>VLOOKUP(Рецепты[[#This Row],[Состав]],Ингредиенты[],9,0)</f>
        <v>Нет</v>
      </c>
      <c r="S335" s="52"/>
    </row>
    <row r="336" spans="1:19" x14ac:dyDescent="0.25">
      <c r="A336" s="40" t="s">
        <v>564</v>
      </c>
      <c r="B336" s="40" t="str">
        <f>B335</f>
        <v>Цельное</v>
      </c>
      <c r="C336" s="40" t="str">
        <f>C335</f>
        <v>Вареное</v>
      </c>
      <c r="D336" s="40" t="s">
        <v>93</v>
      </c>
      <c r="E336" s="41" t="str">
        <f>VLOOKUP(Рецепты[[#This Row],[Состав]],Ингредиенты[],2,0)</f>
        <v>Добавки</v>
      </c>
      <c r="F336" s="62">
        <v>0.15</v>
      </c>
      <c r="G336" s="42">
        <f>IF(Рецепты[[#This Row],[%]]*1000&gt;0,Рецепты[[#This Row],[%]]*1000,"")</f>
        <v>150</v>
      </c>
      <c r="H336" s="43">
        <f>IFERROR(VLOOKUP(Рецепты[[#This Row],[Состав]],Ингредиенты!A:I,3,0)*Рецепты[[#This Row],[г]],"")</f>
        <v>0.15</v>
      </c>
      <c r="I336" s="42">
        <f>СводРецепт!$A$1</f>
        <v>1000</v>
      </c>
      <c r="J336" s="42">
        <f>Рецепты[[#This Row],[%]]*Рецепты[[#This Row],[Масса]]</f>
        <v>150</v>
      </c>
      <c r="K336" s="43">
        <f>Рецепты[[#This Row],[Вес ингр-тов]]*VLOOKUP(Рецепты[[#This Row],[Состав]],Ингредиенты[],3,FALSE)</f>
        <v>0.15</v>
      </c>
      <c r="L336" s="41">
        <f>IF(VLOOKUP(Рецепты[[#This Row],[Состав]],Ингредиенты[],4,0)="Основа",VLOOKUP(Рецепты[[#This Row],[Способ]],Способ[],2,0),0%)</f>
        <v>0</v>
      </c>
      <c r="M336" s="41">
        <f>VLOOKUP(Рецепты[[#This Row],[Способ]],Способ[],3,0)</f>
        <v>0.7</v>
      </c>
      <c r="N336" s="43">
        <f>Рецепты[[#This Row],[р]]*100%/(100%-Рецепты[[#This Row],[Потери, %]])+Рецепты[[#This Row],[Маржа]]*(Рецепты[[#This Row],[р]]*100%)/(100%-Рецепты[[#This Row],[Потери, %]])</f>
        <v>0.255</v>
      </c>
      <c r="O336" s="43">
        <f>Рецепты[[#This Row],[Цена за 1 кг]]-(Рецепты[[#This Row],[р]]*100%/(100%-Рецепты[[#This Row],[Потери, %]]))</f>
        <v>0.10500000000000001</v>
      </c>
      <c r="P336" t="s">
        <v>565</v>
      </c>
      <c r="Q336" s="40" t="s">
        <v>566</v>
      </c>
      <c r="R336" s="44" t="str">
        <f>VLOOKUP(Рецепты[[#This Row],[Состав]],Ингредиенты[],9,0)</f>
        <v>Да</v>
      </c>
      <c r="S336" s="52"/>
    </row>
    <row r="337" spans="1:19" x14ac:dyDescent="0.25">
      <c r="A337" s="40" t="s">
        <v>564</v>
      </c>
      <c r="B337" s="40" t="str">
        <f>B336</f>
        <v>Цельное</v>
      </c>
      <c r="C337" s="40" t="str">
        <f>C336</f>
        <v>Вареное</v>
      </c>
      <c r="D337" s="40" t="s">
        <v>101</v>
      </c>
      <c r="E337" s="41" t="str">
        <f>VLOOKUP(Рецепты[[#This Row],[Состав]],Ингредиенты[],2,0)</f>
        <v>Добавки</v>
      </c>
      <c r="F337" s="62">
        <v>0.02</v>
      </c>
      <c r="G337" s="42">
        <f>IF(Рецепты[[#This Row],[%]]*1000&gt;0,Рецепты[[#This Row],[%]]*1000,"")</f>
        <v>20</v>
      </c>
      <c r="H337" s="43">
        <f>IFERROR(VLOOKUP(Рецепты[[#This Row],[Состав]],Ингредиенты!A:I,3,0)*Рецепты[[#This Row],[г]],"")</f>
        <v>3.3000000000000003</v>
      </c>
      <c r="I337" s="42">
        <f>СводРецепт!$A$1</f>
        <v>1000</v>
      </c>
      <c r="J337" s="42">
        <f>Рецепты[[#This Row],[%]]*Рецепты[[#This Row],[Масса]]</f>
        <v>20</v>
      </c>
      <c r="K337" s="43">
        <f>Рецепты[[#This Row],[Вес ингр-тов]]*VLOOKUP(Рецепты[[#This Row],[Состав]],Ингредиенты[],3,FALSE)</f>
        <v>3.3000000000000003</v>
      </c>
      <c r="L337" s="41">
        <f>IF(VLOOKUP(Рецепты[[#This Row],[Состав]],Ингредиенты[],4,0)="Основа",VLOOKUP(Рецепты[[#This Row],[Способ]],Способ[],2,0),0%)</f>
        <v>0</v>
      </c>
      <c r="M337" s="41">
        <f>VLOOKUP(Рецепты[[#This Row],[Способ]],Способ[],3,0)</f>
        <v>0.7</v>
      </c>
      <c r="N337" s="43">
        <f>Рецепты[[#This Row],[р]]*100%/(100%-Рецепты[[#This Row],[Потери, %]])+Рецепты[[#This Row],[Маржа]]*(Рецепты[[#This Row],[р]]*100%)/(100%-Рецепты[[#This Row],[Потери, %]])</f>
        <v>5.61</v>
      </c>
      <c r="O337" s="43">
        <f>Рецепты[[#This Row],[Цена за 1 кг]]-(Рецепты[[#This Row],[р]]*100%/(100%-Рецепты[[#This Row],[Потери, %]]))</f>
        <v>2.31</v>
      </c>
      <c r="P337" t="s">
        <v>565</v>
      </c>
      <c r="Q337" s="40" t="s">
        <v>566</v>
      </c>
      <c r="R337" s="44" t="str">
        <f>VLOOKUP(Рецепты[[#This Row],[Состав]],Ингредиенты[],9,0)</f>
        <v>Да</v>
      </c>
      <c r="S337" s="52"/>
    </row>
    <row r="338" spans="1:19" x14ac:dyDescent="0.25">
      <c r="A338" s="40" t="s">
        <v>564</v>
      </c>
      <c r="B338" s="40" t="str">
        <f>B336</f>
        <v>Цельное</v>
      </c>
      <c r="C338" s="40" t="str">
        <f>C336</f>
        <v>Вареное</v>
      </c>
      <c r="D338" s="40" t="s">
        <v>191</v>
      </c>
      <c r="E338" s="41" t="str">
        <f>VLOOKUP(Рецепты[[#This Row],[Состав]],Ингредиенты[],2,0)</f>
        <v>Специи</v>
      </c>
      <c r="F338" s="62">
        <v>0.2</v>
      </c>
      <c r="G338" s="42">
        <f>IF(Рецепты[[#This Row],[%]]*1000&gt;0,Рецепты[[#This Row],[%]]*1000,"")</f>
        <v>200</v>
      </c>
      <c r="H338" s="43">
        <f>IFERROR(VLOOKUP(Рецепты[[#This Row],[Состав]],Ингредиенты!A:I,3,0)*Рецепты[[#This Row],[г]],"")</f>
        <v>9.9979999999999993</v>
      </c>
      <c r="I338" s="42">
        <f>СводРецепт!$A$1</f>
        <v>1000</v>
      </c>
      <c r="J338" s="42">
        <f>Рецепты[[#This Row],[%]]*Рецепты[[#This Row],[Масса]]</f>
        <v>200</v>
      </c>
      <c r="K338" s="43">
        <f>Рецепты[[#This Row],[Вес ингр-тов]]*VLOOKUP(Рецепты[[#This Row],[Состав]],Ингредиенты[],3,FALSE)</f>
        <v>9.9979999999999993</v>
      </c>
      <c r="L338" s="41">
        <f>IF(VLOOKUP(Рецепты[[#This Row],[Состав]],Ингредиенты[],4,0)="Основа",VLOOKUP(Рецепты[[#This Row],[Способ]],Способ[],2,0),0%)</f>
        <v>0</v>
      </c>
      <c r="M338" s="41">
        <f>VLOOKUP(Рецепты[[#This Row],[Способ]],Способ[],3,0)</f>
        <v>0.7</v>
      </c>
      <c r="N338" s="43">
        <f>Рецепты[[#This Row],[р]]*100%/(100%-Рецепты[[#This Row],[Потери, %]])+Рецепты[[#This Row],[Маржа]]*(Рецепты[[#This Row],[р]]*100%)/(100%-Рецепты[[#This Row],[Потери, %]])</f>
        <v>16.996599999999997</v>
      </c>
      <c r="O338" s="43">
        <f>Рецепты[[#This Row],[Цена за 1 кг]]-(Рецепты[[#This Row],[р]]*100%/(100%-Рецепты[[#This Row],[Потери, %]]))</f>
        <v>6.9985999999999979</v>
      </c>
      <c r="P338" t="s">
        <v>565</v>
      </c>
      <c r="Q338" s="40" t="s">
        <v>566</v>
      </c>
      <c r="R338" s="44" t="str">
        <f>VLOOKUP(Рецепты[[#This Row],[Состав]],Ингредиенты[],9,0)</f>
        <v>Да</v>
      </c>
      <c r="S338" s="52"/>
    </row>
    <row r="339" spans="1:19" x14ac:dyDescent="0.25">
      <c r="A339" s="40" t="s">
        <v>564</v>
      </c>
      <c r="B339" s="40" t="str">
        <f t="shared" ref="B339:C344" si="46">B338</f>
        <v>Цельное</v>
      </c>
      <c r="C339" s="40" t="str">
        <f t="shared" si="46"/>
        <v>Вареное</v>
      </c>
      <c r="D339" s="40" t="s">
        <v>128</v>
      </c>
      <c r="E339" s="41" t="str">
        <f>VLOOKUP(Рецепты[[#This Row],[Состав]],Ингредиенты[],2,0)</f>
        <v>Специи</v>
      </c>
      <c r="F339" s="62">
        <v>8.0000000000000002E-3</v>
      </c>
      <c r="G339" s="42">
        <f>IF(Рецепты[[#This Row],[%]]*1000&gt;0,Рецепты[[#This Row],[%]]*1000,"")</f>
        <v>8</v>
      </c>
      <c r="H339" s="43">
        <f>IFERROR(VLOOKUP(Рецепты[[#This Row],[Состав]],Ингредиенты!A:I,3,0)*Рецепты[[#This Row],[г]],"")</f>
        <v>0.308</v>
      </c>
      <c r="I339" s="42">
        <f>СводРецепт!$A$1</f>
        <v>1000</v>
      </c>
      <c r="J339" s="42">
        <f>Рецепты[[#This Row],[%]]*Рецепты[[#This Row],[Масса]]</f>
        <v>8</v>
      </c>
      <c r="K339" s="43">
        <f>Рецепты[[#This Row],[Вес ингр-тов]]*VLOOKUP(Рецепты[[#This Row],[Состав]],Ингредиенты[],3,FALSE)</f>
        <v>0.308</v>
      </c>
      <c r="L339" s="41">
        <f>IF(VLOOKUP(Рецепты[[#This Row],[Состав]],Ингредиенты[],4,0)="Основа",VLOOKUP(Рецепты[[#This Row],[Способ]],Способ[],2,0),0%)</f>
        <v>0</v>
      </c>
      <c r="M339" s="41">
        <f>VLOOKUP(Рецепты[[#This Row],[Способ]],Способ[],3,0)</f>
        <v>0.7</v>
      </c>
      <c r="N339" s="43">
        <f>Рецепты[[#This Row],[р]]*100%/(100%-Рецепты[[#This Row],[Потери, %]])+Рецепты[[#This Row],[Маржа]]*(Рецепты[[#This Row],[р]]*100%)/(100%-Рецепты[[#This Row],[Потери, %]])</f>
        <v>0.52359999999999995</v>
      </c>
      <c r="O339" s="43">
        <f>Рецепты[[#This Row],[Цена за 1 кг]]-(Рецепты[[#This Row],[р]]*100%/(100%-Рецепты[[#This Row],[Потери, %]]))</f>
        <v>0.21559999999999996</v>
      </c>
      <c r="P339" t="s">
        <v>565</v>
      </c>
      <c r="Q339" s="40" t="s">
        <v>566</v>
      </c>
      <c r="R339" s="44" t="str">
        <f>VLOOKUP(Рецепты[[#This Row],[Состав]],Ингредиенты[],9,0)</f>
        <v>Да</v>
      </c>
      <c r="S339" s="52"/>
    </row>
    <row r="340" spans="1:19" x14ac:dyDescent="0.25">
      <c r="A340" s="40" t="s">
        <v>564</v>
      </c>
      <c r="B340" s="40" t="str">
        <f t="shared" si="46"/>
        <v>Цельное</v>
      </c>
      <c r="C340" s="40" t="str">
        <f t="shared" si="46"/>
        <v>Вареное</v>
      </c>
      <c r="D340" s="40" t="s">
        <v>133</v>
      </c>
      <c r="E340" s="41" t="str">
        <f>VLOOKUP(Рецепты[[#This Row],[Состав]],Ингредиенты[],2,0)</f>
        <v>Специи</v>
      </c>
      <c r="F340" s="62">
        <v>2E-3</v>
      </c>
      <c r="G340" s="42">
        <f>IF(Рецепты[[#This Row],[%]]*1000&gt;0,Рецепты[[#This Row],[%]]*1000,"")</f>
        <v>2</v>
      </c>
      <c r="H340" s="43">
        <f>IFERROR(VLOOKUP(Рецепты[[#This Row],[Состав]],Ингредиенты!A:I,3,0)*Рецепты[[#This Row],[г]],"")</f>
        <v>2.189090909090909</v>
      </c>
      <c r="I340" s="42">
        <f>СводРецепт!$A$1</f>
        <v>1000</v>
      </c>
      <c r="J340" s="42">
        <f>Рецепты[[#This Row],[%]]*Рецепты[[#This Row],[Масса]]</f>
        <v>2</v>
      </c>
      <c r="K340" s="43">
        <f>Рецепты[[#This Row],[Вес ингр-тов]]*VLOOKUP(Рецепты[[#This Row],[Состав]],Ингредиенты[],3,FALSE)</f>
        <v>2.189090909090909</v>
      </c>
      <c r="L340" s="41">
        <f>IF(VLOOKUP(Рецепты[[#This Row],[Состав]],Ингредиенты[],4,0)="Основа",VLOOKUP(Рецепты[[#This Row],[Способ]],Способ[],2,0),0%)</f>
        <v>0</v>
      </c>
      <c r="M340" s="41">
        <f>VLOOKUP(Рецепты[[#This Row],[Способ]],Способ[],3,0)</f>
        <v>0.7</v>
      </c>
      <c r="N340" s="43">
        <f>Рецепты[[#This Row],[р]]*100%/(100%-Рецепты[[#This Row],[Потери, %]])+Рецепты[[#This Row],[Маржа]]*(Рецепты[[#This Row],[р]]*100%)/(100%-Рецепты[[#This Row],[Потери, %]])</f>
        <v>3.7214545454545451</v>
      </c>
      <c r="O340" s="43">
        <f>Рецепты[[#This Row],[Цена за 1 кг]]-(Рецепты[[#This Row],[р]]*100%/(100%-Рецепты[[#This Row],[Потери, %]]))</f>
        <v>1.5323636363636362</v>
      </c>
      <c r="P340" t="s">
        <v>565</v>
      </c>
      <c r="Q340" s="40" t="s">
        <v>566</v>
      </c>
      <c r="R340" s="44" t="str">
        <f>VLOOKUP(Рецепты[[#This Row],[Состав]],Ингредиенты[],9,0)</f>
        <v>Да</v>
      </c>
      <c r="S340" s="52"/>
    </row>
    <row r="341" spans="1:19" x14ac:dyDescent="0.25">
      <c r="A341" s="40" t="s">
        <v>564</v>
      </c>
      <c r="B341" s="40" t="str">
        <f t="shared" si="46"/>
        <v>Цельное</v>
      </c>
      <c r="C341" s="40" t="str">
        <f t="shared" si="46"/>
        <v>Вареное</v>
      </c>
      <c r="D341" s="40" t="s">
        <v>155</v>
      </c>
      <c r="E341" s="41" t="str">
        <f>VLOOKUP(Рецепты[[#This Row],[Состав]],Ингредиенты[],2,0)</f>
        <v>Специи</v>
      </c>
      <c r="F341" s="62">
        <v>2E-3</v>
      </c>
      <c r="G341" s="42">
        <f>IF(Рецепты[[#This Row],[%]]*1000&gt;0,Рецепты[[#This Row],[%]]*1000,"")</f>
        <v>2</v>
      </c>
      <c r="H341" s="43">
        <f>IFERROR(VLOOKUP(Рецепты[[#This Row],[Состав]],Ингредиенты!A:I,3,0)*Рецепты[[#This Row],[г]],"")</f>
        <v>1.0044444444444445</v>
      </c>
      <c r="I341" s="42">
        <f>СводРецепт!$A$1</f>
        <v>1000</v>
      </c>
      <c r="J341" s="42">
        <f>Рецепты[[#This Row],[%]]*Рецепты[[#This Row],[Масса]]</f>
        <v>2</v>
      </c>
      <c r="K341" s="43">
        <f>Рецепты[[#This Row],[Вес ингр-тов]]*VLOOKUP(Рецепты[[#This Row],[Состав]],Ингредиенты[],3,FALSE)</f>
        <v>1.0044444444444445</v>
      </c>
      <c r="L341" s="41">
        <f>IF(VLOOKUP(Рецепты[[#This Row],[Состав]],Ингредиенты[],4,0)="Основа",VLOOKUP(Рецепты[[#This Row],[Способ]],Способ[],2,0),0%)</f>
        <v>0</v>
      </c>
      <c r="M341" s="41">
        <f>VLOOKUP(Рецепты[[#This Row],[Способ]],Способ[],3,0)</f>
        <v>0.7</v>
      </c>
      <c r="N341" s="43">
        <f>Рецепты[[#This Row],[р]]*100%/(100%-Рецепты[[#This Row],[Потери, %]])+Рецепты[[#This Row],[Маржа]]*(Рецепты[[#This Row],[р]]*100%)/(100%-Рецепты[[#This Row],[Потери, %]])</f>
        <v>1.7075555555555555</v>
      </c>
      <c r="O341" s="43">
        <f>Рецепты[[#This Row],[Цена за 1 кг]]-(Рецепты[[#This Row],[р]]*100%/(100%-Рецепты[[#This Row],[Потери, %]]))</f>
        <v>0.70311111111111102</v>
      </c>
      <c r="P341" t="s">
        <v>565</v>
      </c>
      <c r="Q341" s="40" t="s">
        <v>566</v>
      </c>
      <c r="R341" s="44" t="str">
        <f>VLOOKUP(Рецепты[[#This Row],[Состав]],Ингредиенты[],9,0)</f>
        <v>Да</v>
      </c>
      <c r="S341" s="52"/>
    </row>
    <row r="342" spans="1:19" x14ac:dyDescent="0.25">
      <c r="A342" s="40" t="s">
        <v>564</v>
      </c>
      <c r="B342" s="40" t="str">
        <f t="shared" si="46"/>
        <v>Цельное</v>
      </c>
      <c r="C342" s="40" t="str">
        <f t="shared" si="46"/>
        <v>Вареное</v>
      </c>
      <c r="D342" s="40" t="s">
        <v>197</v>
      </c>
      <c r="E342" s="41" t="str">
        <f>VLOOKUP(Рецепты[[#This Row],[Состав]],Ингредиенты[],2,0)</f>
        <v>Специи</v>
      </c>
      <c r="F342" s="62">
        <v>3.0000000000000001E-3</v>
      </c>
      <c r="G342" s="42">
        <f>IF(Рецепты[[#This Row],[%]]*1000&gt;0,Рецепты[[#This Row],[%]]*1000,"")</f>
        <v>3</v>
      </c>
      <c r="H342" s="43">
        <f>IFERROR(VLOOKUP(Рецепты[[#This Row],[Состав]],Ингредиенты!A:I,3,0)*Рецепты[[#This Row],[г]],"")</f>
        <v>1.407</v>
      </c>
      <c r="I342" s="42">
        <f>СводРецепт!$A$1</f>
        <v>1000</v>
      </c>
      <c r="J342" s="42">
        <f>Рецепты[[#This Row],[%]]*Рецепты[[#This Row],[Масса]]</f>
        <v>3</v>
      </c>
      <c r="K342" s="43">
        <f>Рецепты[[#This Row],[Вес ингр-тов]]*VLOOKUP(Рецепты[[#This Row],[Состав]],Ингредиенты[],3,FALSE)</f>
        <v>1.407</v>
      </c>
      <c r="L342" s="41">
        <f>IF(VLOOKUP(Рецепты[[#This Row],[Состав]],Ингредиенты[],4,0)="Основа",VLOOKUP(Рецепты[[#This Row],[Способ]],Способ[],2,0),0%)</f>
        <v>0</v>
      </c>
      <c r="M342" s="41">
        <f>VLOOKUP(Рецепты[[#This Row],[Способ]],Способ[],3,0)</f>
        <v>0.7</v>
      </c>
      <c r="N342" s="43">
        <f>Рецепты[[#This Row],[р]]*100%/(100%-Рецепты[[#This Row],[Потери, %]])+Рецепты[[#This Row],[Маржа]]*(Рецепты[[#This Row],[р]]*100%)/(100%-Рецепты[[#This Row],[Потери, %]])</f>
        <v>2.3919000000000001</v>
      </c>
      <c r="O342" s="43">
        <f>Рецепты[[#This Row],[Цена за 1 кг]]-(Рецепты[[#This Row],[р]]*100%/(100%-Рецепты[[#This Row],[Потери, %]]))</f>
        <v>0.98490000000000011</v>
      </c>
      <c r="P342" t="s">
        <v>565</v>
      </c>
      <c r="Q342" s="40" t="s">
        <v>566</v>
      </c>
      <c r="R342" s="44" t="str">
        <f>VLOOKUP(Рецепты[[#This Row],[Состав]],Ингредиенты[],9,0)</f>
        <v>Нет</v>
      </c>
      <c r="S342" s="52"/>
    </row>
    <row r="343" spans="1:19" x14ac:dyDescent="0.25">
      <c r="A343" s="40" t="s">
        <v>564</v>
      </c>
      <c r="B343" s="40" t="str">
        <f t="shared" si="46"/>
        <v>Цельное</v>
      </c>
      <c r="C343" s="40" t="str">
        <f t="shared" si="46"/>
        <v>Вареное</v>
      </c>
      <c r="D343" s="40" t="s">
        <v>139</v>
      </c>
      <c r="E343" s="41" t="str">
        <f>VLOOKUP(Рецепты[[#This Row],[Состав]],Ингредиенты[],2,0)</f>
        <v>Специи</v>
      </c>
      <c r="F343" s="62">
        <v>2.0000000000000001E-4</v>
      </c>
      <c r="G343" s="42">
        <f>IF(Рецепты[[#This Row],[%]]*1000&gt;0,Рецепты[[#This Row],[%]]*1000,"")</f>
        <v>0.2</v>
      </c>
      <c r="H343" s="43">
        <f>IFERROR(VLOOKUP(Рецепты[[#This Row],[Состав]],Ингредиенты!A:I,3,0)*Рецепты[[#This Row],[г]],"")</f>
        <v>0.15527272727272728</v>
      </c>
      <c r="I343" s="42">
        <f>СводРецепт!$A$1</f>
        <v>1000</v>
      </c>
      <c r="J343" s="42">
        <f>Рецепты[[#This Row],[%]]*Рецепты[[#This Row],[Масса]]</f>
        <v>0.2</v>
      </c>
      <c r="K343" s="43">
        <f>Рецепты[[#This Row],[Вес ингр-тов]]*VLOOKUP(Рецепты[[#This Row],[Состав]],Ингредиенты[],3,FALSE)</f>
        <v>0.15527272727272728</v>
      </c>
      <c r="L343" s="41">
        <f>IF(VLOOKUP(Рецепты[[#This Row],[Состав]],Ингредиенты[],4,0)="Основа",VLOOKUP(Рецепты[[#This Row],[Способ]],Способ[],2,0),0%)</f>
        <v>0</v>
      </c>
      <c r="M343" s="41">
        <f>VLOOKUP(Рецепты[[#This Row],[Способ]],Способ[],3,0)</f>
        <v>0.7</v>
      </c>
      <c r="N343" s="43">
        <f>Рецепты[[#This Row],[р]]*100%/(100%-Рецепты[[#This Row],[Потери, %]])+Рецепты[[#This Row],[Маржа]]*(Рецепты[[#This Row],[р]]*100%)/(100%-Рецепты[[#This Row],[Потери, %]])</f>
        <v>0.2639636363636364</v>
      </c>
      <c r="O343" s="43">
        <f>Рецепты[[#This Row],[Цена за 1 кг]]-(Рецепты[[#This Row],[р]]*100%/(100%-Рецепты[[#This Row],[Потери, %]]))</f>
        <v>0.10869090909090912</v>
      </c>
      <c r="P343" t="s">
        <v>565</v>
      </c>
      <c r="Q343" s="40" t="s">
        <v>566</v>
      </c>
      <c r="R343" s="44" t="str">
        <f>VLOOKUP(Рецепты[[#This Row],[Состав]],Ингредиенты[],9,0)</f>
        <v>Нет</v>
      </c>
      <c r="S343" s="52"/>
    </row>
    <row r="344" spans="1:19" x14ac:dyDescent="0.25">
      <c r="A344" s="40" t="s">
        <v>564</v>
      </c>
      <c r="B344" s="40" t="str">
        <f t="shared" si="46"/>
        <v>Цельное</v>
      </c>
      <c r="C344" s="40" t="str">
        <f t="shared" si="46"/>
        <v>Вареное</v>
      </c>
      <c r="D344" s="40" t="s">
        <v>201</v>
      </c>
      <c r="E344" s="41" t="str">
        <f>VLOOKUP(Рецепты[[#This Row],[Состав]],Ингредиенты[],2,0)</f>
        <v>Специи</v>
      </c>
      <c r="F344" s="62">
        <v>5.0000000000000001E-4</v>
      </c>
      <c r="G344" s="42">
        <f>IF(Рецепты[[#This Row],[%]]*1000&gt;0,Рецепты[[#This Row],[%]]*1000,"")</f>
        <v>0.5</v>
      </c>
      <c r="H344" s="43">
        <f>IFERROR(VLOOKUP(Рецепты[[#This Row],[Состав]],Ингредиенты!A:I,3,0)*Рецепты[[#This Row],[г]],"")</f>
        <v>0.29099999999999998</v>
      </c>
      <c r="I344" s="42">
        <f>СводРецепт!$A$1</f>
        <v>1000</v>
      </c>
      <c r="J344" s="42">
        <f>Рецепты[[#This Row],[%]]*Рецепты[[#This Row],[Масса]]</f>
        <v>0.5</v>
      </c>
      <c r="K344" s="43">
        <f>Рецепты[[#This Row],[Вес ингр-тов]]*VLOOKUP(Рецепты[[#This Row],[Состав]],Ингредиенты[],3,FALSE)</f>
        <v>0.29099999999999998</v>
      </c>
      <c r="L344" s="41">
        <f>IF(VLOOKUP(Рецепты[[#This Row],[Состав]],Ингредиенты[],4,0)="Основа",VLOOKUP(Рецепты[[#This Row],[Способ]],Способ[],2,0),0%)</f>
        <v>0</v>
      </c>
      <c r="M344" s="41">
        <f>VLOOKUP(Рецепты[[#This Row],[Способ]],Способ[],3,0)</f>
        <v>0.7</v>
      </c>
      <c r="N344" s="43">
        <f>Рецепты[[#This Row],[р]]*100%/(100%-Рецепты[[#This Row],[Потери, %]])+Рецепты[[#This Row],[Маржа]]*(Рецепты[[#This Row],[р]]*100%)/(100%-Рецепты[[#This Row],[Потери, %]])</f>
        <v>0.49469999999999992</v>
      </c>
      <c r="O344" s="43">
        <f>Рецепты[[#This Row],[Цена за 1 кг]]-(Рецепты[[#This Row],[р]]*100%/(100%-Рецепты[[#This Row],[Потери, %]]))</f>
        <v>0.20369999999999994</v>
      </c>
      <c r="P344" t="s">
        <v>565</v>
      </c>
      <c r="Q344" s="40" t="s">
        <v>566</v>
      </c>
      <c r="R344" s="44" t="str">
        <f>VLOOKUP(Рецепты[[#This Row],[Состав]],Ингредиенты[],9,0)</f>
        <v>Нет</v>
      </c>
      <c r="S344" s="52"/>
    </row>
    <row r="345" spans="1:19" x14ac:dyDescent="0.25">
      <c r="A345" s="40" t="s">
        <v>567</v>
      </c>
      <c r="B345" s="40" t="s">
        <v>30</v>
      </c>
      <c r="C345" s="40" t="s">
        <v>30</v>
      </c>
      <c r="D345" s="40" t="s">
        <v>49</v>
      </c>
      <c r="E345" s="41" t="str">
        <f>VLOOKUP(Рецепты[[#This Row],[Состав]],Ингредиенты[],2,0)</f>
        <v>Свинина</v>
      </c>
      <c r="F345" s="62">
        <v>0.5</v>
      </c>
      <c r="G345" s="42">
        <f>IF(Рецепты[[#This Row],[%]]*1000&gt;0,Рецепты[[#This Row],[%]]*1000,"")</f>
        <v>500</v>
      </c>
      <c r="H345" s="43">
        <f>IFERROR(VLOOKUP(Рецепты[[#This Row],[Состав]],Ингредиенты!A:I,3,0)*Рецепты[[#This Row],[г]],"")</f>
        <v>184.5</v>
      </c>
      <c r="I345" s="42">
        <f>СводРецепт!$A$1</f>
        <v>1000</v>
      </c>
      <c r="J345" s="42">
        <f>Рецепты[[#This Row],[%]]*Рецепты[[#This Row],[Масса]]</f>
        <v>500</v>
      </c>
      <c r="K345" s="43">
        <f>Рецепты[[#This Row],[Вес ингр-тов]]*VLOOKUP(Рецепты[[#This Row],[Состав]],Ингредиенты[],3,FALSE)</f>
        <v>184.5</v>
      </c>
      <c r="L345" s="41">
        <f>IF(VLOOKUP(Рецепты[[#This Row],[Состав]],Ингредиенты[],4,0)="Основа",VLOOKUP(Рецепты[[#This Row],[Способ]],Способ[],2,0),0%)</f>
        <v>0.05</v>
      </c>
      <c r="M345" s="41">
        <f>VLOOKUP(Рецепты[[#This Row],[Способ]],Способ[],3,0)</f>
        <v>0.5</v>
      </c>
      <c r="N345" s="43">
        <f>Рецепты[[#This Row],[р]]*100%/(100%-Рецепты[[#This Row],[Потери, %]])+Рецепты[[#This Row],[Маржа]]*(Рецепты[[#This Row],[р]]*100%)/(100%-Рецепты[[#This Row],[Потери, %]])</f>
        <v>291.31578947368422</v>
      </c>
      <c r="O345" s="43">
        <f>Рецепты[[#This Row],[Цена за 1 кг]]-(Рецепты[[#This Row],[р]]*100%/(100%-Рецепты[[#This Row],[Потери, %]]))</f>
        <v>97.10526315789474</v>
      </c>
      <c r="P345" t="s">
        <v>568</v>
      </c>
      <c r="Q345" s="40"/>
      <c r="R345" s="44" t="str">
        <f>VLOOKUP(Рецепты[[#This Row],[Состав]],Ингредиенты[],9,0)</f>
        <v>Да</v>
      </c>
      <c r="S345" s="52"/>
    </row>
    <row r="346" spans="1:19" x14ac:dyDescent="0.25">
      <c r="A346" s="40" t="s">
        <v>567</v>
      </c>
      <c r="B346" s="40" t="str">
        <f t="shared" ref="B346:B353" si="47">B345</f>
        <v>Еда</v>
      </c>
      <c r="C346" s="40" t="str">
        <f t="shared" ref="C346:C353" si="48">C345</f>
        <v>Еда</v>
      </c>
      <c r="D346" s="40" t="s">
        <v>12</v>
      </c>
      <c r="E346" s="41" t="str">
        <f>VLOOKUP(Рецепты[[#This Row],[Состав]],Ингредиенты[],2,0)</f>
        <v>Говядина</v>
      </c>
      <c r="F346" s="62">
        <v>0.5</v>
      </c>
      <c r="G346" s="42">
        <f>IF(Рецепты[[#This Row],[%]]*1000&gt;0,Рецепты[[#This Row],[%]]*1000,"")</f>
        <v>500</v>
      </c>
      <c r="H346" s="43">
        <f>IFERROR(VLOOKUP(Рецепты[[#This Row],[Состав]],Ингредиенты!A:I,3,0)*Рецепты[[#This Row],[г]],"")</f>
        <v>354.995</v>
      </c>
      <c r="I346" s="42">
        <f>СводРецепт!$A$1</f>
        <v>1000</v>
      </c>
      <c r="J346" s="42">
        <f>Рецепты[[#This Row],[%]]*Рецепты[[#This Row],[Масса]]</f>
        <v>500</v>
      </c>
      <c r="K346" s="43">
        <f>Рецепты[[#This Row],[Вес ингр-тов]]*VLOOKUP(Рецепты[[#This Row],[Состав]],Ингредиенты[],3,FALSE)</f>
        <v>354.995</v>
      </c>
      <c r="L346" s="41">
        <f>IF(VLOOKUP(Рецепты[[#This Row],[Состав]],Ингредиенты[],4,0)="Основа",VLOOKUP(Рецепты[[#This Row],[Способ]],Способ[],2,0),0%)</f>
        <v>0.05</v>
      </c>
      <c r="M346" s="41">
        <f>VLOOKUP(Рецепты[[#This Row],[Способ]],Способ[],3,0)</f>
        <v>0.5</v>
      </c>
      <c r="N346" s="43">
        <f>Рецепты[[#This Row],[р]]*100%/(100%-Рецепты[[#This Row],[Потери, %]])+Рецепты[[#This Row],[Маржа]]*(Рецепты[[#This Row],[р]]*100%)/(100%-Рецепты[[#This Row],[Потери, %]])</f>
        <v>560.51842105263154</v>
      </c>
      <c r="O346" s="43">
        <f>Рецепты[[#This Row],[Цена за 1 кг]]-(Рецепты[[#This Row],[р]]*100%/(100%-Рецепты[[#This Row],[Потери, %]]))</f>
        <v>186.83947368421047</v>
      </c>
      <c r="P346" t="s">
        <v>568</v>
      </c>
      <c r="Q346" s="40"/>
      <c r="R346" s="44" t="str">
        <f>VLOOKUP(Рецепты[[#This Row],[Состав]],Ингредиенты[],9,0)</f>
        <v>Да</v>
      </c>
      <c r="S346" s="52"/>
    </row>
    <row r="347" spans="1:19" x14ac:dyDescent="0.25">
      <c r="A347" s="40" t="s">
        <v>567</v>
      </c>
      <c r="B347" s="40" t="str">
        <f t="shared" si="47"/>
        <v>Еда</v>
      </c>
      <c r="C347" s="40" t="str">
        <f t="shared" si="48"/>
        <v>Еда</v>
      </c>
      <c r="D347" s="40" t="s">
        <v>191</v>
      </c>
      <c r="E347" s="41" t="str">
        <f>VLOOKUP(Рецепты[[#This Row],[Состав]],Ингредиенты[],2,0)</f>
        <v>Специи</v>
      </c>
      <c r="F347" s="62">
        <v>0.5</v>
      </c>
      <c r="G347" s="42">
        <f>IF(Рецепты[[#This Row],[%]]*1000&gt;0,Рецепты[[#This Row],[%]]*1000,"")</f>
        <v>500</v>
      </c>
      <c r="H347" s="43">
        <f>IFERROR(VLOOKUP(Рецепты[[#This Row],[Состав]],Ингредиенты!A:I,3,0)*Рецепты[[#This Row],[г]],"")</f>
        <v>24.995000000000001</v>
      </c>
      <c r="I347" s="42">
        <f>СводРецепт!$A$1</f>
        <v>1000</v>
      </c>
      <c r="J347" s="42">
        <f>Рецепты[[#This Row],[%]]*Рецепты[[#This Row],[Масса]]</f>
        <v>500</v>
      </c>
      <c r="K347" s="43">
        <f>Рецепты[[#This Row],[Вес ингр-тов]]*VLOOKUP(Рецепты[[#This Row],[Состав]],Ингредиенты[],3,FALSE)</f>
        <v>24.995000000000001</v>
      </c>
      <c r="L347" s="41">
        <f>IF(VLOOKUP(Рецепты[[#This Row],[Состав]],Ингредиенты[],4,0)="Основа",VLOOKUP(Рецепты[[#This Row],[Способ]],Способ[],2,0),0%)</f>
        <v>0</v>
      </c>
      <c r="M347" s="41">
        <f>VLOOKUP(Рецепты[[#This Row],[Способ]],Способ[],3,0)</f>
        <v>0.5</v>
      </c>
      <c r="N347" s="43">
        <f>Рецепты[[#This Row],[р]]*100%/(100%-Рецепты[[#This Row],[Потери, %]])+Рецепты[[#This Row],[Маржа]]*(Рецепты[[#This Row],[р]]*100%)/(100%-Рецепты[[#This Row],[Потери, %]])</f>
        <v>37.4925</v>
      </c>
      <c r="O347" s="43">
        <f>Рецепты[[#This Row],[Цена за 1 кг]]-(Рецепты[[#This Row],[р]]*100%/(100%-Рецепты[[#This Row],[Потери, %]]))</f>
        <v>12.497499999999999</v>
      </c>
      <c r="P347" t="s">
        <v>568</v>
      </c>
      <c r="Q347" s="40"/>
      <c r="R347" s="44" t="str">
        <f>VLOOKUP(Рецепты[[#This Row],[Состав]],Ингредиенты[],9,0)</f>
        <v>Да</v>
      </c>
      <c r="S347" s="52"/>
    </row>
    <row r="348" spans="1:19" x14ac:dyDescent="0.25">
      <c r="A348" s="40" t="s">
        <v>567</v>
      </c>
      <c r="B348" s="40" t="str">
        <f t="shared" si="47"/>
        <v>Еда</v>
      </c>
      <c r="C348" s="40" t="str">
        <f t="shared" si="48"/>
        <v>Еда</v>
      </c>
      <c r="D348" s="40" t="s">
        <v>128</v>
      </c>
      <c r="E348" s="41" t="str">
        <f>VLOOKUP(Рецепты[[#This Row],[Состав]],Ингредиенты[],2,0)</f>
        <v>Специи</v>
      </c>
      <c r="F348" s="62">
        <v>0.01</v>
      </c>
      <c r="G348" s="42">
        <f>IF(Рецепты[[#This Row],[%]]*1000&gt;0,Рецепты[[#This Row],[%]]*1000,"")</f>
        <v>10</v>
      </c>
      <c r="H348" s="43">
        <f>IFERROR(VLOOKUP(Рецепты[[#This Row],[Состав]],Ингредиенты!A:I,3,0)*Рецепты[[#This Row],[г]],"")</f>
        <v>0.38500000000000001</v>
      </c>
      <c r="I348" s="42">
        <f>СводРецепт!$A$1</f>
        <v>1000</v>
      </c>
      <c r="J348" s="42">
        <f>Рецепты[[#This Row],[%]]*Рецепты[[#This Row],[Масса]]</f>
        <v>10</v>
      </c>
      <c r="K348" s="43">
        <f>Рецепты[[#This Row],[Вес ингр-тов]]*VLOOKUP(Рецепты[[#This Row],[Состав]],Ингредиенты[],3,FALSE)</f>
        <v>0.38500000000000001</v>
      </c>
      <c r="L348" s="41">
        <f>IF(VLOOKUP(Рецепты[[#This Row],[Состав]],Ингредиенты[],4,0)="Основа",VLOOKUP(Рецепты[[#This Row],[Способ]],Способ[],2,0),0%)</f>
        <v>0</v>
      </c>
      <c r="M348" s="41">
        <f>VLOOKUP(Рецепты[[#This Row],[Способ]],Способ[],3,0)</f>
        <v>0.5</v>
      </c>
      <c r="N348" s="43">
        <f>Рецепты[[#This Row],[р]]*100%/(100%-Рецепты[[#This Row],[Потери, %]])+Рецепты[[#This Row],[Маржа]]*(Рецепты[[#This Row],[р]]*100%)/(100%-Рецепты[[#This Row],[Потери, %]])</f>
        <v>0.57750000000000001</v>
      </c>
      <c r="O348" s="43">
        <f>Рецепты[[#This Row],[Цена за 1 кг]]-(Рецепты[[#This Row],[р]]*100%/(100%-Рецепты[[#This Row],[Потери, %]]))</f>
        <v>0.1925</v>
      </c>
      <c r="P348" t="s">
        <v>568</v>
      </c>
      <c r="Q348" s="40"/>
      <c r="R348" s="44" t="str">
        <f>VLOOKUP(Рецепты[[#This Row],[Состав]],Ингредиенты[],9,0)</f>
        <v>Да</v>
      </c>
      <c r="S348" s="52"/>
    </row>
    <row r="349" spans="1:19" x14ac:dyDescent="0.25">
      <c r="A349" s="40" t="s">
        <v>567</v>
      </c>
      <c r="B349" s="40" t="str">
        <f t="shared" si="47"/>
        <v>Еда</v>
      </c>
      <c r="C349" s="40" t="str">
        <f t="shared" si="48"/>
        <v>Еда</v>
      </c>
      <c r="D349" s="40" t="s">
        <v>133</v>
      </c>
      <c r="E349" s="41" t="str">
        <f>VLOOKUP(Рецепты[[#This Row],[Состав]],Ингредиенты[],2,0)</f>
        <v>Специи</v>
      </c>
      <c r="F349" s="62">
        <v>8.0000000000000002E-3</v>
      </c>
      <c r="G349" s="42">
        <f>IF(Рецепты[[#This Row],[%]]*1000&gt;0,Рецепты[[#This Row],[%]]*1000,"")</f>
        <v>8</v>
      </c>
      <c r="H349" s="43">
        <f>IFERROR(VLOOKUP(Рецепты[[#This Row],[Состав]],Ингредиенты!A:I,3,0)*Рецепты[[#This Row],[г]],"")</f>
        <v>8.7563636363636359</v>
      </c>
      <c r="I349" s="42">
        <f>СводРецепт!$A$1</f>
        <v>1000</v>
      </c>
      <c r="J349" s="42">
        <f>Рецепты[[#This Row],[%]]*Рецепты[[#This Row],[Масса]]</f>
        <v>8</v>
      </c>
      <c r="K349" s="43">
        <f>Рецепты[[#This Row],[Вес ингр-тов]]*VLOOKUP(Рецепты[[#This Row],[Состав]],Ингредиенты[],3,FALSE)</f>
        <v>8.7563636363636359</v>
      </c>
      <c r="L349" s="41">
        <f>IF(VLOOKUP(Рецепты[[#This Row],[Состав]],Ингредиенты[],4,0)="Основа",VLOOKUP(Рецепты[[#This Row],[Способ]],Способ[],2,0),0%)</f>
        <v>0</v>
      </c>
      <c r="M349" s="41">
        <f>VLOOKUP(Рецепты[[#This Row],[Способ]],Способ[],3,0)</f>
        <v>0.5</v>
      </c>
      <c r="N349" s="43">
        <f>Рецепты[[#This Row],[р]]*100%/(100%-Рецепты[[#This Row],[Потери, %]])+Рецепты[[#This Row],[Маржа]]*(Рецепты[[#This Row],[р]]*100%)/(100%-Рецепты[[#This Row],[Потери, %]])</f>
        <v>13.134545454545453</v>
      </c>
      <c r="O349" s="43">
        <f>Рецепты[[#This Row],[Цена за 1 кг]]-(Рецепты[[#This Row],[р]]*100%/(100%-Рецепты[[#This Row],[Потери, %]]))</f>
        <v>4.3781818181818171</v>
      </c>
      <c r="P349" t="s">
        <v>568</v>
      </c>
      <c r="Q349" s="40"/>
      <c r="R349" s="44" t="str">
        <f>VLOOKUP(Рецепты[[#This Row],[Состав]],Ингредиенты[],9,0)</f>
        <v>Да</v>
      </c>
      <c r="S349" s="52"/>
    </row>
    <row r="350" spans="1:19" x14ac:dyDescent="0.25">
      <c r="A350" s="40" t="s">
        <v>567</v>
      </c>
      <c r="B350" s="40" t="str">
        <f t="shared" si="47"/>
        <v>Еда</v>
      </c>
      <c r="C350" s="40" t="str">
        <f t="shared" si="48"/>
        <v>Еда</v>
      </c>
      <c r="D350" s="40" t="s">
        <v>94</v>
      </c>
      <c r="E350" s="41" t="str">
        <f>VLOOKUP(Рецепты[[#This Row],[Состав]],Ингредиенты[],2,0)</f>
        <v>Добавки</v>
      </c>
      <c r="F350" s="62">
        <v>0.5</v>
      </c>
      <c r="G350" s="42">
        <f>IF(Рецепты[[#This Row],[%]]*1000&gt;0,Рецепты[[#This Row],[%]]*1000,"")</f>
        <v>500</v>
      </c>
      <c r="H350" s="43">
        <f>IFERROR(VLOOKUP(Рецепты[[#This Row],[Состав]],Ингредиенты!A:I,3,0)*Рецепты[[#This Row],[г]],"")</f>
        <v>24.2</v>
      </c>
      <c r="I350" s="42">
        <f>СводРецепт!$A$1</f>
        <v>1000</v>
      </c>
      <c r="J350" s="42">
        <f>Рецепты[[#This Row],[%]]*Рецепты[[#This Row],[Масса]]</f>
        <v>500</v>
      </c>
      <c r="K350" s="43">
        <f>Рецепты[[#This Row],[Вес ингр-тов]]*VLOOKUP(Рецепты[[#This Row],[Состав]],Ингредиенты[],3,FALSE)</f>
        <v>24.2</v>
      </c>
      <c r="L350" s="41">
        <f>IF(VLOOKUP(Рецепты[[#This Row],[Состав]],Ингредиенты[],4,0)="Основа",VLOOKUP(Рецепты[[#This Row],[Способ]],Способ[],2,0),0%)</f>
        <v>0</v>
      </c>
      <c r="M350" s="41">
        <f>VLOOKUP(Рецепты[[#This Row],[Способ]],Способ[],3,0)</f>
        <v>0.5</v>
      </c>
      <c r="N350" s="43">
        <f>Рецепты[[#This Row],[р]]*100%/(100%-Рецепты[[#This Row],[Потери, %]])+Рецепты[[#This Row],[Маржа]]*(Рецепты[[#This Row],[р]]*100%)/(100%-Рецепты[[#This Row],[Потери, %]])</f>
        <v>36.299999999999997</v>
      </c>
      <c r="O350" s="43">
        <f>Рецепты[[#This Row],[Цена за 1 кг]]-(Рецепты[[#This Row],[р]]*100%/(100%-Рецепты[[#This Row],[Потери, %]]))</f>
        <v>12.099999999999998</v>
      </c>
      <c r="P350" t="s">
        <v>568</v>
      </c>
      <c r="Q350" s="40"/>
      <c r="R350" s="44" t="str">
        <f>VLOOKUP(Рецепты[[#This Row],[Состав]],Ингредиенты[],9,0)</f>
        <v>Да</v>
      </c>
      <c r="S350" s="52"/>
    </row>
    <row r="351" spans="1:19" x14ac:dyDescent="0.25">
      <c r="A351" s="40" t="s">
        <v>567</v>
      </c>
      <c r="B351" s="40" t="str">
        <f t="shared" si="47"/>
        <v>Еда</v>
      </c>
      <c r="C351" s="40" t="str">
        <f t="shared" si="48"/>
        <v>Еда</v>
      </c>
      <c r="D351" s="40" t="s">
        <v>93</v>
      </c>
      <c r="E351" s="41" t="str">
        <f>VLOOKUP(Рецепты[[#This Row],[Состав]],Ингредиенты[],2,0)</f>
        <v>Добавки</v>
      </c>
      <c r="F351" s="62">
        <v>0.25</v>
      </c>
      <c r="G351" s="42">
        <f>IF(Рецепты[[#This Row],[%]]*1000&gt;0,Рецепты[[#This Row],[%]]*1000,"")</f>
        <v>250</v>
      </c>
      <c r="H351" s="43">
        <f>IFERROR(VLOOKUP(Рецепты[[#This Row],[Состав]],Ингредиенты!A:I,3,0)*Рецепты[[#This Row],[г]],"")</f>
        <v>0.25</v>
      </c>
      <c r="I351" s="42">
        <f>СводРецепт!$A$1</f>
        <v>1000</v>
      </c>
      <c r="J351" s="42">
        <f>Рецепты[[#This Row],[%]]*Рецепты[[#This Row],[Масса]]</f>
        <v>250</v>
      </c>
      <c r="K351" s="43">
        <f>Рецепты[[#This Row],[Вес ингр-тов]]*VLOOKUP(Рецепты[[#This Row],[Состав]],Ингредиенты[],3,FALSE)</f>
        <v>0.25</v>
      </c>
      <c r="L351" s="41">
        <f>IF(VLOOKUP(Рецепты[[#This Row],[Состав]],Ингредиенты[],4,0)="Основа",VLOOKUP(Рецепты[[#This Row],[Способ]],Способ[],2,0),0%)</f>
        <v>0</v>
      </c>
      <c r="M351" s="41">
        <f>VLOOKUP(Рецепты[[#This Row],[Способ]],Способ[],3,0)</f>
        <v>0.5</v>
      </c>
      <c r="N351" s="43">
        <f>Рецепты[[#This Row],[р]]*100%/(100%-Рецепты[[#This Row],[Потери, %]])+Рецепты[[#This Row],[Маржа]]*(Рецепты[[#This Row],[р]]*100%)/(100%-Рецепты[[#This Row],[Потери, %]])</f>
        <v>0.375</v>
      </c>
      <c r="O351" s="43">
        <f>Рецепты[[#This Row],[Цена за 1 кг]]-(Рецепты[[#This Row],[р]]*100%/(100%-Рецепты[[#This Row],[Потери, %]]))</f>
        <v>0.125</v>
      </c>
      <c r="P351" t="s">
        <v>568</v>
      </c>
      <c r="Q351" s="40"/>
      <c r="R351" s="44" t="str">
        <f>VLOOKUP(Рецепты[[#This Row],[Состав]],Ингредиенты[],9,0)</f>
        <v>Да</v>
      </c>
      <c r="S351" s="52"/>
    </row>
    <row r="352" spans="1:19" x14ac:dyDescent="0.25">
      <c r="A352" s="40" t="s">
        <v>567</v>
      </c>
      <c r="B352" s="40" t="str">
        <f t="shared" si="47"/>
        <v>Еда</v>
      </c>
      <c r="C352" s="40" t="str">
        <f t="shared" si="48"/>
        <v>Еда</v>
      </c>
      <c r="D352" s="40" t="s">
        <v>92</v>
      </c>
      <c r="E352" s="41" t="str">
        <f>VLOOKUP(Рецепты[[#This Row],[Состав]],Ингредиенты[],2,0)</f>
        <v>Добавки</v>
      </c>
      <c r="F352" s="62">
        <v>0.06</v>
      </c>
      <c r="G352" s="42">
        <f>IF(Рецепты[[#This Row],[%]]*1000&gt;0,Рецепты[[#This Row],[%]]*1000,"")</f>
        <v>60</v>
      </c>
      <c r="H352" s="43">
        <f>IFERROR(VLOOKUP(Рецепты[[#This Row],[Состав]],Ингредиенты!A:I,3,0)*Рецепты[[#This Row],[г]],"")</f>
        <v>6.6666666666666661</v>
      </c>
      <c r="I352" s="42">
        <f>СводРецепт!$A$1</f>
        <v>1000</v>
      </c>
      <c r="J352" s="42">
        <f>Рецепты[[#This Row],[%]]*Рецепты[[#This Row],[Масса]]</f>
        <v>60</v>
      </c>
      <c r="K352" s="43">
        <f>Рецепты[[#This Row],[Вес ингр-тов]]*VLOOKUP(Рецепты[[#This Row],[Состав]],Ингредиенты[],3,FALSE)</f>
        <v>6.6666666666666661</v>
      </c>
      <c r="L352" s="41">
        <f>IF(VLOOKUP(Рецепты[[#This Row],[Состав]],Ингредиенты[],4,0)="Основа",VLOOKUP(Рецепты[[#This Row],[Способ]],Способ[],2,0),0%)</f>
        <v>0</v>
      </c>
      <c r="M352" s="41">
        <f>VLOOKUP(Рецепты[[#This Row],[Способ]],Способ[],3,0)</f>
        <v>0.5</v>
      </c>
      <c r="N352" s="43">
        <f>Рецепты[[#This Row],[р]]*100%/(100%-Рецепты[[#This Row],[Потери, %]])+Рецепты[[#This Row],[Маржа]]*(Рецепты[[#This Row],[р]]*100%)/(100%-Рецепты[[#This Row],[Потери, %]])</f>
        <v>10</v>
      </c>
      <c r="O352" s="43">
        <f>Рецепты[[#This Row],[Цена за 1 кг]]-(Рецепты[[#This Row],[р]]*100%/(100%-Рецепты[[#This Row],[Потери, %]]))</f>
        <v>3.3333333333333339</v>
      </c>
      <c r="P352" t="s">
        <v>568</v>
      </c>
      <c r="Q352" s="40"/>
      <c r="R352" s="44" t="str">
        <f>VLOOKUP(Рецепты[[#This Row],[Состав]],Ингредиенты[],9,0)</f>
        <v>Да</v>
      </c>
      <c r="S352" s="52"/>
    </row>
    <row r="353" spans="1:19" x14ac:dyDescent="0.25">
      <c r="A353" s="40" t="s">
        <v>567</v>
      </c>
      <c r="B353" s="40" t="str">
        <f t="shared" si="47"/>
        <v>Еда</v>
      </c>
      <c r="C353" s="40" t="str">
        <f t="shared" si="48"/>
        <v>Еда</v>
      </c>
      <c r="D353" s="40" t="s">
        <v>101</v>
      </c>
      <c r="E353" s="41" t="str">
        <f>VLOOKUP(Рецепты[[#This Row],[Состав]],Ингредиенты[],2,0)</f>
        <v>Добавки</v>
      </c>
      <c r="F353" s="62">
        <v>1.4999999999999999E-2</v>
      </c>
      <c r="G353" s="42">
        <f>IF(Рецепты[[#This Row],[%]]*1000&gt;0,Рецепты[[#This Row],[%]]*1000,"")</f>
        <v>15</v>
      </c>
      <c r="H353" s="43">
        <f>IFERROR(VLOOKUP(Рецепты[[#This Row],[Состав]],Ингредиенты!A:I,3,0)*Рецепты[[#This Row],[г]],"")</f>
        <v>2.4750000000000001</v>
      </c>
      <c r="I353" s="42">
        <f>СводРецепт!$A$1</f>
        <v>1000</v>
      </c>
      <c r="J353" s="42">
        <f>Рецепты[[#This Row],[%]]*Рецепты[[#This Row],[Масса]]</f>
        <v>15</v>
      </c>
      <c r="K353" s="43">
        <f>Рецепты[[#This Row],[Вес ингр-тов]]*VLOOKUP(Рецепты[[#This Row],[Состав]],Ингредиенты[],3,FALSE)</f>
        <v>2.4750000000000001</v>
      </c>
      <c r="L353" s="41">
        <f>IF(VLOOKUP(Рецепты[[#This Row],[Состав]],Ингредиенты[],4,0)="Основа",VLOOKUP(Рецепты[[#This Row],[Способ]],Способ[],2,0),0%)</f>
        <v>0</v>
      </c>
      <c r="M353" s="41">
        <f>VLOOKUP(Рецепты[[#This Row],[Способ]],Способ[],3,0)</f>
        <v>0.5</v>
      </c>
      <c r="N353" s="43">
        <f>Рецепты[[#This Row],[р]]*100%/(100%-Рецепты[[#This Row],[Потери, %]])+Рецепты[[#This Row],[Маржа]]*(Рецепты[[#This Row],[р]]*100%)/(100%-Рецепты[[#This Row],[Потери, %]])</f>
        <v>3.7125000000000004</v>
      </c>
      <c r="O353" s="43">
        <f>Рецепты[[#This Row],[Цена за 1 кг]]-(Рецепты[[#This Row],[р]]*100%/(100%-Рецепты[[#This Row],[Потери, %]]))</f>
        <v>1.2375000000000003</v>
      </c>
      <c r="P353" t="s">
        <v>568</v>
      </c>
      <c r="Q353" s="40"/>
      <c r="R353" s="44" t="str">
        <f>VLOOKUP(Рецепты[[#This Row],[Состав]],Ингредиенты[],9,0)</f>
        <v>Да</v>
      </c>
      <c r="S353" s="52"/>
    </row>
    <row r="354" spans="1:19" x14ac:dyDescent="0.25">
      <c r="A354" s="40" t="s">
        <v>569</v>
      </c>
      <c r="B354" s="40" t="s">
        <v>13</v>
      </c>
      <c r="C354" s="40" t="s">
        <v>27</v>
      </c>
      <c r="D354" s="40" t="s">
        <v>76</v>
      </c>
      <c r="E354" s="41" t="str">
        <f>VLOOKUP(Рецепты[[#This Row],[Состав]],Ингредиенты[],2,0)</f>
        <v>Рыба</v>
      </c>
      <c r="F354" s="62">
        <v>1</v>
      </c>
      <c r="G354" s="42">
        <f>IF(Рецепты[[#This Row],[%]]*1000&gt;0,Рецепты[[#This Row],[%]]*1000,"")</f>
        <v>1000</v>
      </c>
      <c r="H354" s="43">
        <f>IFERROR(VLOOKUP(Рецепты[[#This Row],[Состав]],Ингредиенты!A:I,3,0)*Рецепты[[#This Row],[г]],"")</f>
        <v>666.66666666666674</v>
      </c>
      <c r="I354" s="42">
        <f>СводРецепт!$A$1</f>
        <v>1000</v>
      </c>
      <c r="J354" s="42">
        <f>Рецепты[[#This Row],[%]]*Рецепты[[#This Row],[Масса]]</f>
        <v>1000</v>
      </c>
      <c r="K354" s="43">
        <f>Рецепты[[#This Row],[Вес ингр-тов]]*VLOOKUP(Рецепты[[#This Row],[Состав]],Ингредиенты[],3,FALSE)</f>
        <v>666.66666666666674</v>
      </c>
      <c r="L354" s="41">
        <f>IF(VLOOKUP(Рецепты[[#This Row],[Состав]],Ингредиенты[],4,0)="Основа",VLOOKUP(Рецепты[[#This Row],[Способ]],Способ[],2,0),0%)</f>
        <v>0.35</v>
      </c>
      <c r="M354" s="41">
        <f>VLOOKUP(Рецепты[[#This Row],[Способ]],Способ[],3,0)</f>
        <v>2</v>
      </c>
      <c r="N354" s="43">
        <f>Рецепты[[#This Row],[р]]*100%/(100%-Рецепты[[#This Row],[Потери, %]])+Рецепты[[#This Row],[Маржа]]*(Рецепты[[#This Row],[р]]*100%)/(100%-Рецепты[[#This Row],[Потери, %]])</f>
        <v>3076.9230769230771</v>
      </c>
      <c r="O354" s="43">
        <f>Рецепты[[#This Row],[Цена за 1 кг]]-(Рецепты[[#This Row],[р]]*100%/(100%-Рецепты[[#This Row],[Потери, %]]))</f>
        <v>2051.2820512820517</v>
      </c>
      <c r="P354" t="s">
        <v>638</v>
      </c>
      <c r="Q354" s="40" t="s">
        <v>570</v>
      </c>
      <c r="R354" s="44" t="str">
        <f>VLOOKUP(Рецепты[[#This Row],[Состав]],Ингредиенты[],9,0)</f>
        <v>Да</v>
      </c>
      <c r="S354" s="52"/>
    </row>
    <row r="355" spans="1:19" x14ac:dyDescent="0.25">
      <c r="A355" s="40" t="s">
        <v>569</v>
      </c>
      <c r="B355" s="40" t="str">
        <f>B354</f>
        <v>Рыба</v>
      </c>
      <c r="C355" s="40" t="str">
        <f>C354</f>
        <v>Сыровяленное</v>
      </c>
      <c r="D355" s="40" t="s">
        <v>128</v>
      </c>
      <c r="E355" s="41" t="str">
        <f>VLOOKUP(Рецепты[[#This Row],[Состав]],Ингредиенты[],2,0)</f>
        <v>Специи</v>
      </c>
      <c r="F355" s="62">
        <v>0.2</v>
      </c>
      <c r="G355" s="42">
        <f>IF(Рецепты[[#This Row],[%]]*1000&gt;0,Рецепты[[#This Row],[%]]*1000,"")</f>
        <v>200</v>
      </c>
      <c r="H355" s="43">
        <f>IFERROR(VLOOKUP(Рецепты[[#This Row],[Состав]],Ингредиенты!A:I,3,0)*Рецепты[[#This Row],[г]],"")</f>
        <v>7.7</v>
      </c>
      <c r="I355" s="42">
        <f>СводРецепт!$A$1</f>
        <v>1000</v>
      </c>
      <c r="J355" s="42">
        <f>Рецепты[[#This Row],[%]]*Рецепты[[#This Row],[Масса]]</f>
        <v>200</v>
      </c>
      <c r="K355" s="43">
        <f>Рецепты[[#This Row],[Вес ингр-тов]]*VLOOKUP(Рецепты[[#This Row],[Состав]],Ингредиенты[],3,FALSE)</f>
        <v>7.7</v>
      </c>
      <c r="L355" s="41">
        <f>IF(VLOOKUP(Рецепты[[#This Row],[Состав]],Ингредиенты[],4,0)="Основа",VLOOKUP(Рецепты[[#This Row],[Способ]],Способ[],2,0),0%)</f>
        <v>0</v>
      </c>
      <c r="M355" s="41">
        <f>VLOOKUP(Рецепты[[#This Row],[Способ]],Способ[],3,0)</f>
        <v>2</v>
      </c>
      <c r="N355" s="43">
        <f>Рецепты[[#This Row],[р]]*100%/(100%-Рецепты[[#This Row],[Потери, %]])+Рецепты[[#This Row],[Маржа]]*(Рецепты[[#This Row],[р]]*100%)/(100%-Рецепты[[#This Row],[Потери, %]])</f>
        <v>23.1</v>
      </c>
      <c r="O355" s="43">
        <f>Рецепты[[#This Row],[Цена за 1 кг]]-(Рецепты[[#This Row],[р]]*100%/(100%-Рецепты[[#This Row],[Потери, %]]))</f>
        <v>15.400000000000002</v>
      </c>
      <c r="P355" t="s">
        <v>638</v>
      </c>
      <c r="Q355" s="40" t="s">
        <v>570</v>
      </c>
      <c r="R355" s="44" t="str">
        <f>VLOOKUP(Рецепты[[#This Row],[Состав]],Ингредиенты[],9,0)</f>
        <v>Да</v>
      </c>
      <c r="S355" s="52"/>
    </row>
    <row r="356" spans="1:19" x14ac:dyDescent="0.25">
      <c r="A356" s="40" t="s">
        <v>569</v>
      </c>
      <c r="B356" s="40" t="str">
        <f>B355</f>
        <v>Рыба</v>
      </c>
      <c r="C356" s="40" t="str">
        <f>C355</f>
        <v>Сыровяленное</v>
      </c>
      <c r="D356" s="40" t="s">
        <v>131</v>
      </c>
      <c r="E356" s="41" t="str">
        <f>VLOOKUP(Рецепты[[#This Row],[Состав]],Ингредиенты[],2,0)</f>
        <v>Специи</v>
      </c>
      <c r="F356" s="62">
        <v>0.02</v>
      </c>
      <c r="G356" s="42">
        <f>IF(Рецепты[[#This Row],[%]]*1000&gt;0,Рецепты[[#This Row],[%]]*1000,"")</f>
        <v>20</v>
      </c>
      <c r="H356" s="43">
        <f>IFERROR(VLOOKUP(Рецепты[[#This Row],[Состав]],Ингредиенты!A:I,3,0)*Рецепты[[#This Row],[г]],"")</f>
        <v>1.6176470588235294</v>
      </c>
      <c r="I356" s="42">
        <f>СводРецепт!$A$1</f>
        <v>1000</v>
      </c>
      <c r="J356" s="42">
        <f>Рецепты[[#This Row],[%]]*Рецепты[[#This Row],[Масса]]</f>
        <v>20</v>
      </c>
      <c r="K356" s="43">
        <f>Рецепты[[#This Row],[Вес ингр-тов]]*VLOOKUP(Рецепты[[#This Row],[Состав]],Ингредиенты[],3,FALSE)</f>
        <v>1.6176470588235294</v>
      </c>
      <c r="L356" s="41">
        <f>IF(VLOOKUP(Рецепты[[#This Row],[Состав]],Ингредиенты[],4,0)="Основа",VLOOKUP(Рецепты[[#This Row],[Способ]],Способ[],2,0),0%)</f>
        <v>0</v>
      </c>
      <c r="M356" s="41">
        <f>VLOOKUP(Рецепты[[#This Row],[Способ]],Способ[],3,0)</f>
        <v>2</v>
      </c>
      <c r="N356" s="43">
        <f>Рецепты[[#This Row],[р]]*100%/(100%-Рецепты[[#This Row],[Потери, %]])+Рецепты[[#This Row],[Маржа]]*(Рецепты[[#This Row],[р]]*100%)/(100%-Рецепты[[#This Row],[Потери, %]])</f>
        <v>4.8529411764705888</v>
      </c>
      <c r="O356" s="43">
        <f>Рецепты[[#This Row],[Цена за 1 кг]]-(Рецепты[[#This Row],[р]]*100%/(100%-Рецепты[[#This Row],[Потери, %]]))</f>
        <v>3.2352941176470593</v>
      </c>
      <c r="P356" t="s">
        <v>638</v>
      </c>
      <c r="Q356" s="40" t="s">
        <v>570</v>
      </c>
      <c r="R356" s="44" t="str">
        <f>VLOOKUP(Рецепты[[#This Row],[Состав]],Ингредиенты[],9,0)</f>
        <v>Да</v>
      </c>
      <c r="S356" s="52"/>
    </row>
    <row r="357" spans="1:19" x14ac:dyDescent="0.25">
      <c r="A357" s="40" t="s">
        <v>571</v>
      </c>
      <c r="B357" s="40" t="str">
        <f t="shared" ref="B357:B383" si="49">B356</f>
        <v>Рыба</v>
      </c>
      <c r="C357" s="40" t="s">
        <v>33</v>
      </c>
      <c r="D357" s="40" t="s">
        <v>74</v>
      </c>
      <c r="E357" s="41" t="str">
        <f>VLOOKUP(Рецепты[[#This Row],[Состав]],Ингредиенты[],2,0)</f>
        <v>Рыба</v>
      </c>
      <c r="F357" s="62">
        <v>1</v>
      </c>
      <c r="G357" s="42">
        <f>IF(Рецепты[[#This Row],[%]]*1000&gt;0,Рецепты[[#This Row],[%]]*1000,"")</f>
        <v>1000</v>
      </c>
      <c r="H357" s="43">
        <f>IFERROR(VLOOKUP(Рецепты[[#This Row],[Состав]],Ингредиенты!A:I,3,0)*Рецепты[[#This Row],[г]],"")</f>
        <v>342.85714285714283</v>
      </c>
      <c r="I357" s="42">
        <f>СводРецепт!$A$1</f>
        <v>1000</v>
      </c>
      <c r="J357" s="42">
        <f>Рецепты[[#This Row],[%]]*Рецепты[[#This Row],[Масса]]</f>
        <v>1000</v>
      </c>
      <c r="K357" s="43">
        <f>Рецепты[[#This Row],[Вес ингр-тов]]*VLOOKUP(Рецепты[[#This Row],[Состав]],Ингредиенты[],3,FALSE)</f>
        <v>342.85714285714283</v>
      </c>
      <c r="L357" s="41">
        <f>IF(VLOOKUP(Рецепты[[#This Row],[Состав]],Ингредиенты[],4,0)="Основа",VLOOKUP(Рецепты[[#This Row],[Способ]],Способ[],2,0),0%)</f>
        <v>0.1</v>
      </c>
      <c r="M357" s="41">
        <f>VLOOKUP(Рецепты[[#This Row],[Способ]],Способ[],3,0)</f>
        <v>0.9</v>
      </c>
      <c r="N357" s="43">
        <f>Рецепты[[#This Row],[р]]*100%/(100%-Рецепты[[#This Row],[Потери, %]])+Рецепты[[#This Row],[Маржа]]*(Рецепты[[#This Row],[р]]*100%)/(100%-Рецепты[[#This Row],[Потери, %]])</f>
        <v>723.80952380952374</v>
      </c>
      <c r="O357" s="43">
        <f>Рецепты[[#This Row],[Цена за 1 кг]]-(Рецепты[[#This Row],[р]]*100%/(100%-Рецепты[[#This Row],[Потери, %]]))</f>
        <v>342.85714285714283</v>
      </c>
      <c r="P357" t="s">
        <v>572</v>
      </c>
      <c r="Q357" s="40" t="s">
        <v>573</v>
      </c>
      <c r="R357" s="44" t="str">
        <f>VLOOKUP(Рецепты[[#This Row],[Состав]],Ингредиенты[],9,0)</f>
        <v>Нет</v>
      </c>
      <c r="S357" s="52"/>
    </row>
    <row r="358" spans="1:19" x14ac:dyDescent="0.25">
      <c r="A358" s="40" t="s">
        <v>571</v>
      </c>
      <c r="B358" s="40" t="str">
        <f t="shared" si="49"/>
        <v>Рыба</v>
      </c>
      <c r="C358" s="40" t="str">
        <f t="shared" ref="C358:C368" si="50">C357</f>
        <v>Провесная</v>
      </c>
      <c r="D358" s="40" t="s">
        <v>128</v>
      </c>
      <c r="E358" s="41" t="str">
        <f>VLOOKUP(Рецепты[[#This Row],[Состав]],Ингредиенты[],2,0)</f>
        <v>Специи</v>
      </c>
      <c r="F358" s="62">
        <v>5.5E-2</v>
      </c>
      <c r="G358" s="42">
        <f>IF(Рецепты[[#This Row],[%]]*1000&gt;0,Рецепты[[#This Row],[%]]*1000,"")</f>
        <v>55</v>
      </c>
      <c r="H358" s="43">
        <f>IFERROR(VLOOKUP(Рецепты[[#This Row],[Состав]],Ингредиенты!A:I,3,0)*Рецепты[[#This Row],[г]],"")</f>
        <v>2.1175000000000002</v>
      </c>
      <c r="I358" s="42">
        <f>СводРецепт!$A$1</f>
        <v>1000</v>
      </c>
      <c r="J358" s="42">
        <f>Рецепты[[#This Row],[%]]*Рецепты[[#This Row],[Масса]]</f>
        <v>55</v>
      </c>
      <c r="K358" s="43">
        <f>Рецепты[[#This Row],[Вес ингр-тов]]*VLOOKUP(Рецепты[[#This Row],[Состав]],Ингредиенты[],3,FALSE)</f>
        <v>2.1175000000000002</v>
      </c>
      <c r="L358" s="41">
        <f>IF(VLOOKUP(Рецепты[[#This Row],[Состав]],Ингредиенты[],4,0)="Основа",VLOOKUP(Рецепты[[#This Row],[Способ]],Способ[],2,0),0%)</f>
        <v>0</v>
      </c>
      <c r="M358" s="41">
        <f>VLOOKUP(Рецепты[[#This Row],[Способ]],Способ[],3,0)</f>
        <v>0.9</v>
      </c>
      <c r="N358" s="43">
        <f>Рецепты[[#This Row],[р]]*100%/(100%-Рецепты[[#This Row],[Потери, %]])+Рецепты[[#This Row],[Маржа]]*(Рецепты[[#This Row],[р]]*100%)/(100%-Рецепты[[#This Row],[Потери, %]])</f>
        <v>4.0232500000000009</v>
      </c>
      <c r="O358" s="43">
        <f>Рецепты[[#This Row],[Цена за 1 кг]]-(Рецепты[[#This Row],[р]]*100%/(100%-Рецепты[[#This Row],[Потери, %]]))</f>
        <v>1.9057500000000007</v>
      </c>
      <c r="P358" t="s">
        <v>572</v>
      </c>
      <c r="Q358" s="40" t="s">
        <v>573</v>
      </c>
      <c r="R358" s="44" t="str">
        <f>VLOOKUP(Рецепты[[#This Row],[Состав]],Ингредиенты[],9,0)</f>
        <v>Да</v>
      </c>
      <c r="S358" s="52"/>
    </row>
    <row r="359" spans="1:19" x14ac:dyDescent="0.25">
      <c r="A359" s="40" t="s">
        <v>571</v>
      </c>
      <c r="B359" s="40" t="str">
        <f t="shared" si="49"/>
        <v>Рыба</v>
      </c>
      <c r="C359" s="40" t="str">
        <f t="shared" si="50"/>
        <v>Провесная</v>
      </c>
      <c r="D359" s="40" t="s">
        <v>93</v>
      </c>
      <c r="E359" s="41" t="str">
        <f>VLOOKUP(Рецепты[[#This Row],[Состав]],Ингредиенты[],2,0)</f>
        <v>Добавки</v>
      </c>
      <c r="F359" s="62">
        <v>1</v>
      </c>
      <c r="G359" s="42">
        <f>IF(Рецепты[[#This Row],[%]]*1000&gt;0,Рецепты[[#This Row],[%]]*1000,"")</f>
        <v>1000</v>
      </c>
      <c r="H359" s="43">
        <f>IFERROR(VLOOKUP(Рецепты[[#This Row],[Состав]],Ингредиенты!A:I,3,0)*Рецепты[[#This Row],[г]],"")</f>
        <v>1</v>
      </c>
      <c r="I359" s="42">
        <f>СводРецепт!$A$1</f>
        <v>1000</v>
      </c>
      <c r="J359" s="42">
        <f>Рецепты[[#This Row],[%]]*Рецепты[[#This Row],[Масса]]</f>
        <v>1000</v>
      </c>
      <c r="K359" s="43">
        <f>Рецепты[[#This Row],[Вес ингр-тов]]*VLOOKUP(Рецепты[[#This Row],[Состав]],Ингредиенты[],3,FALSE)</f>
        <v>1</v>
      </c>
      <c r="L359" s="41">
        <f>IF(VLOOKUP(Рецепты[[#This Row],[Состав]],Ингредиенты[],4,0)="Основа",VLOOKUP(Рецепты[[#This Row],[Способ]],Способ[],2,0),0%)</f>
        <v>0</v>
      </c>
      <c r="M359" s="41">
        <f>VLOOKUP(Рецепты[[#This Row],[Способ]],Способ[],3,0)</f>
        <v>0.9</v>
      </c>
      <c r="N359" s="43">
        <f>Рецепты[[#This Row],[р]]*100%/(100%-Рецепты[[#This Row],[Потери, %]])+Рецепты[[#This Row],[Маржа]]*(Рецепты[[#This Row],[р]]*100%)/(100%-Рецепты[[#This Row],[Потери, %]])</f>
        <v>1.9</v>
      </c>
      <c r="O359" s="43">
        <f>Рецепты[[#This Row],[Цена за 1 кг]]-(Рецепты[[#This Row],[р]]*100%/(100%-Рецепты[[#This Row],[Потери, %]]))</f>
        <v>0.89999999999999991</v>
      </c>
      <c r="P359" t="s">
        <v>572</v>
      </c>
      <c r="Q359" s="40" t="s">
        <v>573</v>
      </c>
      <c r="R359" s="44" t="str">
        <f>VLOOKUP(Рецепты[[#This Row],[Состав]],Ингредиенты[],9,0)</f>
        <v>Да</v>
      </c>
      <c r="S359" s="52"/>
    </row>
    <row r="360" spans="1:19" x14ac:dyDescent="0.25">
      <c r="A360" s="40" t="s">
        <v>571</v>
      </c>
      <c r="B360" s="40" t="str">
        <f t="shared" si="49"/>
        <v>Рыба</v>
      </c>
      <c r="C360" s="40" t="str">
        <f t="shared" si="50"/>
        <v>Провесная</v>
      </c>
      <c r="D360" s="40" t="s">
        <v>130</v>
      </c>
      <c r="E360" s="41" t="str">
        <f>VLOOKUP(Рецепты[[#This Row],[Состав]],Ингредиенты[],2,0)</f>
        <v>Специи</v>
      </c>
      <c r="F360" s="62">
        <v>0.2</v>
      </c>
      <c r="G360" s="42">
        <f>IF(Рецепты[[#This Row],[%]]*1000&gt;0,Рецепты[[#This Row],[%]]*1000,"")</f>
        <v>200</v>
      </c>
      <c r="H360" s="43">
        <f>IFERROR(VLOOKUP(Рецепты[[#This Row],[Состав]],Ингредиенты!A:I,3,0)*Рецепты[[#This Row],[г]],"")</f>
        <v>7.7</v>
      </c>
      <c r="I360" s="42">
        <f>СводРецепт!$A$1</f>
        <v>1000</v>
      </c>
      <c r="J360" s="42">
        <f>Рецепты[[#This Row],[%]]*Рецепты[[#This Row],[Масса]]</f>
        <v>200</v>
      </c>
      <c r="K360" s="43">
        <f>Рецепты[[#This Row],[Вес ингр-тов]]*VLOOKUP(Рецепты[[#This Row],[Состав]],Ингредиенты[],3,FALSE)</f>
        <v>7.7</v>
      </c>
      <c r="L360" s="41">
        <f>IF(VLOOKUP(Рецепты[[#This Row],[Состав]],Ингредиенты[],4,0)="Основа",VLOOKUP(Рецепты[[#This Row],[Способ]],Способ[],2,0),0%)</f>
        <v>0</v>
      </c>
      <c r="M360" s="41">
        <f>VLOOKUP(Рецепты[[#This Row],[Способ]],Способ[],3,0)</f>
        <v>0.9</v>
      </c>
      <c r="N360" s="43">
        <f>Рецепты[[#This Row],[р]]*100%/(100%-Рецепты[[#This Row],[Потери, %]])+Рецепты[[#This Row],[Маржа]]*(Рецепты[[#This Row],[р]]*100%)/(100%-Рецепты[[#This Row],[Потери, %]])</f>
        <v>14.63</v>
      </c>
      <c r="O360" s="43">
        <f>Рецепты[[#This Row],[Цена за 1 кг]]-(Рецепты[[#This Row],[р]]*100%/(100%-Рецепты[[#This Row],[Потери, %]]))</f>
        <v>6.9300000000000006</v>
      </c>
      <c r="P360" t="s">
        <v>572</v>
      </c>
      <c r="Q360" s="40" t="s">
        <v>573</v>
      </c>
      <c r="R360" s="44" t="str">
        <f>VLOOKUP(Рецепты[[#This Row],[Состав]],Ингредиенты[],9,0)</f>
        <v>Да</v>
      </c>
      <c r="S360" s="52"/>
    </row>
    <row r="361" spans="1:19" x14ac:dyDescent="0.25">
      <c r="A361" s="40" t="s">
        <v>571</v>
      </c>
      <c r="B361" s="40" t="str">
        <f t="shared" si="49"/>
        <v>Рыба</v>
      </c>
      <c r="C361" s="40" t="str">
        <f t="shared" si="50"/>
        <v>Провесная</v>
      </c>
      <c r="D361" s="40" t="s">
        <v>131</v>
      </c>
      <c r="E361" s="41" t="str">
        <f>VLOOKUP(Рецепты[[#This Row],[Состав]],Ингредиенты[],2,0)</f>
        <v>Специи</v>
      </c>
      <c r="F361" s="62">
        <v>0.01</v>
      </c>
      <c r="G361" s="42">
        <f>IF(Рецепты[[#This Row],[%]]*1000&gt;0,Рецепты[[#This Row],[%]]*1000,"")</f>
        <v>10</v>
      </c>
      <c r="H361" s="43">
        <f>IFERROR(VLOOKUP(Рецепты[[#This Row],[Состав]],Ингредиенты!A:I,3,0)*Рецепты[[#This Row],[г]],"")</f>
        <v>0.80882352941176472</v>
      </c>
      <c r="I361" s="42">
        <f>СводРецепт!$A$1</f>
        <v>1000</v>
      </c>
      <c r="J361" s="42">
        <f>Рецепты[[#This Row],[%]]*Рецепты[[#This Row],[Масса]]</f>
        <v>10</v>
      </c>
      <c r="K361" s="43">
        <f>Рецепты[[#This Row],[Вес ингр-тов]]*VLOOKUP(Рецепты[[#This Row],[Состав]],Ингредиенты[],3,FALSE)</f>
        <v>0.80882352941176472</v>
      </c>
      <c r="L361" s="41">
        <f>IF(VLOOKUP(Рецепты[[#This Row],[Состав]],Ингредиенты[],4,0)="Основа",VLOOKUP(Рецепты[[#This Row],[Способ]],Способ[],2,0),0%)</f>
        <v>0</v>
      </c>
      <c r="M361" s="41">
        <f>VLOOKUP(Рецепты[[#This Row],[Способ]],Способ[],3,0)</f>
        <v>0.9</v>
      </c>
      <c r="N361" s="43">
        <f>Рецепты[[#This Row],[р]]*100%/(100%-Рецепты[[#This Row],[Потери, %]])+Рецепты[[#This Row],[Маржа]]*(Рецепты[[#This Row],[р]]*100%)/(100%-Рецепты[[#This Row],[Потери, %]])</f>
        <v>1.536764705882353</v>
      </c>
      <c r="O361" s="43">
        <f>Рецепты[[#This Row],[Цена за 1 кг]]-(Рецепты[[#This Row],[р]]*100%/(100%-Рецепты[[#This Row],[Потери, %]]))</f>
        <v>0.72794117647058831</v>
      </c>
      <c r="P361" t="s">
        <v>572</v>
      </c>
      <c r="Q361" s="40" t="s">
        <v>573</v>
      </c>
      <c r="R361" s="44" t="str">
        <f>VLOOKUP(Рецепты[[#This Row],[Состав]],Ингредиенты[],9,0)</f>
        <v>Да</v>
      </c>
      <c r="S361" s="52"/>
    </row>
    <row r="362" spans="1:19" x14ac:dyDescent="0.25">
      <c r="A362" s="40" t="s">
        <v>571</v>
      </c>
      <c r="B362" s="40" t="str">
        <f t="shared" si="49"/>
        <v>Рыба</v>
      </c>
      <c r="C362" s="40" t="str">
        <f t="shared" si="50"/>
        <v>Провесная</v>
      </c>
      <c r="D362" s="40" t="s">
        <v>133</v>
      </c>
      <c r="E362" s="41" t="str">
        <f>VLOOKUP(Рецепты[[#This Row],[Состав]],Ингредиенты[],2,0)</f>
        <v>Специи</v>
      </c>
      <c r="F362" s="62">
        <v>1E-3</v>
      </c>
      <c r="G362" s="42">
        <f>IF(Рецепты[[#This Row],[%]]*1000&gt;0,Рецепты[[#This Row],[%]]*1000,"")</f>
        <v>1</v>
      </c>
      <c r="H362" s="43">
        <f>IFERROR(VLOOKUP(Рецепты[[#This Row],[Состав]],Ингредиенты!A:I,3,0)*Рецепты[[#This Row],[г]],"")</f>
        <v>1.0945454545454545</v>
      </c>
      <c r="I362" s="42">
        <f>СводРецепт!$A$1</f>
        <v>1000</v>
      </c>
      <c r="J362" s="42">
        <f>Рецепты[[#This Row],[%]]*Рецепты[[#This Row],[Масса]]</f>
        <v>1</v>
      </c>
      <c r="K362" s="43">
        <f>Рецепты[[#This Row],[Вес ингр-тов]]*VLOOKUP(Рецепты[[#This Row],[Состав]],Ингредиенты[],3,FALSE)</f>
        <v>1.0945454545454545</v>
      </c>
      <c r="L362" s="41">
        <f>IF(VLOOKUP(Рецепты[[#This Row],[Состав]],Ингредиенты[],4,0)="Основа",VLOOKUP(Рецепты[[#This Row],[Способ]],Способ[],2,0),0%)</f>
        <v>0</v>
      </c>
      <c r="M362" s="41">
        <f>VLOOKUP(Рецепты[[#This Row],[Способ]],Способ[],3,0)</f>
        <v>0.9</v>
      </c>
      <c r="N362" s="43">
        <f>Рецепты[[#This Row],[р]]*100%/(100%-Рецепты[[#This Row],[Потери, %]])+Рецепты[[#This Row],[Маржа]]*(Рецепты[[#This Row],[р]]*100%)/(100%-Рецепты[[#This Row],[Потери, %]])</f>
        <v>2.0796363636363635</v>
      </c>
      <c r="O362" s="43">
        <f>Рецепты[[#This Row],[Цена за 1 кг]]-(Рецепты[[#This Row],[р]]*100%/(100%-Рецепты[[#This Row],[Потери, %]]))</f>
        <v>0.98509090909090902</v>
      </c>
      <c r="P362" t="s">
        <v>572</v>
      </c>
      <c r="Q362" s="40" t="s">
        <v>573</v>
      </c>
      <c r="R362" s="44" t="str">
        <f>VLOOKUP(Рецепты[[#This Row],[Состав]],Ингредиенты[],9,0)</f>
        <v>Да</v>
      </c>
      <c r="S362" s="52"/>
    </row>
    <row r="363" spans="1:19" x14ac:dyDescent="0.25">
      <c r="A363" s="40" t="s">
        <v>571</v>
      </c>
      <c r="B363" s="40" t="str">
        <f t="shared" si="49"/>
        <v>Рыба</v>
      </c>
      <c r="C363" s="40" t="str">
        <f t="shared" si="50"/>
        <v>Провесная</v>
      </c>
      <c r="D363" s="40" t="s">
        <v>137</v>
      </c>
      <c r="E363" s="41" t="str">
        <f>VLOOKUP(Рецепты[[#This Row],[Состав]],Ингредиенты[],2,0)</f>
        <v>Специи</v>
      </c>
      <c r="F363" s="62">
        <v>1E-3</v>
      </c>
      <c r="G363" s="42">
        <f>IF(Рецепты[[#This Row],[%]]*1000&gt;0,Рецепты[[#This Row],[%]]*1000,"")</f>
        <v>1</v>
      </c>
      <c r="H363" s="43">
        <f>IFERROR(VLOOKUP(Рецепты[[#This Row],[Состав]],Ингредиенты!A:I,3,0)*Рецепты[[#This Row],[г]],"")</f>
        <v>1.996</v>
      </c>
      <c r="I363" s="42">
        <f>СводРецепт!$A$1</f>
        <v>1000</v>
      </c>
      <c r="J363" s="42">
        <f>Рецепты[[#This Row],[%]]*Рецепты[[#This Row],[Масса]]</f>
        <v>1</v>
      </c>
      <c r="K363" s="43">
        <f>Рецепты[[#This Row],[Вес ингр-тов]]*VLOOKUP(Рецепты[[#This Row],[Состав]],Ингредиенты[],3,FALSE)</f>
        <v>1.996</v>
      </c>
      <c r="L363" s="41">
        <f>IF(VLOOKUP(Рецепты[[#This Row],[Состав]],Ингредиенты[],4,0)="Основа",VLOOKUP(Рецепты[[#This Row],[Способ]],Способ[],2,0),0%)</f>
        <v>0</v>
      </c>
      <c r="M363" s="41">
        <f>VLOOKUP(Рецепты[[#This Row],[Способ]],Способ[],3,0)</f>
        <v>0.9</v>
      </c>
      <c r="N363" s="43">
        <f>Рецепты[[#This Row],[р]]*100%/(100%-Рецепты[[#This Row],[Потери, %]])+Рецепты[[#This Row],[Маржа]]*(Рецепты[[#This Row],[р]]*100%)/(100%-Рецепты[[#This Row],[Потери, %]])</f>
        <v>3.7923999999999998</v>
      </c>
      <c r="O363" s="43">
        <f>Рецепты[[#This Row],[Цена за 1 кг]]-(Рецепты[[#This Row],[р]]*100%/(100%-Рецепты[[#This Row],[Потери, %]]))</f>
        <v>1.7963999999999998</v>
      </c>
      <c r="P363" t="s">
        <v>572</v>
      </c>
      <c r="Q363" s="40" t="s">
        <v>573</v>
      </c>
      <c r="R363" s="44" t="str">
        <f>VLOOKUP(Рецепты[[#This Row],[Состав]],Ингредиенты[],9,0)</f>
        <v>Да</v>
      </c>
      <c r="S363" s="52"/>
    </row>
    <row r="364" spans="1:19" x14ac:dyDescent="0.25">
      <c r="A364" s="40" t="s">
        <v>571</v>
      </c>
      <c r="B364" s="40" t="str">
        <f t="shared" si="49"/>
        <v>Рыба</v>
      </c>
      <c r="C364" s="40" t="str">
        <f t="shared" si="50"/>
        <v>Провесная</v>
      </c>
      <c r="D364" s="40" t="s">
        <v>167</v>
      </c>
      <c r="E364" s="41" t="str">
        <f>VLOOKUP(Рецепты[[#This Row],[Состав]],Ингредиенты[],2,0)</f>
        <v>Специи</v>
      </c>
      <c r="F364" s="62">
        <v>5.0000000000000001E-4</v>
      </c>
      <c r="G364" s="42">
        <f>IF(Рецепты[[#This Row],[%]]*1000&gt;0,Рецепты[[#This Row],[%]]*1000,"")</f>
        <v>0.5</v>
      </c>
      <c r="H364" s="43">
        <f>IFERROR(VLOOKUP(Рецепты[[#This Row],[Состав]],Ингредиенты!A:I,3,0)*Рецепты[[#This Row],[г]],"")</f>
        <v>1.3966666666666667</v>
      </c>
      <c r="I364" s="42">
        <f>СводРецепт!$A$1</f>
        <v>1000</v>
      </c>
      <c r="J364" s="42">
        <f>Рецепты[[#This Row],[%]]*Рецепты[[#This Row],[Масса]]</f>
        <v>0.5</v>
      </c>
      <c r="K364" s="43">
        <f>Рецепты[[#This Row],[Вес ингр-тов]]*VLOOKUP(Рецепты[[#This Row],[Состав]],Ингредиенты[],3,FALSE)</f>
        <v>1.3966666666666667</v>
      </c>
      <c r="L364" s="41">
        <f>IF(VLOOKUP(Рецепты[[#This Row],[Состав]],Ингредиенты[],4,0)="Основа",VLOOKUP(Рецепты[[#This Row],[Способ]],Способ[],2,0),0%)</f>
        <v>0</v>
      </c>
      <c r="M364" s="41">
        <f>VLOOKUP(Рецепты[[#This Row],[Способ]],Способ[],3,0)</f>
        <v>0.9</v>
      </c>
      <c r="N364" s="43">
        <f>Рецепты[[#This Row],[р]]*100%/(100%-Рецепты[[#This Row],[Потери, %]])+Рецепты[[#This Row],[Маржа]]*(Рецепты[[#This Row],[р]]*100%)/(100%-Рецепты[[#This Row],[Потери, %]])</f>
        <v>2.6536666666666671</v>
      </c>
      <c r="O364" s="43">
        <f>Рецепты[[#This Row],[Цена за 1 кг]]-(Рецепты[[#This Row],[р]]*100%/(100%-Рецепты[[#This Row],[Потери, %]]))</f>
        <v>1.2570000000000003</v>
      </c>
      <c r="P364" t="s">
        <v>572</v>
      </c>
      <c r="Q364" s="40" t="s">
        <v>573</v>
      </c>
      <c r="R364" s="44" t="str">
        <f>VLOOKUP(Рецепты[[#This Row],[Состав]],Ингредиенты[],9,0)</f>
        <v>Да</v>
      </c>
      <c r="S364" s="52"/>
    </row>
    <row r="365" spans="1:19" x14ac:dyDescent="0.25">
      <c r="A365" s="40" t="s">
        <v>571</v>
      </c>
      <c r="B365" s="40" t="str">
        <f t="shared" si="49"/>
        <v>Рыба</v>
      </c>
      <c r="C365" s="40" t="str">
        <f t="shared" si="50"/>
        <v>Провесная</v>
      </c>
      <c r="D365" s="40" t="s">
        <v>195</v>
      </c>
      <c r="E365" s="41" t="str">
        <f>VLOOKUP(Рецепты[[#This Row],[Состав]],Ингредиенты[],2,0)</f>
        <v>Специи</v>
      </c>
      <c r="F365" s="62">
        <v>1E-4</v>
      </c>
      <c r="G365" s="42">
        <f>IF(Рецепты[[#This Row],[%]]*1000&gt;0,Рецепты[[#This Row],[%]]*1000,"")</f>
        <v>0.1</v>
      </c>
      <c r="H365" s="43">
        <f>IFERROR(VLOOKUP(Рецепты[[#This Row],[Состав]],Ингредиенты!A:I,3,0)*Рецепты[[#This Row],[г]],"")</f>
        <v>6.93E-2</v>
      </c>
      <c r="I365" s="42">
        <f>СводРецепт!$A$1</f>
        <v>1000</v>
      </c>
      <c r="J365" s="42">
        <f>Рецепты[[#This Row],[%]]*Рецепты[[#This Row],[Масса]]</f>
        <v>0.1</v>
      </c>
      <c r="K365" s="43">
        <f>Рецепты[[#This Row],[Вес ингр-тов]]*VLOOKUP(Рецепты[[#This Row],[Состав]],Ингредиенты[],3,FALSE)</f>
        <v>6.93E-2</v>
      </c>
      <c r="L365" s="41">
        <f>IF(VLOOKUP(Рецепты[[#This Row],[Состав]],Ингредиенты[],4,0)="Основа",VLOOKUP(Рецепты[[#This Row],[Способ]],Способ[],2,0),0%)</f>
        <v>0</v>
      </c>
      <c r="M365" s="41">
        <f>VLOOKUP(Рецепты[[#This Row],[Способ]],Способ[],3,0)</f>
        <v>0.9</v>
      </c>
      <c r="N365" s="43">
        <f>Рецепты[[#This Row],[р]]*100%/(100%-Рецепты[[#This Row],[Потери, %]])+Рецепты[[#This Row],[Маржа]]*(Рецепты[[#This Row],[р]]*100%)/(100%-Рецепты[[#This Row],[Потери, %]])</f>
        <v>0.13167000000000001</v>
      </c>
      <c r="O365" s="43">
        <f>Рецепты[[#This Row],[Цена за 1 кг]]-(Рецепты[[#This Row],[р]]*100%/(100%-Рецепты[[#This Row],[Потери, %]]))</f>
        <v>6.2370000000000009E-2</v>
      </c>
      <c r="P365" t="s">
        <v>572</v>
      </c>
      <c r="Q365" s="40" t="s">
        <v>573</v>
      </c>
      <c r="R365" s="44" t="str">
        <f>VLOOKUP(Рецепты[[#This Row],[Состав]],Ингредиенты[],9,0)</f>
        <v>Да</v>
      </c>
      <c r="S365" s="52"/>
    </row>
    <row r="366" spans="1:19" x14ac:dyDescent="0.25">
      <c r="A366" s="40" t="s">
        <v>571</v>
      </c>
      <c r="B366" s="40" t="str">
        <f t="shared" si="49"/>
        <v>Рыба</v>
      </c>
      <c r="C366" s="40" t="str">
        <f t="shared" si="50"/>
        <v>Провесная</v>
      </c>
      <c r="D366" s="40" t="s">
        <v>165</v>
      </c>
      <c r="E366" s="41" t="str">
        <f>VLOOKUP(Рецепты[[#This Row],[Состав]],Ингредиенты[],2,0)</f>
        <v>Специи</v>
      </c>
      <c r="F366" s="62">
        <v>1E-4</v>
      </c>
      <c r="G366" s="42">
        <f>IF(Рецепты[[#This Row],[%]]*1000&gt;0,Рецепты[[#This Row],[%]]*1000,"")</f>
        <v>0.1</v>
      </c>
      <c r="H366" s="43">
        <f>IFERROR(VLOOKUP(Рецепты[[#This Row],[Состав]],Ингредиенты!A:I,3,0)*Рецепты[[#This Row],[г]],"")</f>
        <v>0.16450000000000001</v>
      </c>
      <c r="I366" s="42">
        <f>СводРецепт!$A$1</f>
        <v>1000</v>
      </c>
      <c r="J366" s="42">
        <f>Рецепты[[#This Row],[%]]*Рецепты[[#This Row],[Масса]]</f>
        <v>0.1</v>
      </c>
      <c r="K366" s="43">
        <f>Рецепты[[#This Row],[Вес ингр-тов]]*VLOOKUP(Рецепты[[#This Row],[Состав]],Ингредиенты[],3,FALSE)</f>
        <v>0.16450000000000001</v>
      </c>
      <c r="L366" s="41">
        <f>IF(VLOOKUP(Рецепты[[#This Row],[Состав]],Ингредиенты[],4,0)="Основа",VLOOKUP(Рецепты[[#This Row],[Способ]],Способ[],2,0),0%)</f>
        <v>0</v>
      </c>
      <c r="M366" s="41">
        <f>VLOOKUP(Рецепты[[#This Row],[Способ]],Способ[],3,0)</f>
        <v>0.9</v>
      </c>
      <c r="N366" s="43">
        <f>Рецепты[[#This Row],[р]]*100%/(100%-Рецепты[[#This Row],[Потери, %]])+Рецепты[[#This Row],[Маржа]]*(Рецепты[[#This Row],[р]]*100%)/(100%-Рецепты[[#This Row],[Потери, %]])</f>
        <v>0.31254999999999999</v>
      </c>
      <c r="O366" s="43">
        <f>Рецепты[[#This Row],[Цена за 1 кг]]-(Рецепты[[#This Row],[р]]*100%/(100%-Рецепты[[#This Row],[Потери, %]]))</f>
        <v>0.14804999999999999</v>
      </c>
      <c r="P366" t="s">
        <v>572</v>
      </c>
      <c r="Q366" s="40" t="s">
        <v>573</v>
      </c>
      <c r="R366" s="44" t="str">
        <f>VLOOKUP(Рецепты[[#This Row],[Состав]],Ингредиенты[],9,0)</f>
        <v>Нет</v>
      </c>
      <c r="S366" s="52"/>
    </row>
    <row r="367" spans="1:19" x14ac:dyDescent="0.25">
      <c r="A367" s="40" t="s">
        <v>571</v>
      </c>
      <c r="B367" s="40" t="str">
        <f t="shared" si="49"/>
        <v>Рыба</v>
      </c>
      <c r="C367" s="40" t="str">
        <f t="shared" si="50"/>
        <v>Провесная</v>
      </c>
      <c r="D367" s="40" t="s">
        <v>189</v>
      </c>
      <c r="E367" s="41" t="str">
        <f>VLOOKUP(Рецепты[[#This Row],[Состав]],Ингредиенты[],2,0)</f>
        <v>Специи</v>
      </c>
      <c r="F367" s="62">
        <v>1E-4</v>
      </c>
      <c r="G367" s="42">
        <f>IF(Рецепты[[#This Row],[%]]*1000&gt;0,Рецепты[[#This Row],[%]]*1000,"")</f>
        <v>0.1</v>
      </c>
      <c r="H367" s="43">
        <f>IFERROR(VLOOKUP(Рецепты[[#This Row],[Состав]],Ингредиенты!A:I,3,0)*Рецепты[[#This Row],[г]],"")</f>
        <v>0.46799999999999997</v>
      </c>
      <c r="I367" s="42">
        <f>СводРецепт!$A$1</f>
        <v>1000</v>
      </c>
      <c r="J367" s="42">
        <f>Рецепты[[#This Row],[%]]*Рецепты[[#This Row],[Масса]]</f>
        <v>0.1</v>
      </c>
      <c r="K367" s="43">
        <f>Рецепты[[#This Row],[Вес ингр-тов]]*VLOOKUP(Рецепты[[#This Row],[Состав]],Ингредиенты[],3,FALSE)</f>
        <v>0.46799999999999997</v>
      </c>
      <c r="L367" s="41">
        <f>IF(VLOOKUP(Рецепты[[#This Row],[Состав]],Ингредиенты[],4,0)="Основа",VLOOKUP(Рецепты[[#This Row],[Способ]],Способ[],2,0),0%)</f>
        <v>0</v>
      </c>
      <c r="M367" s="41">
        <f>VLOOKUP(Рецепты[[#This Row],[Способ]],Способ[],3,0)</f>
        <v>0.9</v>
      </c>
      <c r="N367" s="43">
        <f>Рецепты[[#This Row],[р]]*100%/(100%-Рецепты[[#This Row],[Потери, %]])+Рецепты[[#This Row],[Маржа]]*(Рецепты[[#This Row],[р]]*100%)/(100%-Рецепты[[#This Row],[Потери, %]])</f>
        <v>0.88919999999999999</v>
      </c>
      <c r="O367" s="43">
        <f>Рецепты[[#This Row],[Цена за 1 кг]]-(Рецепты[[#This Row],[р]]*100%/(100%-Рецепты[[#This Row],[Потери, %]]))</f>
        <v>0.42120000000000002</v>
      </c>
      <c r="P367" t="s">
        <v>572</v>
      </c>
      <c r="Q367" s="40" t="s">
        <v>573</v>
      </c>
      <c r="R367" s="44" t="str">
        <f>VLOOKUP(Рецепты[[#This Row],[Состав]],Ингредиенты[],9,0)</f>
        <v>Да</v>
      </c>
      <c r="S367" s="52"/>
    </row>
    <row r="368" spans="1:19" x14ac:dyDescent="0.25">
      <c r="A368" s="40" t="s">
        <v>571</v>
      </c>
      <c r="B368" s="40" t="str">
        <f t="shared" si="49"/>
        <v>Рыба</v>
      </c>
      <c r="C368" s="40" t="str">
        <f t="shared" si="50"/>
        <v>Провесная</v>
      </c>
      <c r="D368" s="40" t="s">
        <v>193</v>
      </c>
      <c r="E368" s="41" t="str">
        <f>VLOOKUP(Рецепты[[#This Row],[Состав]],Ингредиенты[],2,0)</f>
        <v>Специи</v>
      </c>
      <c r="F368" s="62">
        <v>2.0000000000000001E-4</v>
      </c>
      <c r="G368" s="42">
        <f>IF(Рецепты[[#This Row],[%]]*1000&gt;0,Рецепты[[#This Row],[%]]*1000,"")</f>
        <v>0.2</v>
      </c>
      <c r="H368" s="43">
        <f>IFERROR(VLOOKUP(Рецепты[[#This Row],[Состав]],Ингредиенты!A:I,3,0)*Рецепты[[#This Row],[г]],"")</f>
        <v>0.15733333333333333</v>
      </c>
      <c r="I368" s="42">
        <f>СводРецепт!$A$1</f>
        <v>1000</v>
      </c>
      <c r="J368" s="42">
        <f>Рецепты[[#This Row],[%]]*Рецепты[[#This Row],[Масса]]</f>
        <v>0.2</v>
      </c>
      <c r="K368" s="43">
        <f>Рецепты[[#This Row],[Вес ингр-тов]]*VLOOKUP(Рецепты[[#This Row],[Состав]],Ингредиенты[],3,FALSE)</f>
        <v>0.15733333333333333</v>
      </c>
      <c r="L368" s="41">
        <f>IF(VLOOKUP(Рецепты[[#This Row],[Состав]],Ингредиенты[],4,0)="Основа",VLOOKUP(Рецепты[[#This Row],[Способ]],Способ[],2,0),0%)</f>
        <v>0</v>
      </c>
      <c r="M368" s="41">
        <f>VLOOKUP(Рецепты[[#This Row],[Способ]],Способ[],3,0)</f>
        <v>0.9</v>
      </c>
      <c r="N368" s="43">
        <f>Рецепты[[#This Row],[р]]*100%/(100%-Рецепты[[#This Row],[Потери, %]])+Рецепты[[#This Row],[Маржа]]*(Рецепты[[#This Row],[р]]*100%)/(100%-Рецепты[[#This Row],[Потери, %]])</f>
        <v>0.29893333333333333</v>
      </c>
      <c r="O368" s="43">
        <f>Рецепты[[#This Row],[Цена за 1 кг]]-(Рецепты[[#This Row],[р]]*100%/(100%-Рецепты[[#This Row],[Потери, %]]))</f>
        <v>0.1416</v>
      </c>
      <c r="P368" t="s">
        <v>572</v>
      </c>
      <c r="Q368" s="40" t="s">
        <v>573</v>
      </c>
      <c r="R368" s="44" t="str">
        <f>VLOOKUP(Рецепты[[#This Row],[Состав]],Ингредиенты[],9,0)</f>
        <v>Да</v>
      </c>
      <c r="S368" s="52"/>
    </row>
    <row r="369" spans="1:19" x14ac:dyDescent="0.25">
      <c r="A369" s="40" t="s">
        <v>574</v>
      </c>
      <c r="B369" s="40" t="str">
        <f t="shared" si="49"/>
        <v>Рыба</v>
      </c>
      <c r="C369" s="40" t="s">
        <v>27</v>
      </c>
      <c r="D369" s="40" t="s">
        <v>74</v>
      </c>
      <c r="E369" s="41" t="str">
        <f>VLOOKUP(Рецепты[[#This Row],[Состав]],Ингредиенты[],2,0)</f>
        <v>Рыба</v>
      </c>
      <c r="F369" s="62">
        <v>1</v>
      </c>
      <c r="G369" s="42">
        <f>IF(Рецепты[[#This Row],[%]]*1000&gt;0,Рецепты[[#This Row],[%]]*1000,"")</f>
        <v>1000</v>
      </c>
      <c r="H369" s="43">
        <f>IFERROR(VLOOKUP(Рецепты[[#This Row],[Состав]],Ингредиенты!A:I,3,0)*Рецепты[[#This Row],[г]],"")</f>
        <v>342.85714285714283</v>
      </c>
      <c r="I369" s="42">
        <f>СводРецепт!$A$1</f>
        <v>1000</v>
      </c>
      <c r="J369" s="42">
        <f>Рецепты[[#This Row],[%]]*Рецепты[[#This Row],[Масса]]</f>
        <v>1000</v>
      </c>
      <c r="K369" s="43">
        <f>Рецепты[[#This Row],[Вес ингр-тов]]*VLOOKUP(Рецепты[[#This Row],[Состав]],Ингредиенты[],3,FALSE)</f>
        <v>342.85714285714283</v>
      </c>
      <c r="L369" s="41">
        <f>IF(VLOOKUP(Рецепты[[#This Row],[Состав]],Ингредиенты[],4,0)="Основа",VLOOKUP(Рецепты[[#This Row],[Способ]],Способ[],2,0),0%)</f>
        <v>0.35</v>
      </c>
      <c r="M369" s="41">
        <f>VLOOKUP(Рецепты[[#This Row],[Способ]],Способ[],3,0)</f>
        <v>2</v>
      </c>
      <c r="N369" s="43">
        <f>Рецепты[[#This Row],[р]]*100%/(100%-Рецепты[[#This Row],[Потери, %]])+Рецепты[[#This Row],[Маржа]]*(Рецепты[[#This Row],[р]]*100%)/(100%-Рецепты[[#This Row],[Потери, %]])</f>
        <v>1582.4175824175823</v>
      </c>
      <c r="O369" s="43">
        <f>Рецепты[[#This Row],[Цена за 1 кг]]-(Рецепты[[#This Row],[р]]*100%/(100%-Рецепты[[#This Row],[Потери, %]]))</f>
        <v>1054.9450549450548</v>
      </c>
      <c r="P369" t="s">
        <v>575</v>
      </c>
      <c r="Q369" s="40" t="s">
        <v>576</v>
      </c>
      <c r="R369" s="44" t="str">
        <f>VLOOKUP(Рецепты[[#This Row],[Состав]],Ингредиенты[],9,0)</f>
        <v>Нет</v>
      </c>
      <c r="S369" s="52"/>
    </row>
    <row r="370" spans="1:19" x14ac:dyDescent="0.25">
      <c r="A370" s="40" t="s">
        <v>574</v>
      </c>
      <c r="B370" s="40" t="str">
        <f t="shared" si="49"/>
        <v>Рыба</v>
      </c>
      <c r="C370" s="40" t="str">
        <f t="shared" ref="C370:C375" si="51">C369</f>
        <v>Сыровяленное</v>
      </c>
      <c r="D370" s="40" t="s">
        <v>93</v>
      </c>
      <c r="E370" s="41" t="str">
        <f>VLOOKUP(Рецепты[[#This Row],[Состав]],Ингредиенты[],2,0)</f>
        <v>Добавки</v>
      </c>
      <c r="F370" s="62">
        <v>0.15</v>
      </c>
      <c r="G370" s="42">
        <f>IF(Рецепты[[#This Row],[%]]*1000&gt;0,Рецепты[[#This Row],[%]]*1000,"")</f>
        <v>150</v>
      </c>
      <c r="H370" s="43">
        <f>IFERROR(VLOOKUP(Рецепты[[#This Row],[Состав]],Ингредиенты!A:I,3,0)*Рецепты[[#This Row],[г]],"")</f>
        <v>0.15</v>
      </c>
      <c r="I370" s="42">
        <f>СводРецепт!$A$1</f>
        <v>1000</v>
      </c>
      <c r="J370" s="42">
        <f>Рецепты[[#This Row],[%]]*Рецепты[[#This Row],[Масса]]</f>
        <v>150</v>
      </c>
      <c r="K370" s="43">
        <f>Рецепты[[#This Row],[Вес ингр-тов]]*VLOOKUP(Рецепты[[#This Row],[Состав]],Ингредиенты[],3,FALSE)</f>
        <v>0.15</v>
      </c>
      <c r="L370" s="41">
        <f>IF(VLOOKUP(Рецепты[[#This Row],[Состав]],Ингредиенты[],4,0)="Основа",VLOOKUP(Рецепты[[#This Row],[Способ]],Способ[],2,0),0%)</f>
        <v>0</v>
      </c>
      <c r="M370" s="41">
        <f>VLOOKUP(Рецепты[[#This Row],[Способ]],Способ[],3,0)</f>
        <v>2</v>
      </c>
      <c r="N370" s="43">
        <f>Рецепты[[#This Row],[р]]*100%/(100%-Рецепты[[#This Row],[Потери, %]])+Рецепты[[#This Row],[Маржа]]*(Рецепты[[#This Row],[р]]*100%)/(100%-Рецепты[[#This Row],[Потери, %]])</f>
        <v>0.44999999999999996</v>
      </c>
      <c r="O370" s="43">
        <f>Рецепты[[#This Row],[Цена за 1 кг]]-(Рецепты[[#This Row],[р]]*100%/(100%-Рецепты[[#This Row],[Потери, %]]))</f>
        <v>0.29999999999999993</v>
      </c>
      <c r="P370" t="s">
        <v>575</v>
      </c>
      <c r="Q370" s="40" t="s">
        <v>576</v>
      </c>
      <c r="R370" s="44" t="str">
        <f>VLOOKUP(Рецепты[[#This Row],[Состав]],Ингредиенты[],9,0)</f>
        <v>Да</v>
      </c>
      <c r="S370" s="52"/>
    </row>
    <row r="371" spans="1:19" x14ac:dyDescent="0.25">
      <c r="A371" s="40" t="s">
        <v>574</v>
      </c>
      <c r="B371" s="40" t="str">
        <f t="shared" si="49"/>
        <v>Рыба</v>
      </c>
      <c r="C371" s="40" t="str">
        <f t="shared" si="51"/>
        <v>Сыровяленное</v>
      </c>
      <c r="D371" s="40" t="s">
        <v>128</v>
      </c>
      <c r="E371" s="41" t="str">
        <f>VLOOKUP(Рецепты[[#This Row],[Состав]],Ингредиенты[],2,0)</f>
        <v>Специи</v>
      </c>
      <c r="F371" s="62">
        <v>0.05</v>
      </c>
      <c r="G371" s="42">
        <f>IF(Рецепты[[#This Row],[%]]*1000&gt;0,Рецепты[[#This Row],[%]]*1000,"")</f>
        <v>50</v>
      </c>
      <c r="H371" s="43">
        <f>IFERROR(VLOOKUP(Рецепты[[#This Row],[Состав]],Ингредиенты!A:I,3,0)*Рецепты[[#This Row],[г]],"")</f>
        <v>1.925</v>
      </c>
      <c r="I371" s="42">
        <f>СводРецепт!$A$1</f>
        <v>1000</v>
      </c>
      <c r="J371" s="42">
        <f>Рецепты[[#This Row],[%]]*Рецепты[[#This Row],[Масса]]</f>
        <v>50</v>
      </c>
      <c r="K371" s="43">
        <f>Рецепты[[#This Row],[Вес ингр-тов]]*VLOOKUP(Рецепты[[#This Row],[Состав]],Ингредиенты[],3,FALSE)</f>
        <v>1.925</v>
      </c>
      <c r="L371" s="41">
        <f>IF(VLOOKUP(Рецепты[[#This Row],[Состав]],Ингредиенты[],4,0)="Основа",VLOOKUP(Рецепты[[#This Row],[Способ]],Способ[],2,0),0%)</f>
        <v>0</v>
      </c>
      <c r="M371" s="41">
        <f>VLOOKUP(Рецепты[[#This Row],[Способ]],Способ[],3,0)</f>
        <v>2</v>
      </c>
      <c r="N371" s="43">
        <f>Рецепты[[#This Row],[р]]*100%/(100%-Рецепты[[#This Row],[Потери, %]])+Рецепты[[#This Row],[Маржа]]*(Рецепты[[#This Row],[р]]*100%)/(100%-Рецепты[[#This Row],[Потери, %]])</f>
        <v>5.7750000000000004</v>
      </c>
      <c r="O371" s="43">
        <f>Рецепты[[#This Row],[Цена за 1 кг]]-(Рецепты[[#This Row],[р]]*100%/(100%-Рецепты[[#This Row],[Потери, %]]))</f>
        <v>3.8500000000000005</v>
      </c>
      <c r="P371" t="s">
        <v>575</v>
      </c>
      <c r="Q371" s="40" t="s">
        <v>576</v>
      </c>
      <c r="R371" s="44" t="str">
        <f>VLOOKUP(Рецепты[[#This Row],[Состав]],Ингредиенты[],9,0)</f>
        <v>Да</v>
      </c>
      <c r="S371" s="52"/>
    </row>
    <row r="372" spans="1:19" x14ac:dyDescent="0.25">
      <c r="A372" s="40" t="s">
        <v>574</v>
      </c>
      <c r="B372" s="40" t="str">
        <f t="shared" si="49"/>
        <v>Рыба</v>
      </c>
      <c r="C372" s="40" t="str">
        <f t="shared" si="51"/>
        <v>Сыровяленное</v>
      </c>
      <c r="D372" s="40" t="s">
        <v>107</v>
      </c>
      <c r="E372" s="41" t="str">
        <f>VLOOKUP(Рецепты[[#This Row],[Состав]],Ингредиенты[],2,0)</f>
        <v>Добавки</v>
      </c>
      <c r="F372" s="62">
        <v>0.02</v>
      </c>
      <c r="G372" s="42">
        <f>IF(Рецепты[[#This Row],[%]]*1000&gt;0,Рецепты[[#This Row],[%]]*1000,"")</f>
        <v>20</v>
      </c>
      <c r="H372" s="43">
        <f>IFERROR(VLOOKUP(Рецепты[[#This Row],[Состав]],Ингредиенты!A:I,3,0)*Рецепты[[#This Row],[г]],"")</f>
        <v>4.3</v>
      </c>
      <c r="I372" s="42">
        <f>СводРецепт!$A$1</f>
        <v>1000</v>
      </c>
      <c r="J372" s="42">
        <f>Рецепты[[#This Row],[%]]*Рецепты[[#This Row],[Масса]]</f>
        <v>20</v>
      </c>
      <c r="K372" s="43">
        <f>Рецепты[[#This Row],[Вес ингр-тов]]*VLOOKUP(Рецепты[[#This Row],[Состав]],Ингредиенты[],3,FALSE)</f>
        <v>4.3</v>
      </c>
      <c r="L372" s="41">
        <f>IF(VLOOKUP(Рецепты[[#This Row],[Состав]],Ингредиенты[],4,0)="Основа",VLOOKUP(Рецепты[[#This Row],[Способ]],Способ[],2,0),0%)</f>
        <v>0</v>
      </c>
      <c r="M372" s="41">
        <f>VLOOKUP(Рецепты[[#This Row],[Способ]],Способ[],3,0)</f>
        <v>2</v>
      </c>
      <c r="N372" s="43">
        <f>Рецепты[[#This Row],[р]]*100%/(100%-Рецепты[[#This Row],[Потери, %]])+Рецепты[[#This Row],[Маржа]]*(Рецепты[[#This Row],[р]]*100%)/(100%-Рецепты[[#This Row],[Потери, %]])</f>
        <v>12.899999999999999</v>
      </c>
      <c r="O372" s="43">
        <f>Рецепты[[#This Row],[Цена за 1 кг]]-(Рецепты[[#This Row],[р]]*100%/(100%-Рецепты[[#This Row],[Потери, %]]))</f>
        <v>8.5999999999999979</v>
      </c>
      <c r="P372" t="s">
        <v>575</v>
      </c>
      <c r="Q372" s="40" t="s">
        <v>576</v>
      </c>
      <c r="R372" s="44" t="str">
        <f>VLOOKUP(Рецепты[[#This Row],[Состав]],Ингредиенты[],9,0)</f>
        <v>Нет</v>
      </c>
      <c r="S372" s="52"/>
    </row>
    <row r="373" spans="1:19" x14ac:dyDescent="0.25">
      <c r="A373" s="40" t="s">
        <v>574</v>
      </c>
      <c r="B373" s="40" t="str">
        <f t="shared" si="49"/>
        <v>Рыба</v>
      </c>
      <c r="C373" s="40" t="str">
        <f t="shared" si="51"/>
        <v>Сыровяленное</v>
      </c>
      <c r="D373" s="40" t="s">
        <v>131</v>
      </c>
      <c r="E373" s="41" t="str">
        <f>VLOOKUP(Рецепты[[#This Row],[Состав]],Ингредиенты[],2,0)</f>
        <v>Специи</v>
      </c>
      <c r="F373" s="62">
        <v>2.5000000000000001E-2</v>
      </c>
      <c r="G373" s="42">
        <f>IF(Рецепты[[#This Row],[%]]*1000&gt;0,Рецепты[[#This Row],[%]]*1000,"")</f>
        <v>25</v>
      </c>
      <c r="H373" s="43">
        <f>IFERROR(VLOOKUP(Рецепты[[#This Row],[Состав]],Ингредиенты!A:I,3,0)*Рецепты[[#This Row],[г]],"")</f>
        <v>2.0220588235294117</v>
      </c>
      <c r="I373" s="42">
        <f>СводРецепт!$A$1</f>
        <v>1000</v>
      </c>
      <c r="J373" s="42">
        <f>Рецепты[[#This Row],[%]]*Рецепты[[#This Row],[Масса]]</f>
        <v>25</v>
      </c>
      <c r="K373" s="43">
        <f>Рецепты[[#This Row],[Вес ингр-тов]]*VLOOKUP(Рецепты[[#This Row],[Состав]],Ингредиенты[],3,FALSE)</f>
        <v>2.0220588235294117</v>
      </c>
      <c r="L373" s="41">
        <f>IF(VLOOKUP(Рецепты[[#This Row],[Состав]],Ингредиенты[],4,0)="Основа",VLOOKUP(Рецепты[[#This Row],[Способ]],Способ[],2,0),0%)</f>
        <v>0</v>
      </c>
      <c r="M373" s="41">
        <f>VLOOKUP(Рецепты[[#This Row],[Способ]],Способ[],3,0)</f>
        <v>2</v>
      </c>
      <c r="N373" s="43">
        <f>Рецепты[[#This Row],[р]]*100%/(100%-Рецепты[[#This Row],[Потери, %]])+Рецепты[[#This Row],[Маржа]]*(Рецепты[[#This Row],[р]]*100%)/(100%-Рецепты[[#This Row],[Потери, %]])</f>
        <v>6.0661764705882355</v>
      </c>
      <c r="O373" s="43">
        <f>Рецепты[[#This Row],[Цена за 1 кг]]-(Рецепты[[#This Row],[р]]*100%/(100%-Рецепты[[#This Row],[Потери, %]]))</f>
        <v>4.0441176470588243</v>
      </c>
      <c r="P373" t="s">
        <v>575</v>
      </c>
      <c r="Q373" s="40" t="s">
        <v>576</v>
      </c>
      <c r="R373" s="44" t="str">
        <f>VLOOKUP(Рецепты[[#This Row],[Состав]],Ингредиенты[],9,0)</f>
        <v>Да</v>
      </c>
      <c r="S373" s="52"/>
    </row>
    <row r="374" spans="1:19" x14ac:dyDescent="0.25">
      <c r="A374" s="40" t="s">
        <v>574</v>
      </c>
      <c r="B374" s="40" t="str">
        <f t="shared" si="49"/>
        <v>Рыба</v>
      </c>
      <c r="C374" s="40" t="str">
        <f t="shared" si="51"/>
        <v>Сыровяленное</v>
      </c>
      <c r="D374" s="40" t="s">
        <v>151</v>
      </c>
      <c r="E374" s="41" t="str">
        <f>VLOOKUP(Рецепты[[#This Row],[Состав]],Ингредиенты[],2,0)</f>
        <v>Специи</v>
      </c>
      <c r="F374" s="62">
        <v>1.4999999999999999E-2</v>
      </c>
      <c r="G374" s="42">
        <f>IF(Рецепты[[#This Row],[%]]*1000&gt;0,Рецепты[[#This Row],[%]]*1000,"")</f>
        <v>15</v>
      </c>
      <c r="H374" s="43">
        <f>IFERROR(VLOOKUP(Рецепты[[#This Row],[Состав]],Ингредиенты!A:I,3,0)*Рецепты[[#This Row],[г]],"")</f>
        <v>13.174999999999999</v>
      </c>
      <c r="I374" s="42">
        <f>СводРецепт!$A$1</f>
        <v>1000</v>
      </c>
      <c r="J374" s="42">
        <f>Рецепты[[#This Row],[%]]*Рецепты[[#This Row],[Масса]]</f>
        <v>15</v>
      </c>
      <c r="K374" s="43">
        <f>Рецепты[[#This Row],[Вес ингр-тов]]*VLOOKUP(Рецепты[[#This Row],[Состав]],Ингредиенты[],3,FALSE)</f>
        <v>13.174999999999999</v>
      </c>
      <c r="L374" s="41">
        <f>IF(VLOOKUP(Рецепты[[#This Row],[Состав]],Ингредиенты[],4,0)="Основа",VLOOKUP(Рецепты[[#This Row],[Способ]],Способ[],2,0),0%)</f>
        <v>0</v>
      </c>
      <c r="M374" s="41">
        <f>VLOOKUP(Рецепты[[#This Row],[Способ]],Способ[],3,0)</f>
        <v>2</v>
      </c>
      <c r="N374" s="43">
        <f>Рецепты[[#This Row],[р]]*100%/(100%-Рецепты[[#This Row],[Потери, %]])+Рецепты[[#This Row],[Маржа]]*(Рецепты[[#This Row],[р]]*100%)/(100%-Рецепты[[#This Row],[Потери, %]])</f>
        <v>39.524999999999999</v>
      </c>
      <c r="O374" s="43">
        <f>Рецепты[[#This Row],[Цена за 1 кг]]-(Рецепты[[#This Row],[р]]*100%/(100%-Рецепты[[#This Row],[Потери, %]]))</f>
        <v>26.35</v>
      </c>
      <c r="P374" t="s">
        <v>575</v>
      </c>
      <c r="Q374" s="40" t="s">
        <v>576</v>
      </c>
      <c r="R374" s="44" t="str">
        <f>VLOOKUP(Рецепты[[#This Row],[Состав]],Ингредиенты[],9,0)</f>
        <v>Да</v>
      </c>
      <c r="S374" s="52"/>
    </row>
    <row r="375" spans="1:19" x14ac:dyDescent="0.25">
      <c r="A375" s="40" t="s">
        <v>574</v>
      </c>
      <c r="B375" s="40" t="str">
        <f t="shared" si="49"/>
        <v>Рыба</v>
      </c>
      <c r="C375" s="40" t="str">
        <f t="shared" si="51"/>
        <v>Сыровяленное</v>
      </c>
      <c r="D375" s="40" t="s">
        <v>147</v>
      </c>
      <c r="E375" s="41" t="str">
        <f>VLOOKUP(Рецепты[[#This Row],[Состав]],Ингредиенты[],2,0)</f>
        <v>Специи</v>
      </c>
      <c r="F375" s="62">
        <v>0.01</v>
      </c>
      <c r="G375" s="42">
        <f>IF(Рецепты[[#This Row],[%]]*1000&gt;0,Рецепты[[#This Row],[%]]*1000,"")</f>
        <v>10</v>
      </c>
      <c r="H375" s="43">
        <f>IFERROR(VLOOKUP(Рецепты[[#This Row],[Состав]],Ингредиенты!A:I,3,0)*Рецепты[[#This Row],[г]],"")</f>
        <v>8.9600000000000009</v>
      </c>
      <c r="I375" s="42">
        <f>СводРецепт!$A$1</f>
        <v>1000</v>
      </c>
      <c r="J375" s="42">
        <f>Рецепты[[#This Row],[%]]*Рецепты[[#This Row],[Масса]]</f>
        <v>10</v>
      </c>
      <c r="K375" s="43">
        <f>Рецепты[[#This Row],[Вес ингр-тов]]*VLOOKUP(Рецепты[[#This Row],[Состав]],Ингредиенты[],3,FALSE)</f>
        <v>8.9600000000000009</v>
      </c>
      <c r="L375" s="41">
        <f>IF(VLOOKUP(Рецепты[[#This Row],[Состав]],Ингредиенты[],4,0)="Основа",VLOOKUP(Рецепты[[#This Row],[Способ]],Способ[],2,0),0%)</f>
        <v>0</v>
      </c>
      <c r="M375" s="41">
        <f>VLOOKUP(Рецепты[[#This Row],[Способ]],Способ[],3,0)</f>
        <v>2</v>
      </c>
      <c r="N375" s="43">
        <f>Рецепты[[#This Row],[р]]*100%/(100%-Рецепты[[#This Row],[Потери, %]])+Рецепты[[#This Row],[Маржа]]*(Рецепты[[#This Row],[р]]*100%)/(100%-Рецепты[[#This Row],[Потери, %]])</f>
        <v>26.880000000000003</v>
      </c>
      <c r="O375" s="43">
        <f>Рецепты[[#This Row],[Цена за 1 кг]]-(Рецепты[[#This Row],[р]]*100%/(100%-Рецепты[[#This Row],[Потери, %]]))</f>
        <v>17.920000000000002</v>
      </c>
      <c r="P375" t="s">
        <v>575</v>
      </c>
      <c r="Q375" s="40" t="s">
        <v>576</v>
      </c>
      <c r="R375" s="44" t="str">
        <f>VLOOKUP(Рецепты[[#This Row],[Состав]],Ингредиенты[],9,0)</f>
        <v>Да</v>
      </c>
      <c r="S375" s="52"/>
    </row>
    <row r="376" spans="1:19" x14ac:dyDescent="0.25">
      <c r="A376" s="40" t="s">
        <v>577</v>
      </c>
      <c r="B376" s="40" t="str">
        <f t="shared" si="49"/>
        <v>Рыба</v>
      </c>
      <c r="C376" s="40" t="s">
        <v>33</v>
      </c>
      <c r="D376" s="40" t="s">
        <v>72</v>
      </c>
      <c r="E376" s="41" t="str">
        <f>VLOOKUP(Рецепты[[#This Row],[Состав]],Ингредиенты[],2,0)</f>
        <v>Рыба</v>
      </c>
      <c r="F376" s="62">
        <v>1</v>
      </c>
      <c r="G376" s="42">
        <f>IF(Рецепты[[#This Row],[%]]*1000&gt;0,Рецепты[[#This Row],[%]]*1000,"")</f>
        <v>1000</v>
      </c>
      <c r="H376" s="43">
        <f>IFERROR(VLOOKUP(Рецепты[[#This Row],[Состав]],Ингредиенты!A:I,3,0)*Рецепты[[#This Row],[г]],"")</f>
        <v>425</v>
      </c>
      <c r="I376" s="42">
        <f>СводРецепт!$A$1</f>
        <v>1000</v>
      </c>
      <c r="J376" s="42">
        <f>Рецепты[[#This Row],[%]]*Рецепты[[#This Row],[Масса]]</f>
        <v>1000</v>
      </c>
      <c r="K376" s="43">
        <f>Рецепты[[#This Row],[Вес ингр-тов]]*VLOOKUP(Рецепты[[#This Row],[Состав]],Ингредиенты[],3,FALSE)</f>
        <v>425</v>
      </c>
      <c r="L376" s="41">
        <f>IF(VLOOKUP(Рецепты[[#This Row],[Состав]],Ингредиенты[],4,0)="Основа",VLOOKUP(Рецепты[[#This Row],[Способ]],Способ[],2,0),0%)</f>
        <v>0.1</v>
      </c>
      <c r="M376" s="41">
        <f>VLOOKUP(Рецепты[[#This Row],[Способ]],Способ[],3,0)</f>
        <v>0.9</v>
      </c>
      <c r="N376" s="43">
        <f>Рецепты[[#This Row],[р]]*100%/(100%-Рецепты[[#This Row],[Потери, %]])+Рецепты[[#This Row],[Маржа]]*(Рецепты[[#This Row],[р]]*100%)/(100%-Рецепты[[#This Row],[Потери, %]])</f>
        <v>897.22222222222217</v>
      </c>
      <c r="O376" s="43">
        <f>Рецепты[[#This Row],[Цена за 1 кг]]-(Рецепты[[#This Row],[р]]*100%/(100%-Рецепты[[#This Row],[Потери, %]]))</f>
        <v>424.99999999999994</v>
      </c>
      <c r="P376" t="s">
        <v>578</v>
      </c>
      <c r="Q376" s="40" t="s">
        <v>579</v>
      </c>
      <c r="R376" s="44" t="str">
        <f>VLOOKUP(Рецепты[[#This Row],[Состав]],Ингредиенты[],9,0)</f>
        <v>Нет</v>
      </c>
      <c r="S376" s="52"/>
    </row>
    <row r="377" spans="1:19" x14ac:dyDescent="0.25">
      <c r="A377" s="40" t="s">
        <v>577</v>
      </c>
      <c r="B377" s="40" t="str">
        <f t="shared" si="49"/>
        <v>Рыба</v>
      </c>
      <c r="C377" s="40" t="str">
        <f t="shared" ref="C377:C383" si="52">C376</f>
        <v>Провесная</v>
      </c>
      <c r="D377" s="40" t="s">
        <v>128</v>
      </c>
      <c r="E377" s="41" t="str">
        <f>VLOOKUP(Рецепты[[#This Row],[Состав]],Ингредиенты[],2,0)</f>
        <v>Специи</v>
      </c>
      <c r="F377" s="62">
        <v>0.17</v>
      </c>
      <c r="G377" s="42">
        <f>IF(Рецепты[[#This Row],[%]]*1000&gt;0,Рецепты[[#This Row],[%]]*1000,"")</f>
        <v>170</v>
      </c>
      <c r="H377" s="43">
        <f>IFERROR(VLOOKUP(Рецепты[[#This Row],[Состав]],Ингредиенты!A:I,3,0)*Рецепты[[#This Row],[г]],"")</f>
        <v>6.5449999999999999</v>
      </c>
      <c r="I377" s="42">
        <f>СводРецепт!$A$1</f>
        <v>1000</v>
      </c>
      <c r="J377" s="42">
        <f>Рецепты[[#This Row],[%]]*Рецепты[[#This Row],[Масса]]</f>
        <v>170</v>
      </c>
      <c r="K377" s="43">
        <f>Рецепты[[#This Row],[Вес ингр-тов]]*VLOOKUP(Рецепты[[#This Row],[Состав]],Ингредиенты[],3,FALSE)</f>
        <v>6.5449999999999999</v>
      </c>
      <c r="L377" s="41">
        <f>IF(VLOOKUP(Рецепты[[#This Row],[Состав]],Ингредиенты[],4,0)="Основа",VLOOKUP(Рецепты[[#This Row],[Способ]],Способ[],2,0),0%)</f>
        <v>0</v>
      </c>
      <c r="M377" s="41">
        <f>VLOOKUP(Рецепты[[#This Row],[Способ]],Способ[],3,0)</f>
        <v>0.9</v>
      </c>
      <c r="N377" s="43">
        <f>Рецепты[[#This Row],[р]]*100%/(100%-Рецепты[[#This Row],[Потери, %]])+Рецепты[[#This Row],[Маржа]]*(Рецепты[[#This Row],[р]]*100%)/(100%-Рецепты[[#This Row],[Потери, %]])</f>
        <v>12.435500000000001</v>
      </c>
      <c r="O377" s="43">
        <f>Рецепты[[#This Row],[Цена за 1 кг]]-(Рецепты[[#This Row],[р]]*100%/(100%-Рецепты[[#This Row],[Потери, %]]))</f>
        <v>5.8905000000000012</v>
      </c>
      <c r="P377" t="s">
        <v>578</v>
      </c>
      <c r="Q377" s="40" t="s">
        <v>579</v>
      </c>
      <c r="R377" s="44" t="str">
        <f>VLOOKUP(Рецепты[[#This Row],[Состав]],Ингредиенты[],9,0)</f>
        <v>Да</v>
      </c>
      <c r="S377" s="52"/>
    </row>
    <row r="378" spans="1:19" x14ac:dyDescent="0.25">
      <c r="A378" s="40" t="s">
        <v>577</v>
      </c>
      <c r="B378" s="40" t="str">
        <f t="shared" si="49"/>
        <v>Рыба</v>
      </c>
      <c r="C378" s="40" t="str">
        <f t="shared" si="52"/>
        <v>Провесная</v>
      </c>
      <c r="D378" s="40" t="s">
        <v>149</v>
      </c>
      <c r="E378" s="41" t="str">
        <f>VLOOKUP(Рецепты[[#This Row],[Состав]],Ингредиенты[],2,0)</f>
        <v>Специи</v>
      </c>
      <c r="F378" s="62">
        <v>5.0000000000000001E-4</v>
      </c>
      <c r="G378" s="42">
        <f>IF(Рецепты[[#This Row],[%]]*1000&gt;0,Рецепты[[#This Row],[%]]*1000,"")</f>
        <v>0.5</v>
      </c>
      <c r="H378" s="43">
        <f>IFERROR(VLOOKUP(Рецепты[[#This Row],[Состав]],Ингредиенты!A:I,3,0)*Рецепты[[#This Row],[г]],"")</f>
        <v>1.0386363636363636</v>
      </c>
      <c r="I378" s="42">
        <f>СводРецепт!$A$1</f>
        <v>1000</v>
      </c>
      <c r="J378" s="42">
        <f>Рецепты[[#This Row],[%]]*Рецепты[[#This Row],[Масса]]</f>
        <v>0.5</v>
      </c>
      <c r="K378" s="43">
        <f>Рецепты[[#This Row],[Вес ингр-тов]]*VLOOKUP(Рецепты[[#This Row],[Состав]],Ингредиенты[],3,FALSE)</f>
        <v>1.0386363636363636</v>
      </c>
      <c r="L378" s="41">
        <f>IF(VLOOKUP(Рецепты[[#This Row],[Состав]],Ингредиенты[],4,0)="Основа",VLOOKUP(Рецепты[[#This Row],[Способ]],Способ[],2,0),0%)</f>
        <v>0</v>
      </c>
      <c r="M378" s="41">
        <f>VLOOKUP(Рецепты[[#This Row],[Способ]],Способ[],3,0)</f>
        <v>0.9</v>
      </c>
      <c r="N378" s="43">
        <f>Рецепты[[#This Row],[р]]*100%/(100%-Рецепты[[#This Row],[Потери, %]])+Рецепты[[#This Row],[Маржа]]*(Рецепты[[#This Row],[р]]*100%)/(100%-Рецепты[[#This Row],[Потери, %]])</f>
        <v>1.9734090909090907</v>
      </c>
      <c r="O378" s="43">
        <f>Рецепты[[#This Row],[Цена за 1 кг]]-(Рецепты[[#This Row],[р]]*100%/(100%-Рецепты[[#This Row],[Потери, %]]))</f>
        <v>0.93477272727272709</v>
      </c>
      <c r="P378" t="s">
        <v>578</v>
      </c>
      <c r="Q378" s="40" t="s">
        <v>579</v>
      </c>
      <c r="R378" s="44" t="str">
        <f>VLOOKUP(Рецепты[[#This Row],[Состав]],Ингредиенты[],9,0)</f>
        <v>Да</v>
      </c>
      <c r="S378" s="52"/>
    </row>
    <row r="379" spans="1:19" x14ac:dyDescent="0.25">
      <c r="A379" s="40" t="s">
        <v>577</v>
      </c>
      <c r="B379" s="40" t="str">
        <f t="shared" si="49"/>
        <v>Рыба</v>
      </c>
      <c r="C379" s="40" t="str">
        <f t="shared" si="52"/>
        <v>Провесная</v>
      </c>
      <c r="D379" s="40" t="s">
        <v>135</v>
      </c>
      <c r="E379" s="41" t="str">
        <f>VLOOKUP(Рецепты[[#This Row],[Состав]],Ингредиенты[],2,0)</f>
        <v>Специи</v>
      </c>
      <c r="F379" s="62">
        <v>5.0000000000000001E-4</v>
      </c>
      <c r="G379" s="42">
        <f>IF(Рецепты[[#This Row],[%]]*1000&gt;0,Рецепты[[#This Row],[%]]*1000,"")</f>
        <v>0.5</v>
      </c>
      <c r="H379" s="43">
        <f>IFERROR(VLOOKUP(Рецепты[[#This Row],[Состав]],Ингредиенты!A:I,3,0)*Рецепты[[#This Row],[г]],"")</f>
        <v>0.79</v>
      </c>
      <c r="I379" s="42">
        <f>СводРецепт!$A$1</f>
        <v>1000</v>
      </c>
      <c r="J379" s="42">
        <f>Рецепты[[#This Row],[%]]*Рецепты[[#This Row],[Масса]]</f>
        <v>0.5</v>
      </c>
      <c r="K379" s="43">
        <f>Рецепты[[#This Row],[Вес ингр-тов]]*VLOOKUP(Рецепты[[#This Row],[Состав]],Ингредиенты[],3,FALSE)</f>
        <v>0.79</v>
      </c>
      <c r="L379" s="41">
        <f>IF(VLOOKUP(Рецепты[[#This Row],[Состав]],Ингредиенты[],4,0)="Основа",VLOOKUP(Рецепты[[#This Row],[Способ]],Способ[],2,0),0%)</f>
        <v>0</v>
      </c>
      <c r="M379" s="41">
        <f>VLOOKUP(Рецепты[[#This Row],[Способ]],Способ[],3,0)</f>
        <v>0.9</v>
      </c>
      <c r="N379" s="43">
        <f>Рецепты[[#This Row],[р]]*100%/(100%-Рецепты[[#This Row],[Потери, %]])+Рецепты[[#This Row],[Маржа]]*(Рецепты[[#This Row],[р]]*100%)/(100%-Рецепты[[#This Row],[Потери, %]])</f>
        <v>1.5010000000000001</v>
      </c>
      <c r="O379" s="43">
        <f>Рецепты[[#This Row],[Цена за 1 кг]]-(Рецепты[[#This Row],[р]]*100%/(100%-Рецепты[[#This Row],[Потери, %]]))</f>
        <v>0.71100000000000008</v>
      </c>
      <c r="P379" t="s">
        <v>578</v>
      </c>
      <c r="Q379" s="40" t="s">
        <v>579</v>
      </c>
      <c r="R379" s="44" t="str">
        <f>VLOOKUP(Рецепты[[#This Row],[Состав]],Ингредиенты[],9,0)</f>
        <v>Да</v>
      </c>
      <c r="S379" s="52"/>
    </row>
    <row r="380" spans="1:19" x14ac:dyDescent="0.25">
      <c r="A380" s="40" t="s">
        <v>577</v>
      </c>
      <c r="B380" s="40" t="str">
        <f t="shared" si="49"/>
        <v>Рыба</v>
      </c>
      <c r="C380" s="40" t="str">
        <f t="shared" si="52"/>
        <v>Провесная</v>
      </c>
      <c r="D380" s="40" t="s">
        <v>143</v>
      </c>
      <c r="E380" s="41" t="str">
        <f>VLOOKUP(Рецепты[[#This Row],[Состав]],Ингредиенты[],2,0)</f>
        <v>Специи</v>
      </c>
      <c r="F380" s="62">
        <v>2.9999999999999997E-4</v>
      </c>
      <c r="G380" s="42">
        <f>IF(Рецепты[[#This Row],[%]]*1000&gt;0,Рецепты[[#This Row],[%]]*1000,"")</f>
        <v>0.3</v>
      </c>
      <c r="H380" s="43">
        <f>IFERROR(VLOOKUP(Рецепты[[#This Row],[Состав]],Ингредиенты!A:I,3,0)*Рецепты[[#This Row],[г]],"")</f>
        <v>0.33959999999999996</v>
      </c>
      <c r="I380" s="42">
        <f>СводРецепт!$A$1</f>
        <v>1000</v>
      </c>
      <c r="J380" s="42">
        <f>Рецепты[[#This Row],[%]]*Рецепты[[#This Row],[Масса]]</f>
        <v>0.3</v>
      </c>
      <c r="K380" s="43">
        <f>Рецепты[[#This Row],[Вес ингр-тов]]*VLOOKUP(Рецепты[[#This Row],[Состав]],Ингредиенты[],3,FALSE)</f>
        <v>0.33959999999999996</v>
      </c>
      <c r="L380" s="41">
        <f>IF(VLOOKUP(Рецепты[[#This Row],[Состав]],Ингредиенты[],4,0)="Основа",VLOOKUP(Рецепты[[#This Row],[Способ]],Способ[],2,0),0%)</f>
        <v>0</v>
      </c>
      <c r="M380" s="41">
        <f>VLOOKUP(Рецепты[[#This Row],[Способ]],Способ[],3,0)</f>
        <v>0.9</v>
      </c>
      <c r="N380" s="43">
        <f>Рецепты[[#This Row],[р]]*100%/(100%-Рецепты[[#This Row],[Потери, %]])+Рецепты[[#This Row],[Маржа]]*(Рецепты[[#This Row],[р]]*100%)/(100%-Рецепты[[#This Row],[Потери, %]])</f>
        <v>0.64523999999999992</v>
      </c>
      <c r="O380" s="43">
        <f>Рецепты[[#This Row],[Цена за 1 кг]]-(Рецепты[[#This Row],[р]]*100%/(100%-Рецепты[[#This Row],[Потери, %]]))</f>
        <v>0.30563999999999997</v>
      </c>
      <c r="P380" t="s">
        <v>578</v>
      </c>
      <c r="Q380" s="40" t="s">
        <v>579</v>
      </c>
      <c r="R380" s="44" t="str">
        <f>VLOOKUP(Рецепты[[#This Row],[Состав]],Ингредиенты[],9,0)</f>
        <v>Да</v>
      </c>
      <c r="S380" s="52"/>
    </row>
    <row r="381" spans="1:19" x14ac:dyDescent="0.25">
      <c r="A381" s="40" t="s">
        <v>577</v>
      </c>
      <c r="B381" s="40" t="str">
        <f t="shared" si="49"/>
        <v>Рыба</v>
      </c>
      <c r="C381" s="40" t="str">
        <f t="shared" si="52"/>
        <v>Провесная</v>
      </c>
      <c r="D381" s="40" t="s">
        <v>93</v>
      </c>
      <c r="E381" s="41" t="str">
        <f>VLOOKUP(Рецепты[[#This Row],[Состав]],Ингредиенты[],2,0)</f>
        <v>Добавки</v>
      </c>
      <c r="F381" s="62">
        <v>1</v>
      </c>
      <c r="G381" s="42">
        <f>IF(Рецепты[[#This Row],[%]]*1000&gt;0,Рецепты[[#This Row],[%]]*1000,"")</f>
        <v>1000</v>
      </c>
      <c r="H381" s="43">
        <f>IFERROR(VLOOKUP(Рецепты[[#This Row],[Состав]],Ингредиенты!A:I,3,0)*Рецепты[[#This Row],[г]],"")</f>
        <v>1</v>
      </c>
      <c r="I381" s="42">
        <f>СводРецепт!$A$1</f>
        <v>1000</v>
      </c>
      <c r="J381" s="42">
        <f>Рецепты[[#This Row],[%]]*Рецепты[[#This Row],[Масса]]</f>
        <v>1000</v>
      </c>
      <c r="K381" s="43">
        <f>Рецепты[[#This Row],[Вес ингр-тов]]*VLOOKUP(Рецепты[[#This Row],[Состав]],Ингредиенты[],3,FALSE)</f>
        <v>1</v>
      </c>
      <c r="L381" s="41">
        <f>IF(VLOOKUP(Рецепты[[#This Row],[Состав]],Ингредиенты[],4,0)="Основа",VLOOKUP(Рецепты[[#This Row],[Способ]],Способ[],2,0),0%)</f>
        <v>0</v>
      </c>
      <c r="M381" s="41">
        <f>VLOOKUP(Рецепты[[#This Row],[Способ]],Способ[],3,0)</f>
        <v>0.9</v>
      </c>
      <c r="N381" s="43">
        <f>Рецепты[[#This Row],[р]]*100%/(100%-Рецепты[[#This Row],[Потери, %]])+Рецепты[[#This Row],[Маржа]]*(Рецепты[[#This Row],[р]]*100%)/(100%-Рецепты[[#This Row],[Потери, %]])</f>
        <v>1.9</v>
      </c>
      <c r="O381" s="43">
        <f>Рецепты[[#This Row],[Цена за 1 кг]]-(Рецепты[[#This Row],[р]]*100%/(100%-Рецепты[[#This Row],[Потери, %]]))</f>
        <v>0.89999999999999991</v>
      </c>
      <c r="P381" t="s">
        <v>578</v>
      </c>
      <c r="Q381" s="40" t="s">
        <v>579</v>
      </c>
      <c r="R381" s="44" t="str">
        <f>VLOOKUP(Рецепты[[#This Row],[Состав]],Ингредиенты[],9,0)</f>
        <v>Да</v>
      </c>
      <c r="S381" s="52"/>
    </row>
    <row r="382" spans="1:19" x14ac:dyDescent="0.25">
      <c r="A382" s="40" t="s">
        <v>577</v>
      </c>
      <c r="B382" s="40" t="str">
        <f t="shared" si="49"/>
        <v>Рыба</v>
      </c>
      <c r="C382" s="40" t="str">
        <f t="shared" si="52"/>
        <v>Провесная</v>
      </c>
      <c r="D382" s="40" t="s">
        <v>130</v>
      </c>
      <c r="E382" s="41" t="str">
        <f>VLOOKUP(Рецепты[[#This Row],[Состав]],Ингредиенты[],2,0)</f>
        <v>Специи</v>
      </c>
      <c r="F382" s="62">
        <v>0.08</v>
      </c>
      <c r="G382" s="42">
        <f>IF(Рецепты[[#This Row],[%]]*1000&gt;0,Рецепты[[#This Row],[%]]*1000,"")</f>
        <v>80</v>
      </c>
      <c r="H382" s="43">
        <f>IFERROR(VLOOKUP(Рецепты[[#This Row],[Состав]],Ингредиенты!A:I,3,0)*Рецепты[[#This Row],[г]],"")</f>
        <v>3.08</v>
      </c>
      <c r="I382" s="42">
        <f>СводРецепт!$A$1</f>
        <v>1000</v>
      </c>
      <c r="J382" s="42">
        <f>Рецепты[[#This Row],[%]]*Рецепты[[#This Row],[Масса]]</f>
        <v>80</v>
      </c>
      <c r="K382" s="43">
        <f>Рецепты[[#This Row],[Вес ингр-тов]]*VLOOKUP(Рецепты[[#This Row],[Состав]],Ингредиенты[],3,FALSE)</f>
        <v>3.08</v>
      </c>
      <c r="L382" s="41">
        <f>IF(VLOOKUP(Рецепты[[#This Row],[Состав]],Ингредиенты[],4,0)="Основа",VLOOKUP(Рецепты[[#This Row],[Способ]],Способ[],2,0),0%)</f>
        <v>0</v>
      </c>
      <c r="M382" s="41">
        <f>VLOOKUP(Рецепты[[#This Row],[Способ]],Способ[],3,0)</f>
        <v>0.9</v>
      </c>
      <c r="N382" s="43">
        <f>Рецепты[[#This Row],[р]]*100%/(100%-Рецепты[[#This Row],[Потери, %]])+Рецепты[[#This Row],[Маржа]]*(Рецепты[[#This Row],[р]]*100%)/(100%-Рецепты[[#This Row],[Потери, %]])</f>
        <v>5.8520000000000003</v>
      </c>
      <c r="O382" s="43">
        <f>Рецепты[[#This Row],[Цена за 1 кг]]-(Рецепты[[#This Row],[р]]*100%/(100%-Рецепты[[#This Row],[Потери, %]]))</f>
        <v>2.7720000000000002</v>
      </c>
      <c r="P382" t="s">
        <v>578</v>
      </c>
      <c r="Q382" s="40" t="s">
        <v>579</v>
      </c>
      <c r="R382" s="44" t="str">
        <f>VLOOKUP(Рецепты[[#This Row],[Состав]],Ингредиенты[],9,0)</f>
        <v>Да</v>
      </c>
      <c r="S382" s="52"/>
    </row>
    <row r="383" spans="1:19" x14ac:dyDescent="0.25">
      <c r="A383" s="40" t="s">
        <v>577</v>
      </c>
      <c r="B383" s="40" t="str">
        <f t="shared" si="49"/>
        <v>Рыба</v>
      </c>
      <c r="C383" s="40" t="str">
        <f t="shared" si="52"/>
        <v>Провесная</v>
      </c>
      <c r="D383" s="40" t="s">
        <v>131</v>
      </c>
      <c r="E383" s="41" t="str">
        <f>VLOOKUP(Рецепты[[#This Row],[Состав]],Ингредиенты[],2,0)</f>
        <v>Специи</v>
      </c>
      <c r="F383" s="62">
        <v>5.0000000000000001E-3</v>
      </c>
      <c r="G383" s="42">
        <f>IF(Рецепты[[#This Row],[%]]*1000&gt;0,Рецепты[[#This Row],[%]]*1000,"")</f>
        <v>5</v>
      </c>
      <c r="H383" s="43">
        <f>IFERROR(VLOOKUP(Рецепты[[#This Row],[Состав]],Ингредиенты!A:I,3,0)*Рецепты[[#This Row],[г]],"")</f>
        <v>0.40441176470588236</v>
      </c>
      <c r="I383" s="42">
        <f>СводРецепт!$A$1</f>
        <v>1000</v>
      </c>
      <c r="J383" s="42">
        <f>Рецепты[[#This Row],[%]]*Рецепты[[#This Row],[Масса]]</f>
        <v>5</v>
      </c>
      <c r="K383" s="43">
        <f>Рецепты[[#This Row],[Вес ингр-тов]]*VLOOKUP(Рецепты[[#This Row],[Состав]],Ингредиенты[],3,FALSE)</f>
        <v>0.40441176470588236</v>
      </c>
      <c r="L383" s="41">
        <f>IF(VLOOKUP(Рецепты[[#This Row],[Состав]],Ингредиенты[],4,0)="Основа",VLOOKUP(Рецепты[[#This Row],[Способ]],Способ[],2,0),0%)</f>
        <v>0</v>
      </c>
      <c r="M383" s="41">
        <f>VLOOKUP(Рецепты[[#This Row],[Способ]],Способ[],3,0)</f>
        <v>0.9</v>
      </c>
      <c r="N383" s="43">
        <f>Рецепты[[#This Row],[р]]*100%/(100%-Рецепты[[#This Row],[Потери, %]])+Рецепты[[#This Row],[Маржа]]*(Рецепты[[#This Row],[р]]*100%)/(100%-Рецепты[[#This Row],[Потери, %]])</f>
        <v>0.76838235294117652</v>
      </c>
      <c r="O383" s="43">
        <f>Рецепты[[#This Row],[Цена за 1 кг]]-(Рецепты[[#This Row],[р]]*100%/(100%-Рецепты[[#This Row],[Потери, %]]))</f>
        <v>0.36397058823529416</v>
      </c>
      <c r="P383" t="s">
        <v>578</v>
      </c>
      <c r="Q383" s="40" t="s">
        <v>579</v>
      </c>
      <c r="R383" s="44" t="str">
        <f>VLOOKUP(Рецепты[[#This Row],[Состав]],Ингредиенты[],9,0)</f>
        <v>Да</v>
      </c>
      <c r="S383" s="52"/>
    </row>
    <row r="384" spans="1:19" x14ac:dyDescent="0.25">
      <c r="A384" s="40" t="s">
        <v>580</v>
      </c>
      <c r="B384" s="40" t="s">
        <v>30</v>
      </c>
      <c r="C384" s="40" t="s">
        <v>30</v>
      </c>
      <c r="D384" s="40" t="s">
        <v>67</v>
      </c>
      <c r="E384" s="41" t="str">
        <f>VLOOKUP(Рецепты[[#This Row],[Состав]],Ингредиенты[],2,0)</f>
        <v>Птица</v>
      </c>
      <c r="F384" s="62">
        <v>0.5</v>
      </c>
      <c r="G384" s="42">
        <f>IF(Рецепты[[#This Row],[%]]*1000&gt;0,Рецепты[[#This Row],[%]]*1000,"")</f>
        <v>500</v>
      </c>
      <c r="H384" s="43">
        <f>IFERROR(VLOOKUP(Рецепты[[#This Row],[Состав]],Ингредиенты!A:I,3,0)*Рецепты[[#This Row],[г]],"")</f>
        <v>100</v>
      </c>
      <c r="I384" s="42">
        <f>СводРецепт!$A$1</f>
        <v>1000</v>
      </c>
      <c r="J384" s="42">
        <f>Рецепты[[#This Row],[%]]*Рецепты[[#This Row],[Масса]]</f>
        <v>500</v>
      </c>
      <c r="K384" s="43">
        <f>Рецепты[[#This Row],[Вес ингр-тов]]*VLOOKUP(Рецепты[[#This Row],[Состав]],Ингредиенты[],3,FALSE)</f>
        <v>100</v>
      </c>
      <c r="L384" s="41">
        <f>IF(VLOOKUP(Рецепты[[#This Row],[Состав]],Ингредиенты[],4,0)="Основа",VLOOKUP(Рецепты[[#This Row],[Способ]],Способ[],2,0),0%)</f>
        <v>0.05</v>
      </c>
      <c r="M384" s="41">
        <f>VLOOKUP(Рецепты[[#This Row],[Способ]],Способ[],3,0)</f>
        <v>0.5</v>
      </c>
      <c r="N384" s="43">
        <f>Рецепты[[#This Row],[р]]*100%/(100%-Рецепты[[#This Row],[Потери, %]])+Рецепты[[#This Row],[Маржа]]*(Рецепты[[#This Row],[р]]*100%)/(100%-Рецепты[[#This Row],[Потери, %]])</f>
        <v>157.89473684210526</v>
      </c>
      <c r="O384" s="43">
        <f>Рецепты[[#This Row],[Цена за 1 кг]]-(Рецепты[[#This Row],[р]]*100%/(100%-Рецепты[[#This Row],[Потери, %]]))</f>
        <v>52.631578947368411</v>
      </c>
      <c r="P384" s="40" t="s">
        <v>581</v>
      </c>
      <c r="Q384" s="40"/>
      <c r="R384" s="44" t="str">
        <f>VLOOKUP(Рецепты[[#This Row],[Состав]],Ингредиенты[],9,0)</f>
        <v>Да</v>
      </c>
      <c r="S384" s="52"/>
    </row>
    <row r="385" spans="1:19" x14ac:dyDescent="0.25">
      <c r="A385" s="40" t="s">
        <v>580</v>
      </c>
      <c r="B385" s="40" t="str">
        <f t="shared" ref="B385:B391" si="53">B384</f>
        <v>Еда</v>
      </c>
      <c r="C385" s="40" t="str">
        <f t="shared" ref="C385:C391" si="54">C384</f>
        <v>Еда</v>
      </c>
      <c r="D385" s="40" t="s">
        <v>81</v>
      </c>
      <c r="E385" s="41" t="str">
        <f>VLOOKUP(Рецепты[[#This Row],[Состав]],Ингредиенты[],2,0)</f>
        <v>Добавки</v>
      </c>
      <c r="F385" s="62">
        <v>0.3</v>
      </c>
      <c r="G385" s="42">
        <f>IF(Рецепты[[#This Row],[%]]*1000&gt;0,Рецепты[[#This Row],[%]]*1000,"")</f>
        <v>300</v>
      </c>
      <c r="H385" s="43">
        <f>IFERROR(VLOOKUP(Рецепты[[#This Row],[Состав]],Ингредиенты!A:I,3,0)*Рецепты[[#This Row],[г]],"")</f>
        <v>12.375</v>
      </c>
      <c r="I385" s="42">
        <f>СводРецепт!$A$1</f>
        <v>1000</v>
      </c>
      <c r="J385" s="42">
        <f>Рецепты[[#This Row],[%]]*Рецепты[[#This Row],[Масса]]</f>
        <v>300</v>
      </c>
      <c r="K385" s="43">
        <f>Рецепты[[#This Row],[Вес ингр-тов]]*VLOOKUP(Рецепты[[#This Row],[Состав]],Ингредиенты[],3,FALSE)</f>
        <v>12.375</v>
      </c>
      <c r="L385" s="41">
        <f>IF(VLOOKUP(Рецепты[[#This Row],[Состав]],Ингредиенты[],4,0)="Основа",VLOOKUP(Рецепты[[#This Row],[Способ]],Способ[],2,0),0%)</f>
        <v>0.05</v>
      </c>
      <c r="M385" s="41">
        <f>VLOOKUP(Рецепты[[#This Row],[Способ]],Способ[],3,0)</f>
        <v>0.5</v>
      </c>
      <c r="N385" s="43">
        <f>Рецепты[[#This Row],[р]]*100%/(100%-Рецепты[[#This Row],[Потери, %]])+Рецепты[[#This Row],[Маржа]]*(Рецепты[[#This Row],[р]]*100%)/(100%-Рецепты[[#This Row],[Потери, %]])</f>
        <v>19.539473684210527</v>
      </c>
      <c r="O385" s="43">
        <f>Рецепты[[#This Row],[Цена за 1 кг]]-(Рецепты[[#This Row],[р]]*100%/(100%-Рецепты[[#This Row],[Потери, %]]))</f>
        <v>6.5131578947368425</v>
      </c>
      <c r="P385" s="40" t="s">
        <v>581</v>
      </c>
      <c r="Q385" s="40"/>
      <c r="R385" s="44" t="str">
        <f>VLOOKUP(Рецепты[[#This Row],[Состав]],Ингредиенты[],9,0)</f>
        <v>Да</v>
      </c>
      <c r="S385" s="52"/>
    </row>
    <row r="386" spans="1:19" x14ac:dyDescent="0.25">
      <c r="A386" s="40" t="s">
        <v>580</v>
      </c>
      <c r="B386" s="40" t="str">
        <f t="shared" si="53"/>
        <v>Еда</v>
      </c>
      <c r="C386" s="40" t="str">
        <f t="shared" si="54"/>
        <v>Еда</v>
      </c>
      <c r="D386" s="40" t="s">
        <v>191</v>
      </c>
      <c r="E386" s="41" t="str">
        <f>VLOOKUP(Рецепты[[#This Row],[Состав]],Ингредиенты[],2,0)</f>
        <v>Специи</v>
      </c>
      <c r="F386" s="62">
        <v>0.25</v>
      </c>
      <c r="G386" s="42">
        <f>IF(Рецепты[[#This Row],[%]]*1000&gt;0,Рецепты[[#This Row],[%]]*1000,"")</f>
        <v>250</v>
      </c>
      <c r="H386" s="43">
        <f>IFERROR(VLOOKUP(Рецепты[[#This Row],[Состав]],Ингредиенты!A:I,3,0)*Рецепты[[#This Row],[г]],"")</f>
        <v>12.4975</v>
      </c>
      <c r="I386" s="42">
        <f>СводРецепт!$A$1</f>
        <v>1000</v>
      </c>
      <c r="J386" s="42">
        <f>Рецепты[[#This Row],[%]]*Рецепты[[#This Row],[Масса]]</f>
        <v>250</v>
      </c>
      <c r="K386" s="43">
        <f>Рецепты[[#This Row],[Вес ингр-тов]]*VLOOKUP(Рецепты[[#This Row],[Состав]],Ингредиенты[],3,FALSE)</f>
        <v>12.4975</v>
      </c>
      <c r="L386" s="41">
        <f>IF(VLOOKUP(Рецепты[[#This Row],[Состав]],Ингредиенты[],4,0)="Основа",VLOOKUP(Рецепты[[#This Row],[Способ]],Способ[],2,0),0%)</f>
        <v>0</v>
      </c>
      <c r="M386" s="41">
        <f>VLOOKUP(Рецепты[[#This Row],[Способ]],Способ[],3,0)</f>
        <v>0.5</v>
      </c>
      <c r="N386" s="43">
        <f>Рецепты[[#This Row],[р]]*100%/(100%-Рецепты[[#This Row],[Потери, %]])+Рецепты[[#This Row],[Маржа]]*(Рецепты[[#This Row],[р]]*100%)/(100%-Рецепты[[#This Row],[Потери, %]])</f>
        <v>18.74625</v>
      </c>
      <c r="O386" s="43">
        <f>Рецепты[[#This Row],[Цена за 1 кг]]-(Рецепты[[#This Row],[р]]*100%/(100%-Рецепты[[#This Row],[Потери, %]]))</f>
        <v>6.2487499999999994</v>
      </c>
      <c r="P386" s="40" t="s">
        <v>581</v>
      </c>
      <c r="Q386" s="40"/>
      <c r="R386" s="44" t="str">
        <f>VLOOKUP(Рецепты[[#This Row],[Состав]],Ингредиенты[],9,0)</f>
        <v>Да</v>
      </c>
      <c r="S386" s="52"/>
    </row>
    <row r="387" spans="1:19" x14ac:dyDescent="0.25">
      <c r="A387" s="40" t="s">
        <v>580</v>
      </c>
      <c r="B387" s="40" t="str">
        <f t="shared" si="53"/>
        <v>Еда</v>
      </c>
      <c r="C387" s="40" t="str">
        <f t="shared" si="54"/>
        <v>Еда</v>
      </c>
      <c r="D387" s="40" t="s">
        <v>87</v>
      </c>
      <c r="E387" s="41" t="str">
        <f>VLOOKUP(Рецепты[[#This Row],[Состав]],Ингредиенты[],2,0)</f>
        <v>Специи</v>
      </c>
      <c r="F387" s="62">
        <v>0.15</v>
      </c>
      <c r="G387" s="42">
        <f>IF(Рецепты[[#This Row],[%]]*1000&gt;0,Рецепты[[#This Row],[%]]*1000,"")</f>
        <v>150</v>
      </c>
      <c r="H387" s="43">
        <f>IFERROR(VLOOKUP(Рецепты[[#This Row],[Состав]],Ингредиенты!A:I,3,0)*Рецепты[[#This Row],[г]],"")</f>
        <v>4.4984999999999999</v>
      </c>
      <c r="I387" s="42">
        <f>СводРецепт!$A$1</f>
        <v>1000</v>
      </c>
      <c r="J387" s="42">
        <f>Рецепты[[#This Row],[%]]*Рецепты[[#This Row],[Масса]]</f>
        <v>150</v>
      </c>
      <c r="K387" s="43">
        <f>Рецепты[[#This Row],[Вес ингр-тов]]*VLOOKUP(Рецепты[[#This Row],[Состав]],Ингредиенты[],3,FALSE)</f>
        <v>4.4984999999999999</v>
      </c>
      <c r="L387" s="41">
        <f>IF(VLOOKUP(Рецепты[[#This Row],[Состав]],Ингредиенты[],4,0)="Основа",VLOOKUP(Рецепты[[#This Row],[Способ]],Способ[],2,0),0%)</f>
        <v>0</v>
      </c>
      <c r="M387" s="41">
        <f>VLOOKUP(Рецепты[[#This Row],[Способ]],Способ[],3,0)</f>
        <v>0.5</v>
      </c>
      <c r="N387" s="43">
        <f>Рецепты[[#This Row],[р]]*100%/(100%-Рецепты[[#This Row],[Потери, %]])+Рецепты[[#This Row],[Маржа]]*(Рецепты[[#This Row],[р]]*100%)/(100%-Рецепты[[#This Row],[Потери, %]])</f>
        <v>6.7477499999999999</v>
      </c>
      <c r="O387" s="43">
        <f>Рецепты[[#This Row],[Цена за 1 кг]]-(Рецепты[[#This Row],[р]]*100%/(100%-Рецепты[[#This Row],[Потери, %]]))</f>
        <v>2.24925</v>
      </c>
      <c r="P387" s="40" t="s">
        <v>581</v>
      </c>
      <c r="Q387" s="40"/>
      <c r="R387" s="44" t="str">
        <f>VLOOKUP(Рецепты[[#This Row],[Состав]],Ингредиенты[],9,0)</f>
        <v>Да</v>
      </c>
      <c r="S387" s="52"/>
    </row>
    <row r="388" spans="1:19" x14ac:dyDescent="0.25">
      <c r="A388" s="40" t="s">
        <v>580</v>
      </c>
      <c r="B388" s="40" t="str">
        <f t="shared" si="53"/>
        <v>Еда</v>
      </c>
      <c r="C388" s="40" t="str">
        <f t="shared" si="54"/>
        <v>Еда</v>
      </c>
      <c r="D388" s="40" t="s">
        <v>83</v>
      </c>
      <c r="E388" s="41" t="str">
        <f>VLOOKUP(Рецепты[[#This Row],[Состав]],Ингредиенты[],2,0)</f>
        <v>Добавки</v>
      </c>
      <c r="F388" s="62">
        <v>0.1</v>
      </c>
      <c r="G388" s="42">
        <f>IF(Рецепты[[#This Row],[%]]*1000&gt;0,Рецепты[[#This Row],[%]]*1000,"")</f>
        <v>100</v>
      </c>
      <c r="H388" s="43">
        <f>IFERROR(VLOOKUP(Рецепты[[#This Row],[Состав]],Ингредиенты!A:I,3,0)*Рецепты[[#This Row],[г]],"")</f>
        <v>3.9990000000000006</v>
      </c>
      <c r="I388" s="42">
        <f>СводРецепт!$A$1</f>
        <v>1000</v>
      </c>
      <c r="J388" s="42">
        <f>Рецепты[[#This Row],[%]]*Рецепты[[#This Row],[Масса]]</f>
        <v>100</v>
      </c>
      <c r="K388" s="43">
        <f>Рецепты[[#This Row],[Вес ингр-тов]]*VLOOKUP(Рецепты[[#This Row],[Состав]],Ингредиенты[],3,FALSE)</f>
        <v>3.9990000000000006</v>
      </c>
      <c r="L388" s="41">
        <f>IF(VLOOKUP(Рецепты[[#This Row],[Состав]],Ингредиенты[],4,0)="Основа",VLOOKUP(Рецепты[[#This Row],[Способ]],Способ[],2,0),0%)</f>
        <v>0.05</v>
      </c>
      <c r="M388" s="41">
        <f>VLOOKUP(Рецепты[[#This Row],[Способ]],Способ[],3,0)</f>
        <v>0.5</v>
      </c>
      <c r="N388" s="43">
        <f>Рецепты[[#This Row],[р]]*100%/(100%-Рецепты[[#This Row],[Потери, %]])+Рецепты[[#This Row],[Маржа]]*(Рецепты[[#This Row],[р]]*100%)/(100%-Рецепты[[#This Row],[Потери, %]])</f>
        <v>6.314210526315791</v>
      </c>
      <c r="O388" s="43">
        <f>Рецепты[[#This Row],[Цена за 1 кг]]-(Рецепты[[#This Row],[р]]*100%/(100%-Рецепты[[#This Row],[Потери, %]]))</f>
        <v>2.1047368421052637</v>
      </c>
      <c r="P388" s="40" t="s">
        <v>581</v>
      </c>
      <c r="Q388" s="40"/>
      <c r="R388" s="44" t="str">
        <f>VLOOKUP(Рецепты[[#This Row],[Состав]],Ингредиенты[],9,0)</f>
        <v>Да</v>
      </c>
      <c r="S388" s="52"/>
    </row>
    <row r="389" spans="1:19" x14ac:dyDescent="0.25">
      <c r="A389" s="40" t="s">
        <v>580</v>
      </c>
      <c r="B389" s="40" t="str">
        <f t="shared" si="53"/>
        <v>Еда</v>
      </c>
      <c r="C389" s="40" t="str">
        <f t="shared" si="54"/>
        <v>Еда</v>
      </c>
      <c r="D389" s="40" t="s">
        <v>85</v>
      </c>
      <c r="E389" s="41" t="str">
        <f>VLOOKUP(Рецепты[[#This Row],[Состав]],Ингредиенты[],2,0)</f>
        <v>Добавки</v>
      </c>
      <c r="F389" s="62">
        <v>0.5</v>
      </c>
      <c r="G389" s="42">
        <f>IF(Рецепты[[#This Row],[%]]*1000&gt;0,Рецепты[[#This Row],[%]]*1000,"")</f>
        <v>500</v>
      </c>
      <c r="H389" s="43">
        <f>IFERROR(VLOOKUP(Рецепты[[#This Row],[Состав]],Ингредиенты!A:I,3,0)*Рецепты[[#This Row],[г]],"")</f>
        <v>33.33</v>
      </c>
      <c r="I389" s="42">
        <f>СводРецепт!$A$1</f>
        <v>1000</v>
      </c>
      <c r="J389" s="42">
        <f>Рецепты[[#This Row],[%]]*Рецепты[[#This Row],[Масса]]</f>
        <v>500</v>
      </c>
      <c r="K389" s="43">
        <f>Рецепты[[#This Row],[Вес ингр-тов]]*VLOOKUP(Рецепты[[#This Row],[Состав]],Ингредиенты[],3,FALSE)</f>
        <v>33.33</v>
      </c>
      <c r="L389" s="41">
        <f>IF(VLOOKUP(Рецепты[[#This Row],[Состав]],Ингредиенты[],4,0)="Основа",VLOOKUP(Рецепты[[#This Row],[Способ]],Способ[],2,0),0%)</f>
        <v>0.05</v>
      </c>
      <c r="M389" s="41">
        <f>VLOOKUP(Рецепты[[#This Row],[Способ]],Способ[],3,0)</f>
        <v>0.5</v>
      </c>
      <c r="N389" s="43">
        <f>Рецепты[[#This Row],[р]]*100%/(100%-Рецепты[[#This Row],[Потери, %]])+Рецепты[[#This Row],[Маржа]]*(Рецепты[[#This Row],[р]]*100%)/(100%-Рецепты[[#This Row],[Потери, %]])</f>
        <v>52.626315789473679</v>
      </c>
      <c r="O389" s="43">
        <f>Рецепты[[#This Row],[Цена за 1 кг]]-(Рецепты[[#This Row],[р]]*100%/(100%-Рецепты[[#This Row],[Потери, %]]))</f>
        <v>17.542105263157893</v>
      </c>
      <c r="P389" s="40" t="s">
        <v>581</v>
      </c>
      <c r="Q389" s="40"/>
      <c r="R389" s="44" t="str">
        <f>VLOOKUP(Рецепты[[#This Row],[Состав]],Ингредиенты[],9,0)</f>
        <v>Да</v>
      </c>
      <c r="S389" s="52"/>
    </row>
    <row r="390" spans="1:19" x14ac:dyDescent="0.25">
      <c r="A390" s="40" t="s">
        <v>580</v>
      </c>
      <c r="B390" s="40" t="str">
        <f t="shared" si="53"/>
        <v>Еда</v>
      </c>
      <c r="C390" s="40" t="str">
        <f t="shared" si="54"/>
        <v>Еда</v>
      </c>
      <c r="D390" s="40" t="s">
        <v>90</v>
      </c>
      <c r="E390" s="41" t="str">
        <f>VLOOKUP(Рецепты[[#This Row],[Состав]],Ингредиенты[],2,0)</f>
        <v>Добавки</v>
      </c>
      <c r="F390" s="62">
        <v>0.02</v>
      </c>
      <c r="G390" s="42">
        <f>IF(Рецепты[[#This Row],[%]]*1000&gt;0,Рецепты[[#This Row],[%]]*1000,"")</f>
        <v>20</v>
      </c>
      <c r="H390" s="43">
        <f>IFERROR(VLOOKUP(Рецепты[[#This Row],[Состав]],Ингредиенты!A:I,3,0)*Рецепты[[#This Row],[г]],"")</f>
        <v>18.333333333333332</v>
      </c>
      <c r="I390" s="42">
        <f>СводРецепт!$A$1</f>
        <v>1000</v>
      </c>
      <c r="J390" s="42">
        <f>Рецепты[[#This Row],[%]]*Рецепты[[#This Row],[Масса]]</f>
        <v>20</v>
      </c>
      <c r="K390" s="43">
        <f>Рецепты[[#This Row],[Вес ингр-тов]]*VLOOKUP(Рецепты[[#This Row],[Состав]],Ингредиенты[],3,FALSE)</f>
        <v>18.333333333333332</v>
      </c>
      <c r="L390" s="41">
        <f>IF(VLOOKUP(Рецепты[[#This Row],[Состав]],Ингредиенты[],4,0)="Основа",VLOOKUP(Рецепты[[#This Row],[Способ]],Способ[],2,0),0%)</f>
        <v>0</v>
      </c>
      <c r="M390" s="41">
        <f>VLOOKUP(Рецепты[[#This Row],[Способ]],Способ[],3,0)</f>
        <v>0.5</v>
      </c>
      <c r="N390" s="43">
        <f>Рецепты[[#This Row],[р]]*100%/(100%-Рецепты[[#This Row],[Потери, %]])+Рецепты[[#This Row],[Маржа]]*(Рецепты[[#This Row],[р]]*100%)/(100%-Рецепты[[#This Row],[Потери, %]])</f>
        <v>27.5</v>
      </c>
      <c r="O390" s="43">
        <f>Рецепты[[#This Row],[Цена за 1 кг]]-(Рецепты[[#This Row],[р]]*100%/(100%-Рецепты[[#This Row],[Потери, %]]))</f>
        <v>9.1666666666666679</v>
      </c>
      <c r="P390" s="40" t="s">
        <v>581</v>
      </c>
      <c r="Q390" s="40"/>
      <c r="R390" s="44" t="str">
        <f>VLOOKUP(Рецепты[[#This Row],[Состав]],Ингредиенты[],9,0)</f>
        <v>Да</v>
      </c>
      <c r="S390" s="52"/>
    </row>
    <row r="391" spans="1:19" x14ac:dyDescent="0.25">
      <c r="A391" s="40" t="s">
        <v>580</v>
      </c>
      <c r="B391" s="40" t="str">
        <f t="shared" si="53"/>
        <v>Еда</v>
      </c>
      <c r="C391" s="40" t="str">
        <f t="shared" si="54"/>
        <v>Еда</v>
      </c>
      <c r="D391" s="40" t="s">
        <v>93</v>
      </c>
      <c r="E391" s="41" t="str">
        <f>VLOOKUP(Рецепты[[#This Row],[Состав]],Ингредиенты[],2,0)</f>
        <v>Добавки</v>
      </c>
      <c r="F391" s="62">
        <v>1</v>
      </c>
      <c r="G391" s="42">
        <f>IF(Рецепты[[#This Row],[%]]*1000&gt;0,Рецепты[[#This Row],[%]]*1000,"")</f>
        <v>1000</v>
      </c>
      <c r="H391" s="43">
        <f>IFERROR(VLOOKUP(Рецепты[[#This Row],[Состав]],Ингредиенты!A:I,3,0)*Рецепты[[#This Row],[г]],"")</f>
        <v>1</v>
      </c>
      <c r="I391" s="42">
        <f>СводРецепт!$A$1</f>
        <v>1000</v>
      </c>
      <c r="J391" s="42">
        <f>Рецепты[[#This Row],[%]]*Рецепты[[#This Row],[Масса]]</f>
        <v>1000</v>
      </c>
      <c r="K391" s="43">
        <f>Рецепты[[#This Row],[Вес ингр-тов]]*VLOOKUP(Рецепты[[#This Row],[Состав]],Ингредиенты[],3,FALSE)</f>
        <v>1</v>
      </c>
      <c r="L391" s="41">
        <f>IF(VLOOKUP(Рецепты[[#This Row],[Состав]],Ингредиенты[],4,0)="Основа",VLOOKUP(Рецепты[[#This Row],[Способ]],Способ[],2,0),0%)</f>
        <v>0</v>
      </c>
      <c r="M391" s="41">
        <f>VLOOKUP(Рецепты[[#This Row],[Способ]],Способ[],3,0)</f>
        <v>0.5</v>
      </c>
      <c r="N391" s="43">
        <f>Рецепты[[#This Row],[р]]*100%/(100%-Рецепты[[#This Row],[Потери, %]])+Рецепты[[#This Row],[Маржа]]*(Рецепты[[#This Row],[р]]*100%)/(100%-Рецепты[[#This Row],[Потери, %]])</f>
        <v>1.5</v>
      </c>
      <c r="O391" s="43">
        <f>Рецепты[[#This Row],[Цена за 1 кг]]-(Рецепты[[#This Row],[р]]*100%/(100%-Рецепты[[#This Row],[Потери, %]]))</f>
        <v>0.5</v>
      </c>
      <c r="P391" s="40" t="s">
        <v>581</v>
      </c>
      <c r="Q391" s="40"/>
      <c r="R391" s="44" t="str">
        <f>VLOOKUP(Рецепты[[#This Row],[Состав]],Ингредиенты[],9,0)</f>
        <v>Да</v>
      </c>
      <c r="S391" s="52"/>
    </row>
    <row r="392" spans="1:19" x14ac:dyDescent="0.25">
      <c r="A392" s="40" t="s">
        <v>580</v>
      </c>
      <c r="B392" s="40" t="str">
        <f t="shared" ref="B392:B394" si="55">B391</f>
        <v>Еда</v>
      </c>
      <c r="C392" s="40" t="str">
        <f t="shared" ref="C392:C394" si="56">C391</f>
        <v>Еда</v>
      </c>
      <c r="D392" s="40" t="s">
        <v>128</v>
      </c>
      <c r="E392" s="41" t="str">
        <f>VLOOKUP(Рецепты[[#This Row],[Состав]],Ингредиенты[],2,0)</f>
        <v>Специи</v>
      </c>
      <c r="F392" s="62">
        <v>8.0000000000000002E-3</v>
      </c>
      <c r="G392" s="42">
        <f>IF(Рецепты[[#This Row],[%]]*1000&gt;0,Рецепты[[#This Row],[%]]*1000,"")</f>
        <v>8</v>
      </c>
      <c r="H392" s="43">
        <f>IFERROR(VLOOKUP(Рецепты[[#This Row],[Состав]],Ингредиенты!A:I,3,0)*Рецепты[[#This Row],[г]],"")</f>
        <v>0.308</v>
      </c>
      <c r="I392" s="42">
        <f>СводРецепт!$A$1</f>
        <v>1000</v>
      </c>
      <c r="J392" s="42">
        <f>Рецепты[[#This Row],[%]]*Рецепты[[#This Row],[Масса]]</f>
        <v>8</v>
      </c>
      <c r="K392" s="43">
        <f>Рецепты[[#This Row],[Вес ингр-тов]]*VLOOKUP(Рецепты[[#This Row],[Состав]],Ингредиенты[],3,FALSE)</f>
        <v>0.308</v>
      </c>
      <c r="L392" s="41">
        <f>IF(VLOOKUP(Рецепты[[#This Row],[Состав]],Ингредиенты[],4,0)="Основа",VLOOKUP(Рецепты[[#This Row],[Способ]],Способ[],2,0),0%)</f>
        <v>0</v>
      </c>
      <c r="M392" s="41">
        <f>VLOOKUP(Рецепты[[#This Row],[Способ]],Способ[],3,0)</f>
        <v>0.5</v>
      </c>
      <c r="N392" s="43">
        <f>Рецепты[[#This Row],[р]]*100%/(100%-Рецепты[[#This Row],[Потери, %]])+Рецепты[[#This Row],[Маржа]]*(Рецепты[[#This Row],[р]]*100%)/(100%-Рецепты[[#This Row],[Потери, %]])</f>
        <v>0.46199999999999997</v>
      </c>
      <c r="O392" s="43">
        <f>Рецепты[[#This Row],[Цена за 1 кг]]-(Рецепты[[#This Row],[р]]*100%/(100%-Рецепты[[#This Row],[Потери, %]]))</f>
        <v>0.15399999999999997</v>
      </c>
      <c r="P392" s="40" t="s">
        <v>581</v>
      </c>
      <c r="Q392" s="40"/>
      <c r="R392" s="44" t="str">
        <f>VLOOKUP(Рецепты[[#This Row],[Состав]],Ингредиенты[],9,0)</f>
        <v>Да</v>
      </c>
      <c r="S392" s="52"/>
    </row>
    <row r="393" spans="1:19" x14ac:dyDescent="0.25">
      <c r="A393" s="40" t="s">
        <v>580</v>
      </c>
      <c r="B393" s="40" t="str">
        <f t="shared" si="55"/>
        <v>Еда</v>
      </c>
      <c r="C393" s="40" t="str">
        <f t="shared" si="56"/>
        <v>Еда</v>
      </c>
      <c r="D393" s="40" t="s">
        <v>179</v>
      </c>
      <c r="E393" s="41" t="str">
        <f>VLOOKUP(Рецепты[[#This Row],[Состав]],Ингредиенты[],2,0)</f>
        <v>Специи</v>
      </c>
      <c r="F393" s="62">
        <v>0.03</v>
      </c>
      <c r="G393" s="42">
        <f>IF(Рецепты[[#This Row],[%]]*1000&gt;0,Рецепты[[#This Row],[%]]*1000,"")</f>
        <v>30</v>
      </c>
      <c r="H393" s="43">
        <f>IFERROR(VLOOKUP(Рецепты[[#This Row],[Состав]],Ингредиенты!A:I,3,0)*Рецепты[[#This Row],[г]],"")</f>
        <v>20.999700000000001</v>
      </c>
      <c r="I393" s="42">
        <f>СводРецепт!$A$1</f>
        <v>1000</v>
      </c>
      <c r="J393" s="42">
        <f>Рецепты[[#This Row],[%]]*Рецепты[[#This Row],[Масса]]</f>
        <v>30</v>
      </c>
      <c r="K393" s="43">
        <f>Рецепты[[#This Row],[Вес ингр-тов]]*VLOOKUP(Рецепты[[#This Row],[Состав]],Ингредиенты[],3,FALSE)</f>
        <v>20.999700000000001</v>
      </c>
      <c r="L393" s="41">
        <f>IF(VLOOKUP(Рецепты[[#This Row],[Состав]],Ингредиенты[],4,0)="Основа",VLOOKUP(Рецепты[[#This Row],[Способ]],Способ[],2,0),0%)</f>
        <v>0</v>
      </c>
      <c r="M393" s="41">
        <f>VLOOKUP(Рецепты[[#This Row],[Способ]],Способ[],3,0)</f>
        <v>0.5</v>
      </c>
      <c r="N393" s="43">
        <f>Рецепты[[#This Row],[р]]*100%/(100%-Рецепты[[#This Row],[Потери, %]])+Рецепты[[#This Row],[Маржа]]*(Рецепты[[#This Row],[р]]*100%)/(100%-Рецепты[[#This Row],[Потери, %]])</f>
        <v>31.499549999999999</v>
      </c>
      <c r="O393" s="43">
        <f>Рецепты[[#This Row],[Цена за 1 кг]]-(Рецепты[[#This Row],[р]]*100%/(100%-Рецепты[[#This Row],[Потери, %]]))</f>
        <v>10.499849999999999</v>
      </c>
      <c r="P393" s="40" t="s">
        <v>581</v>
      </c>
      <c r="Q393" s="40"/>
      <c r="R393" s="44" t="str">
        <f>VLOOKUP(Рецепты[[#This Row],[Состав]],Ингредиенты[],9,0)</f>
        <v>Нет</v>
      </c>
      <c r="S393" s="52"/>
    </row>
    <row r="394" spans="1:19" x14ac:dyDescent="0.25">
      <c r="A394" s="40" t="s">
        <v>580</v>
      </c>
      <c r="B394" s="40" t="str">
        <f t="shared" si="55"/>
        <v>Еда</v>
      </c>
      <c r="C394" s="40" t="str">
        <f t="shared" si="56"/>
        <v>Еда</v>
      </c>
      <c r="D394" s="40" t="s">
        <v>155</v>
      </c>
      <c r="E394" s="41" t="str">
        <f>VLOOKUP(Рецепты[[#This Row],[Состав]],Ингредиенты[],2,0)</f>
        <v>Специи</v>
      </c>
      <c r="F394" s="62">
        <v>2E-3</v>
      </c>
      <c r="G394" s="42">
        <f>IF(Рецепты[[#This Row],[%]]*1000&gt;0,Рецепты[[#This Row],[%]]*1000,"")</f>
        <v>2</v>
      </c>
      <c r="H394" s="43">
        <f>IFERROR(VLOOKUP(Рецепты[[#This Row],[Состав]],Ингредиенты!A:I,3,0)*Рецепты[[#This Row],[г]],"")</f>
        <v>1.0044444444444445</v>
      </c>
      <c r="I394" s="42">
        <f>СводРецепт!$A$1</f>
        <v>1000</v>
      </c>
      <c r="J394" s="42">
        <f>Рецепты[[#This Row],[%]]*Рецепты[[#This Row],[Масса]]</f>
        <v>2</v>
      </c>
      <c r="K394" s="43">
        <f>Рецепты[[#This Row],[Вес ингр-тов]]*VLOOKUP(Рецепты[[#This Row],[Состав]],Ингредиенты[],3,FALSE)</f>
        <v>1.0044444444444445</v>
      </c>
      <c r="L394" s="41">
        <f>IF(VLOOKUP(Рецепты[[#This Row],[Состав]],Ингредиенты[],4,0)="Основа",VLOOKUP(Рецепты[[#This Row],[Способ]],Способ[],2,0),0%)</f>
        <v>0</v>
      </c>
      <c r="M394" s="41">
        <f>VLOOKUP(Рецепты[[#This Row],[Способ]],Способ[],3,0)</f>
        <v>0.5</v>
      </c>
      <c r="N394" s="43">
        <f>Рецепты[[#This Row],[р]]*100%/(100%-Рецепты[[#This Row],[Потери, %]])+Рецепты[[#This Row],[Маржа]]*(Рецепты[[#This Row],[р]]*100%)/(100%-Рецепты[[#This Row],[Потери, %]])</f>
        <v>1.5066666666666668</v>
      </c>
      <c r="O394" s="43">
        <f>Рецепты[[#This Row],[Цена за 1 кг]]-(Рецепты[[#This Row],[р]]*100%/(100%-Рецепты[[#This Row],[Потери, %]]))</f>
        <v>0.50222222222222235</v>
      </c>
      <c r="P394" s="40" t="s">
        <v>581</v>
      </c>
      <c r="Q394" s="40"/>
      <c r="R394" s="44" t="str">
        <f>VLOOKUP(Рецепты[[#This Row],[Состав]],Ингредиенты[],9,0)</f>
        <v>Да</v>
      </c>
      <c r="S394" s="52"/>
    </row>
    <row r="395" spans="1:19" x14ac:dyDescent="0.25">
      <c r="A395" s="40" t="s">
        <v>580</v>
      </c>
      <c r="B395" s="40" t="str">
        <f t="shared" ref="B395:B396" si="57">B394</f>
        <v>Еда</v>
      </c>
      <c r="C395" s="40" t="str">
        <f t="shared" ref="C395:C396" si="58">C394</f>
        <v>Еда</v>
      </c>
      <c r="D395" s="40" t="s">
        <v>181</v>
      </c>
      <c r="E395" s="41" t="str">
        <f>VLOOKUP(Рецепты[[#This Row],[Состав]],Ингредиенты[],2,0)</f>
        <v>Специи</v>
      </c>
      <c r="F395" s="62">
        <v>2E-3</v>
      </c>
      <c r="G395" s="42">
        <f>IF(Рецепты[[#This Row],[%]]*1000&gt;0,Рецепты[[#This Row],[%]]*1000,"")</f>
        <v>2</v>
      </c>
      <c r="H395" s="43">
        <f>IFERROR(VLOOKUP(Рецепты[[#This Row],[Состав]],Ингредиенты!A:I,3,0)*Рецепты[[#This Row],[г]],"")</f>
        <v>2.177142857142857</v>
      </c>
      <c r="I395" s="42">
        <f>СводРецепт!$A$1</f>
        <v>1000</v>
      </c>
      <c r="J395" s="42">
        <f>Рецепты[[#This Row],[%]]*Рецепты[[#This Row],[Масса]]</f>
        <v>2</v>
      </c>
      <c r="K395" s="43">
        <f>Рецепты[[#This Row],[Вес ингр-тов]]*VLOOKUP(Рецепты[[#This Row],[Состав]],Ингредиенты[],3,FALSE)</f>
        <v>2.177142857142857</v>
      </c>
      <c r="L395" s="41">
        <f>IF(VLOOKUP(Рецепты[[#This Row],[Состав]],Ингредиенты[],4,0)="Основа",VLOOKUP(Рецепты[[#This Row],[Способ]],Способ[],2,0),0%)</f>
        <v>0</v>
      </c>
      <c r="M395" s="41">
        <f>VLOOKUP(Рецепты[[#This Row],[Способ]],Способ[],3,0)</f>
        <v>0.5</v>
      </c>
      <c r="N395" s="43">
        <f>Рецепты[[#This Row],[р]]*100%/(100%-Рецепты[[#This Row],[Потери, %]])+Рецепты[[#This Row],[Маржа]]*(Рецепты[[#This Row],[р]]*100%)/(100%-Рецепты[[#This Row],[Потери, %]])</f>
        <v>3.2657142857142856</v>
      </c>
      <c r="O395" s="43">
        <f>Рецепты[[#This Row],[Цена за 1 кг]]-(Рецепты[[#This Row],[р]]*100%/(100%-Рецепты[[#This Row],[Потери, %]]))</f>
        <v>1.0885714285714285</v>
      </c>
      <c r="P395" s="40" t="s">
        <v>581</v>
      </c>
      <c r="Q395" s="40"/>
      <c r="R395" s="44" t="str">
        <f>VLOOKUP(Рецепты[[#This Row],[Состав]],Ингредиенты[],9,0)</f>
        <v>Да</v>
      </c>
      <c r="S395" s="52"/>
    </row>
    <row r="396" spans="1:19" x14ac:dyDescent="0.25">
      <c r="A396" s="40" t="s">
        <v>580</v>
      </c>
      <c r="B396" s="40" t="str">
        <f t="shared" si="57"/>
        <v>Еда</v>
      </c>
      <c r="C396" s="40" t="str">
        <f t="shared" si="58"/>
        <v>Еда</v>
      </c>
      <c r="D396" s="40" t="s">
        <v>183</v>
      </c>
      <c r="E396" s="41" t="str">
        <f>VLOOKUP(Рецепты[[#This Row],[Состав]],Ингредиенты[],2,0)</f>
        <v>Специи</v>
      </c>
      <c r="F396" s="62">
        <v>2E-3</v>
      </c>
      <c r="G396" s="42">
        <f>IF(Рецепты[[#This Row],[%]]*1000&gt;0,Рецепты[[#This Row],[%]]*1000,"")</f>
        <v>2</v>
      </c>
      <c r="H396" s="43">
        <f>IFERROR(VLOOKUP(Рецепты[[#This Row],[Состав]],Ингредиенты!A:I,3,0)*Рецепты[[#This Row],[г]],"")</f>
        <v>3.0760000000000001</v>
      </c>
      <c r="I396" s="42">
        <f>СводРецепт!$A$1</f>
        <v>1000</v>
      </c>
      <c r="J396" s="42">
        <f>Рецепты[[#This Row],[%]]*Рецепты[[#This Row],[Масса]]</f>
        <v>2</v>
      </c>
      <c r="K396" s="43">
        <f>Рецепты[[#This Row],[Вес ингр-тов]]*VLOOKUP(Рецепты[[#This Row],[Состав]],Ингредиенты[],3,FALSE)</f>
        <v>3.0760000000000001</v>
      </c>
      <c r="L396" s="41">
        <f>IF(VLOOKUP(Рецепты[[#This Row],[Состав]],Ингредиенты[],4,0)="Основа",VLOOKUP(Рецепты[[#This Row],[Способ]],Способ[],2,0),0%)</f>
        <v>0</v>
      </c>
      <c r="M396" s="41">
        <f>VLOOKUP(Рецепты[[#This Row],[Способ]],Способ[],3,0)</f>
        <v>0.5</v>
      </c>
      <c r="N396" s="43">
        <f>Рецепты[[#This Row],[р]]*100%/(100%-Рецепты[[#This Row],[Потери, %]])+Рецепты[[#This Row],[Маржа]]*(Рецепты[[#This Row],[р]]*100%)/(100%-Рецепты[[#This Row],[Потери, %]])</f>
        <v>4.6139999999999999</v>
      </c>
      <c r="O396" s="43">
        <f>Рецепты[[#This Row],[Цена за 1 кг]]-(Рецепты[[#This Row],[р]]*100%/(100%-Рецепты[[#This Row],[Потери, %]]))</f>
        <v>1.5379999999999998</v>
      </c>
      <c r="P396" s="40" t="s">
        <v>581</v>
      </c>
      <c r="Q396" s="40"/>
      <c r="R396" s="44" t="str">
        <f>VLOOKUP(Рецепты[[#This Row],[Состав]],Ингредиенты[],9,0)</f>
        <v>Да</v>
      </c>
      <c r="S396" s="52"/>
    </row>
    <row r="397" spans="1:19" x14ac:dyDescent="0.25">
      <c r="A397" s="40" t="s">
        <v>582</v>
      </c>
      <c r="B397" s="40" t="s">
        <v>8</v>
      </c>
      <c r="C397" s="40" t="s">
        <v>9</v>
      </c>
      <c r="D397" s="40" t="s">
        <v>49</v>
      </c>
      <c r="E397" s="41" t="str">
        <f>VLOOKUP(Рецепты[[#This Row],[Состав]],Ингредиенты[],2,0)</f>
        <v>Свинина</v>
      </c>
      <c r="F397" s="62">
        <v>0.3</v>
      </c>
      <c r="G397" s="42">
        <f>IF(Рецепты[[#This Row],[%]]*1000&gt;0,Рецепты[[#This Row],[%]]*1000,"")</f>
        <v>300</v>
      </c>
      <c r="H397" s="43">
        <f>IFERROR(VLOOKUP(Рецепты[[#This Row],[Состав]],Ингредиенты!A:I,3,0)*Рецепты[[#This Row],[г]],"")</f>
        <v>110.7</v>
      </c>
      <c r="I397" s="42">
        <f>СводРецепт!$A$1</f>
        <v>1000</v>
      </c>
      <c r="J397" s="42">
        <f>Рецепты[[#This Row],[%]]*Рецепты[[#This Row],[Масса]]</f>
        <v>300</v>
      </c>
      <c r="K397" s="43">
        <f>Рецепты[[#This Row],[Вес ингр-тов]]*VLOOKUP(Рецепты[[#This Row],[Состав]],Ингредиенты[],3,FALSE)</f>
        <v>110.7</v>
      </c>
      <c r="L397" s="41">
        <f>IF(VLOOKUP(Рецепты[[#This Row],[Состав]],Ингредиенты[],4,0)="Основа",VLOOKUP(Рецепты[[#This Row],[Способ]],Способ[],2,0),0%)</f>
        <v>0.15</v>
      </c>
      <c r="M397" s="41">
        <f>VLOOKUP(Рецепты[[#This Row],[Способ]],Способ[],3,0)</f>
        <v>0.7</v>
      </c>
      <c r="N397" s="43">
        <f>Рецепты[[#This Row],[р]]*100%/(100%-Рецепты[[#This Row],[Потери, %]])+Рецепты[[#This Row],[Маржа]]*(Рецепты[[#This Row],[р]]*100%)/(100%-Рецепты[[#This Row],[Потери, %]])</f>
        <v>221.4</v>
      </c>
      <c r="O397" s="43">
        <f>Рецепты[[#This Row],[Цена за 1 кг]]-(Рецепты[[#This Row],[р]]*100%/(100%-Рецепты[[#This Row],[Потери, %]]))</f>
        <v>91.164705882352933</v>
      </c>
      <c r="P397" s="40" t="s">
        <v>583</v>
      </c>
      <c r="Q397" s="40" t="s">
        <v>584</v>
      </c>
      <c r="R397" s="44" t="str">
        <f>VLOOKUP(Рецепты[[#This Row],[Состав]],Ингредиенты[],9,0)</f>
        <v>Да</v>
      </c>
      <c r="S397" s="52"/>
    </row>
    <row r="398" spans="1:19" x14ac:dyDescent="0.25">
      <c r="A398" s="40" t="s">
        <v>582</v>
      </c>
      <c r="B398" s="40" t="str">
        <f t="shared" ref="B398:B408" si="59">B397</f>
        <v>Колбаса</v>
      </c>
      <c r="C398" s="40" t="str">
        <f t="shared" ref="C398:C408" si="60">C397</f>
        <v>Вареное</v>
      </c>
      <c r="D398" s="40" t="s">
        <v>12</v>
      </c>
      <c r="E398" s="41" t="str">
        <f>VLOOKUP(Рецепты[[#This Row],[Состав]],Ингредиенты[],2,0)</f>
        <v>Говядина</v>
      </c>
      <c r="F398" s="62">
        <v>0.3</v>
      </c>
      <c r="G398" s="42">
        <f>IF(Рецепты[[#This Row],[%]]*1000&gt;0,Рецепты[[#This Row],[%]]*1000,"")</f>
        <v>300</v>
      </c>
      <c r="H398" s="43">
        <f>IFERROR(VLOOKUP(Рецепты[[#This Row],[Состав]],Ингредиенты!A:I,3,0)*Рецепты[[#This Row],[г]],"")</f>
        <v>212.99700000000001</v>
      </c>
      <c r="I398" s="42">
        <f>СводРецепт!$A$1</f>
        <v>1000</v>
      </c>
      <c r="J398" s="42">
        <f>Рецепты[[#This Row],[%]]*Рецепты[[#This Row],[Масса]]</f>
        <v>300</v>
      </c>
      <c r="K398" s="43">
        <f>Рецепты[[#This Row],[Вес ингр-тов]]*VLOOKUP(Рецепты[[#This Row],[Состав]],Ингредиенты[],3,FALSE)</f>
        <v>212.99700000000001</v>
      </c>
      <c r="L398" s="41">
        <f>IF(VLOOKUP(Рецепты[[#This Row],[Состав]],Ингредиенты[],4,0)="Основа",VLOOKUP(Рецепты[[#This Row],[Способ]],Способ[],2,0),0%)</f>
        <v>0.15</v>
      </c>
      <c r="M398" s="41">
        <f>VLOOKUP(Рецепты[[#This Row],[Способ]],Способ[],3,0)</f>
        <v>0.7</v>
      </c>
      <c r="N398" s="43">
        <f>Рецепты[[#This Row],[р]]*100%/(100%-Рецепты[[#This Row],[Потери, %]])+Рецепты[[#This Row],[Маржа]]*(Рецепты[[#This Row],[р]]*100%)/(100%-Рецепты[[#This Row],[Потери, %]])</f>
        <v>425.99400000000003</v>
      </c>
      <c r="O398" s="43">
        <f>Рецепты[[#This Row],[Цена за 1 кг]]-(Рецепты[[#This Row],[р]]*100%/(100%-Рецепты[[#This Row],[Потери, %]]))</f>
        <v>175.40929411764705</v>
      </c>
      <c r="P398" s="40" t="s">
        <v>583</v>
      </c>
      <c r="Q398" s="40" t="s">
        <v>584</v>
      </c>
      <c r="R398" s="44" t="str">
        <f>VLOOKUP(Рецепты[[#This Row],[Состав]],Ингредиенты[],9,0)</f>
        <v>Да</v>
      </c>
      <c r="S398" s="52"/>
    </row>
    <row r="399" spans="1:19" x14ac:dyDescent="0.25">
      <c r="A399" s="40" t="s">
        <v>582</v>
      </c>
      <c r="B399" s="40" t="str">
        <f t="shared" si="59"/>
        <v>Колбаса</v>
      </c>
      <c r="C399" s="40" t="str">
        <f t="shared" si="60"/>
        <v>Вареное</v>
      </c>
      <c r="D399" s="40" t="s">
        <v>54</v>
      </c>
      <c r="E399" s="41" t="str">
        <f>VLOOKUP(Рецепты[[#This Row],[Состав]],Ингредиенты[],2,0)</f>
        <v>Свинина</v>
      </c>
      <c r="F399" s="62">
        <v>0.4</v>
      </c>
      <c r="G399" s="42">
        <f>IF(Рецепты[[#This Row],[%]]*1000&gt;0,Рецепты[[#This Row],[%]]*1000,"")</f>
        <v>400</v>
      </c>
      <c r="H399" s="43">
        <f>IFERROR(VLOOKUP(Рецепты[[#This Row],[Состав]],Ингредиенты!A:I,3,0)*Рецепты[[#This Row],[г]],"")</f>
        <v>171.99599999999998</v>
      </c>
      <c r="I399" s="42">
        <f>СводРецепт!$A$1</f>
        <v>1000</v>
      </c>
      <c r="J399" s="42">
        <f>Рецепты[[#This Row],[%]]*Рецепты[[#This Row],[Масса]]</f>
        <v>400</v>
      </c>
      <c r="K399" s="43">
        <f>Рецепты[[#This Row],[Вес ингр-тов]]*VLOOKUP(Рецепты[[#This Row],[Состав]],Ингредиенты[],3,FALSE)</f>
        <v>171.99599999999998</v>
      </c>
      <c r="L399" s="41">
        <f>IF(VLOOKUP(Рецепты[[#This Row],[Состав]],Ингредиенты[],4,0)="Основа",VLOOKUP(Рецепты[[#This Row],[Способ]],Способ[],2,0),0%)</f>
        <v>0.15</v>
      </c>
      <c r="M399" s="41">
        <f>VLOOKUP(Рецепты[[#This Row],[Способ]],Способ[],3,0)</f>
        <v>0.7</v>
      </c>
      <c r="N399" s="43">
        <f>Рецепты[[#This Row],[р]]*100%/(100%-Рецепты[[#This Row],[Потери, %]])+Рецепты[[#This Row],[Маржа]]*(Рецепты[[#This Row],[р]]*100%)/(100%-Рецепты[[#This Row],[Потери, %]])</f>
        <v>343.99199999999996</v>
      </c>
      <c r="O399" s="43">
        <f>Рецепты[[#This Row],[Цена за 1 кг]]-(Рецепты[[#This Row],[р]]*100%/(100%-Рецепты[[#This Row],[Потери, %]]))</f>
        <v>141.64376470588232</v>
      </c>
      <c r="P399" s="40" t="s">
        <v>583</v>
      </c>
      <c r="Q399" s="40" t="s">
        <v>584</v>
      </c>
      <c r="R399" s="44" t="str">
        <f>VLOOKUP(Рецепты[[#This Row],[Состав]],Ингредиенты[],9,0)</f>
        <v>Нет</v>
      </c>
      <c r="S399" s="52"/>
    </row>
    <row r="400" spans="1:19" x14ac:dyDescent="0.25">
      <c r="A400" s="40" t="s">
        <v>582</v>
      </c>
      <c r="B400" s="40" t="str">
        <f t="shared" si="59"/>
        <v>Колбаса</v>
      </c>
      <c r="C400" s="40" t="str">
        <f t="shared" si="60"/>
        <v>Вареное</v>
      </c>
      <c r="D400" s="40" t="s">
        <v>125</v>
      </c>
      <c r="E400" s="41" t="str">
        <f>VLOOKUP(Рецепты[[#This Row],[Состав]],Ингредиенты[],2,0)</f>
        <v>Специи</v>
      </c>
      <c r="F400" s="62">
        <v>0.01</v>
      </c>
      <c r="G400" s="42">
        <f>IF(Рецепты[[#This Row],[%]]*1000&gt;0,Рецепты[[#This Row],[%]]*1000,"")</f>
        <v>10</v>
      </c>
      <c r="H400" s="43">
        <f>IFERROR(VLOOKUP(Рецепты[[#This Row],[Состав]],Ингредиенты!A:I,3,0)*Рецепты[[#This Row],[г]],"")</f>
        <v>1.28</v>
      </c>
      <c r="I400" s="42">
        <f>СводРецепт!$A$1</f>
        <v>1000</v>
      </c>
      <c r="J400" s="42">
        <f>Рецепты[[#This Row],[%]]*Рецепты[[#This Row],[Масса]]</f>
        <v>10</v>
      </c>
      <c r="K400" s="43">
        <f>Рецепты[[#This Row],[Вес ингр-тов]]*VLOOKUP(Рецепты[[#This Row],[Состав]],Ингредиенты[],3,FALSE)</f>
        <v>1.28</v>
      </c>
      <c r="L400" s="41">
        <f>IF(VLOOKUP(Рецепты[[#This Row],[Состав]],Ингредиенты[],4,0)="Основа",VLOOKUP(Рецепты[[#This Row],[Способ]],Способ[],2,0),0%)</f>
        <v>0</v>
      </c>
      <c r="M400" s="41">
        <f>VLOOKUP(Рецепты[[#This Row],[Способ]],Способ[],3,0)</f>
        <v>0.7</v>
      </c>
      <c r="N400" s="43">
        <f>Рецепты[[#This Row],[р]]*100%/(100%-Рецепты[[#This Row],[Потери, %]])+Рецепты[[#This Row],[Маржа]]*(Рецепты[[#This Row],[р]]*100%)/(100%-Рецепты[[#This Row],[Потери, %]])</f>
        <v>2.1760000000000002</v>
      </c>
      <c r="O400" s="43">
        <f>Рецепты[[#This Row],[Цена за 1 кг]]-(Рецепты[[#This Row],[р]]*100%/(100%-Рецепты[[#This Row],[Потери, %]]))</f>
        <v>0.89600000000000013</v>
      </c>
      <c r="P400" s="40" t="s">
        <v>583</v>
      </c>
      <c r="Q400" s="40" t="s">
        <v>584</v>
      </c>
      <c r="R400" s="44" t="str">
        <f>VLOOKUP(Рецепты[[#This Row],[Состав]],Ингредиенты[],9,0)</f>
        <v>Да</v>
      </c>
      <c r="S400" s="52"/>
    </row>
    <row r="401" spans="1:19" x14ac:dyDescent="0.25">
      <c r="A401" s="40" t="s">
        <v>582</v>
      </c>
      <c r="B401" s="40" t="str">
        <f t="shared" si="59"/>
        <v>Колбаса</v>
      </c>
      <c r="C401" s="40" t="str">
        <f t="shared" si="60"/>
        <v>Вареное</v>
      </c>
      <c r="D401" s="40" t="s">
        <v>128</v>
      </c>
      <c r="E401" s="41" t="str">
        <f>VLOOKUP(Рецепты[[#This Row],[Состав]],Ингредиенты[],2,0)</f>
        <v>Специи</v>
      </c>
      <c r="F401" s="62">
        <v>0.01</v>
      </c>
      <c r="G401" s="42">
        <f>IF(Рецепты[[#This Row],[%]]*1000&gt;0,Рецепты[[#This Row],[%]]*1000,"")</f>
        <v>10</v>
      </c>
      <c r="H401" s="43">
        <f>IFERROR(VLOOKUP(Рецепты[[#This Row],[Состав]],Ингредиенты!A:I,3,0)*Рецепты[[#This Row],[г]],"")</f>
        <v>0.38500000000000001</v>
      </c>
      <c r="I401" s="42">
        <f>СводРецепт!$A$1</f>
        <v>1000</v>
      </c>
      <c r="J401" s="42">
        <f>Рецепты[[#This Row],[%]]*Рецепты[[#This Row],[Масса]]</f>
        <v>10</v>
      </c>
      <c r="K401" s="43">
        <f>Рецепты[[#This Row],[Вес ингр-тов]]*VLOOKUP(Рецепты[[#This Row],[Состав]],Ингредиенты[],3,FALSE)</f>
        <v>0.38500000000000001</v>
      </c>
      <c r="L401" s="41">
        <f>IF(VLOOKUP(Рецепты[[#This Row],[Состав]],Ингредиенты[],4,0)="Основа",VLOOKUP(Рецепты[[#This Row],[Способ]],Способ[],2,0),0%)</f>
        <v>0</v>
      </c>
      <c r="M401" s="41">
        <f>VLOOKUP(Рецепты[[#This Row],[Способ]],Способ[],3,0)</f>
        <v>0.7</v>
      </c>
      <c r="N401" s="43">
        <f>Рецепты[[#This Row],[р]]*100%/(100%-Рецепты[[#This Row],[Потери, %]])+Рецепты[[#This Row],[Маржа]]*(Рецепты[[#This Row],[р]]*100%)/(100%-Рецепты[[#This Row],[Потери, %]])</f>
        <v>0.65449999999999997</v>
      </c>
      <c r="O401" s="43">
        <f>Рецепты[[#This Row],[Цена за 1 кг]]-(Рецепты[[#This Row],[р]]*100%/(100%-Рецепты[[#This Row],[Потери, %]]))</f>
        <v>0.26949999999999996</v>
      </c>
      <c r="P401" s="40" t="s">
        <v>583</v>
      </c>
      <c r="Q401" s="40" t="s">
        <v>584</v>
      </c>
      <c r="R401" s="44" t="str">
        <f>VLOOKUP(Рецепты[[#This Row],[Состав]],Ингредиенты[],9,0)</f>
        <v>Да</v>
      </c>
      <c r="S401" s="52"/>
    </row>
    <row r="402" spans="1:19" x14ac:dyDescent="0.25">
      <c r="A402" s="40" t="s">
        <v>582</v>
      </c>
      <c r="B402" s="40" t="str">
        <f t="shared" si="59"/>
        <v>Колбаса</v>
      </c>
      <c r="C402" s="40" t="str">
        <f t="shared" si="60"/>
        <v>Вареное</v>
      </c>
      <c r="D402" s="40" t="s">
        <v>151</v>
      </c>
      <c r="E402" s="41" t="str">
        <f>VLOOKUP(Рецепты[[#This Row],[Состав]],Ингредиенты[],2,0)</f>
        <v>Специи</v>
      </c>
      <c r="F402" s="62">
        <v>2E-3</v>
      </c>
      <c r="G402" s="42">
        <f>IF(Рецепты[[#This Row],[%]]*1000&gt;0,Рецепты[[#This Row],[%]]*1000,"")</f>
        <v>2</v>
      </c>
      <c r="H402" s="43">
        <f>IFERROR(VLOOKUP(Рецепты[[#This Row],[Состав]],Ингредиенты!A:I,3,0)*Рецепты[[#This Row],[г]],"")</f>
        <v>1.7566666666666666</v>
      </c>
      <c r="I402" s="42">
        <f>СводРецепт!$A$1</f>
        <v>1000</v>
      </c>
      <c r="J402" s="42">
        <f>Рецепты[[#This Row],[%]]*Рецепты[[#This Row],[Масса]]</f>
        <v>2</v>
      </c>
      <c r="K402" s="43">
        <f>Рецепты[[#This Row],[Вес ингр-тов]]*VLOOKUP(Рецепты[[#This Row],[Состав]],Ингредиенты[],3,FALSE)</f>
        <v>1.7566666666666666</v>
      </c>
      <c r="L402" s="41">
        <f>IF(VLOOKUP(Рецепты[[#This Row],[Состав]],Ингредиенты[],4,0)="Основа",VLOOKUP(Рецепты[[#This Row],[Способ]],Способ[],2,0),0%)</f>
        <v>0</v>
      </c>
      <c r="M402" s="41">
        <f>VLOOKUP(Рецепты[[#This Row],[Способ]],Способ[],3,0)</f>
        <v>0.7</v>
      </c>
      <c r="N402" s="43">
        <f>Рецепты[[#This Row],[р]]*100%/(100%-Рецепты[[#This Row],[Потери, %]])+Рецепты[[#This Row],[Маржа]]*(Рецепты[[#This Row],[р]]*100%)/(100%-Рецепты[[#This Row],[Потери, %]])</f>
        <v>2.9863333333333331</v>
      </c>
      <c r="O402" s="43">
        <f>Рецепты[[#This Row],[Цена за 1 кг]]-(Рецепты[[#This Row],[р]]*100%/(100%-Рецепты[[#This Row],[Потери, %]]))</f>
        <v>1.2296666666666665</v>
      </c>
      <c r="P402" s="40" t="s">
        <v>583</v>
      </c>
      <c r="Q402" s="40" t="s">
        <v>584</v>
      </c>
      <c r="R402" s="44" t="str">
        <f>VLOOKUP(Рецепты[[#This Row],[Состав]],Ингредиенты[],9,0)</f>
        <v>Да</v>
      </c>
      <c r="S402" s="52"/>
    </row>
    <row r="403" spans="1:19" x14ac:dyDescent="0.25">
      <c r="A403" s="40" t="s">
        <v>582</v>
      </c>
      <c r="B403" s="40" t="str">
        <f t="shared" si="59"/>
        <v>Колбаса</v>
      </c>
      <c r="C403" s="40" t="str">
        <f t="shared" si="60"/>
        <v>Вареное</v>
      </c>
      <c r="D403" s="40" t="s">
        <v>133</v>
      </c>
      <c r="E403" s="41" t="str">
        <f>VLOOKUP(Рецепты[[#This Row],[Состав]],Ингредиенты[],2,0)</f>
        <v>Специи</v>
      </c>
      <c r="F403" s="62">
        <v>2E-3</v>
      </c>
      <c r="G403" s="42">
        <f>IF(Рецепты[[#This Row],[%]]*1000&gt;0,Рецепты[[#This Row],[%]]*1000,"")</f>
        <v>2</v>
      </c>
      <c r="H403" s="43">
        <f>IFERROR(VLOOKUP(Рецепты[[#This Row],[Состав]],Ингредиенты!A:I,3,0)*Рецепты[[#This Row],[г]],"")</f>
        <v>2.189090909090909</v>
      </c>
      <c r="I403" s="42">
        <f>СводРецепт!$A$1</f>
        <v>1000</v>
      </c>
      <c r="J403" s="42">
        <f>Рецепты[[#This Row],[%]]*Рецепты[[#This Row],[Масса]]</f>
        <v>2</v>
      </c>
      <c r="K403" s="43">
        <f>Рецепты[[#This Row],[Вес ингр-тов]]*VLOOKUP(Рецепты[[#This Row],[Состав]],Ингредиенты[],3,FALSE)</f>
        <v>2.189090909090909</v>
      </c>
      <c r="L403" s="41">
        <f>IF(VLOOKUP(Рецепты[[#This Row],[Состав]],Ингредиенты[],4,0)="Основа",VLOOKUP(Рецепты[[#This Row],[Способ]],Способ[],2,0),0%)</f>
        <v>0</v>
      </c>
      <c r="M403" s="41">
        <f>VLOOKUP(Рецепты[[#This Row],[Способ]],Способ[],3,0)</f>
        <v>0.7</v>
      </c>
      <c r="N403" s="43">
        <f>Рецепты[[#This Row],[р]]*100%/(100%-Рецепты[[#This Row],[Потери, %]])+Рецепты[[#This Row],[Маржа]]*(Рецепты[[#This Row],[р]]*100%)/(100%-Рецепты[[#This Row],[Потери, %]])</f>
        <v>3.7214545454545451</v>
      </c>
      <c r="O403" s="43">
        <f>Рецепты[[#This Row],[Цена за 1 кг]]-(Рецепты[[#This Row],[р]]*100%/(100%-Рецепты[[#This Row],[Потери, %]]))</f>
        <v>1.5323636363636362</v>
      </c>
      <c r="P403" s="40" t="s">
        <v>583</v>
      </c>
      <c r="Q403" s="40" t="s">
        <v>584</v>
      </c>
      <c r="R403" s="44" t="str">
        <f>VLOOKUP(Рецепты[[#This Row],[Состав]],Ингредиенты[],9,0)</f>
        <v>Да</v>
      </c>
      <c r="S403" s="52"/>
    </row>
    <row r="404" spans="1:19" x14ac:dyDescent="0.25">
      <c r="A404" s="40" t="s">
        <v>582</v>
      </c>
      <c r="B404" s="40" t="str">
        <f t="shared" si="59"/>
        <v>Колбаса</v>
      </c>
      <c r="C404" s="40" t="str">
        <f t="shared" si="60"/>
        <v>Вареное</v>
      </c>
      <c r="D404" s="40" t="s">
        <v>155</v>
      </c>
      <c r="E404" s="41" t="str">
        <f>VLOOKUP(Рецепты[[#This Row],[Состав]],Ингредиенты[],2,0)</f>
        <v>Специи</v>
      </c>
      <c r="F404" s="62">
        <v>1E-3</v>
      </c>
      <c r="G404" s="42">
        <f>IF(Рецепты[[#This Row],[%]]*1000&gt;0,Рецепты[[#This Row],[%]]*1000,"")</f>
        <v>1</v>
      </c>
      <c r="H404" s="43">
        <f>IFERROR(VLOOKUP(Рецепты[[#This Row],[Состав]],Ингредиенты!A:I,3,0)*Рецепты[[#This Row],[г]],"")</f>
        <v>0.50222222222222224</v>
      </c>
      <c r="I404" s="42">
        <f>СводРецепт!$A$1</f>
        <v>1000</v>
      </c>
      <c r="J404" s="42">
        <f>Рецепты[[#This Row],[%]]*Рецепты[[#This Row],[Масса]]</f>
        <v>1</v>
      </c>
      <c r="K404" s="43">
        <f>Рецепты[[#This Row],[Вес ингр-тов]]*VLOOKUP(Рецепты[[#This Row],[Состав]],Ингредиенты[],3,FALSE)</f>
        <v>0.50222222222222224</v>
      </c>
      <c r="L404" s="41">
        <f>IF(VLOOKUP(Рецепты[[#This Row],[Состав]],Ингредиенты[],4,0)="Основа",VLOOKUP(Рецепты[[#This Row],[Способ]],Способ[],2,0),0%)</f>
        <v>0</v>
      </c>
      <c r="M404" s="41">
        <f>VLOOKUP(Рецепты[[#This Row],[Способ]],Способ[],3,0)</f>
        <v>0.7</v>
      </c>
      <c r="N404" s="43">
        <f>Рецепты[[#This Row],[р]]*100%/(100%-Рецепты[[#This Row],[Потери, %]])+Рецепты[[#This Row],[Маржа]]*(Рецепты[[#This Row],[р]]*100%)/(100%-Рецепты[[#This Row],[Потери, %]])</f>
        <v>0.85377777777777775</v>
      </c>
      <c r="O404" s="43">
        <f>Рецепты[[#This Row],[Цена за 1 кг]]-(Рецепты[[#This Row],[р]]*100%/(100%-Рецепты[[#This Row],[Потери, %]]))</f>
        <v>0.35155555555555551</v>
      </c>
      <c r="P404" s="40" t="s">
        <v>583</v>
      </c>
      <c r="Q404" s="40" t="s">
        <v>584</v>
      </c>
      <c r="R404" s="44" t="str">
        <f>VLOOKUP(Рецепты[[#This Row],[Состав]],Ингредиенты[],9,0)</f>
        <v>Да</v>
      </c>
      <c r="S404" s="52"/>
    </row>
    <row r="405" spans="1:19" x14ac:dyDescent="0.25">
      <c r="A405" s="40" t="s">
        <v>582</v>
      </c>
      <c r="B405" s="40" t="str">
        <f t="shared" si="59"/>
        <v>Колбаса</v>
      </c>
      <c r="C405" s="40" t="str">
        <f t="shared" si="60"/>
        <v>Вареное</v>
      </c>
      <c r="D405" s="40" t="s">
        <v>149</v>
      </c>
      <c r="E405" s="41" t="str">
        <f>VLOOKUP(Рецепты[[#This Row],[Состав]],Ингредиенты[],2,0)</f>
        <v>Специи</v>
      </c>
      <c r="F405" s="62">
        <v>1E-3</v>
      </c>
      <c r="G405" s="42">
        <f>IF(Рецепты[[#This Row],[%]]*1000&gt;0,Рецепты[[#This Row],[%]]*1000,"")</f>
        <v>1</v>
      </c>
      <c r="H405" s="43">
        <f>IFERROR(VLOOKUP(Рецепты[[#This Row],[Состав]],Ингредиенты!A:I,3,0)*Рецепты[[#This Row],[г]],"")</f>
        <v>2.0772727272727272</v>
      </c>
      <c r="I405" s="42">
        <f>СводРецепт!$A$1</f>
        <v>1000</v>
      </c>
      <c r="J405" s="42">
        <f>Рецепты[[#This Row],[%]]*Рецепты[[#This Row],[Масса]]</f>
        <v>1</v>
      </c>
      <c r="K405" s="43">
        <f>Рецепты[[#This Row],[Вес ингр-тов]]*VLOOKUP(Рецепты[[#This Row],[Состав]],Ингредиенты[],3,FALSE)</f>
        <v>2.0772727272727272</v>
      </c>
      <c r="L405" s="41">
        <f>IF(VLOOKUP(Рецепты[[#This Row],[Состав]],Ингредиенты[],4,0)="Основа",VLOOKUP(Рецепты[[#This Row],[Способ]],Способ[],2,0),0%)</f>
        <v>0</v>
      </c>
      <c r="M405" s="41">
        <f>VLOOKUP(Рецепты[[#This Row],[Способ]],Способ[],3,0)</f>
        <v>0.7</v>
      </c>
      <c r="N405" s="43">
        <f>Рецепты[[#This Row],[р]]*100%/(100%-Рецепты[[#This Row],[Потери, %]])+Рецепты[[#This Row],[Маржа]]*(Рецепты[[#This Row],[р]]*100%)/(100%-Рецепты[[#This Row],[Потери, %]])</f>
        <v>3.5313636363636363</v>
      </c>
      <c r="O405" s="43">
        <f>Рецепты[[#This Row],[Цена за 1 кг]]-(Рецепты[[#This Row],[р]]*100%/(100%-Рецепты[[#This Row],[Потери, %]]))</f>
        <v>1.4540909090909091</v>
      </c>
      <c r="P405" s="40" t="s">
        <v>583</v>
      </c>
      <c r="Q405" s="40" t="s">
        <v>584</v>
      </c>
      <c r="R405" s="44" t="str">
        <f>VLOOKUP(Рецепты[[#This Row],[Состав]],Ингредиенты[],9,0)</f>
        <v>Да</v>
      </c>
      <c r="S405" s="52"/>
    </row>
    <row r="406" spans="1:19" x14ac:dyDescent="0.25">
      <c r="A406" s="40" t="s">
        <v>582</v>
      </c>
      <c r="B406" s="40" t="str">
        <f t="shared" si="59"/>
        <v>Колбаса</v>
      </c>
      <c r="C406" s="40" t="str">
        <f t="shared" si="60"/>
        <v>Вареное</v>
      </c>
      <c r="D406" s="40" t="s">
        <v>131</v>
      </c>
      <c r="E406" s="41" t="str">
        <f>VLOOKUP(Рецепты[[#This Row],[Состав]],Ингредиенты[],2,0)</f>
        <v>Специи</v>
      </c>
      <c r="F406" s="62">
        <v>1E-3</v>
      </c>
      <c r="G406" s="42">
        <f>IF(Рецепты[[#This Row],[%]]*1000&gt;0,Рецепты[[#This Row],[%]]*1000,"")</f>
        <v>1</v>
      </c>
      <c r="H406" s="43">
        <f>IFERROR(VLOOKUP(Рецепты[[#This Row],[Состав]],Ингредиенты!A:I,3,0)*Рецепты[[#This Row],[г]],"")</f>
        <v>8.0882352941176475E-2</v>
      </c>
      <c r="I406" s="42">
        <f>СводРецепт!$A$1</f>
        <v>1000</v>
      </c>
      <c r="J406" s="42">
        <f>Рецепты[[#This Row],[%]]*Рецепты[[#This Row],[Масса]]</f>
        <v>1</v>
      </c>
      <c r="K406" s="43">
        <f>Рецепты[[#This Row],[Вес ингр-тов]]*VLOOKUP(Рецепты[[#This Row],[Состав]],Ингредиенты[],3,FALSE)</f>
        <v>8.0882352941176475E-2</v>
      </c>
      <c r="L406" s="41">
        <f>IF(VLOOKUP(Рецепты[[#This Row],[Состав]],Ингредиенты[],4,0)="Основа",VLOOKUP(Рецепты[[#This Row],[Способ]],Способ[],2,0),0%)</f>
        <v>0</v>
      </c>
      <c r="M406" s="41">
        <f>VLOOKUP(Рецепты[[#This Row],[Способ]],Способ[],3,0)</f>
        <v>0.7</v>
      </c>
      <c r="N406" s="43">
        <f>Рецепты[[#This Row],[р]]*100%/(100%-Рецепты[[#This Row],[Потери, %]])+Рецепты[[#This Row],[Маржа]]*(Рецепты[[#This Row],[р]]*100%)/(100%-Рецепты[[#This Row],[Потери, %]])</f>
        <v>0.13750000000000001</v>
      </c>
      <c r="O406" s="43">
        <f>Рецепты[[#This Row],[Цена за 1 кг]]-(Рецепты[[#This Row],[р]]*100%/(100%-Рецепты[[#This Row],[Потери, %]]))</f>
        <v>5.6617647058823536E-2</v>
      </c>
      <c r="P406" s="40" t="s">
        <v>583</v>
      </c>
      <c r="Q406" s="40" t="s">
        <v>584</v>
      </c>
      <c r="R406" s="44" t="str">
        <f>VLOOKUP(Рецепты[[#This Row],[Состав]],Ингредиенты[],9,0)</f>
        <v>Да</v>
      </c>
      <c r="S406" s="52"/>
    </row>
    <row r="407" spans="1:19" x14ac:dyDescent="0.25">
      <c r="A407" s="40" t="s">
        <v>582</v>
      </c>
      <c r="B407" s="40" t="str">
        <f t="shared" si="59"/>
        <v>Колбаса</v>
      </c>
      <c r="C407" s="40" t="str">
        <f t="shared" si="60"/>
        <v>Вареное</v>
      </c>
      <c r="D407" s="40" t="s">
        <v>147</v>
      </c>
      <c r="E407" s="41" t="str">
        <f>VLOOKUP(Рецепты[[#This Row],[Состав]],Ингредиенты[],2,0)</f>
        <v>Специи</v>
      </c>
      <c r="F407" s="62">
        <v>1E-3</v>
      </c>
      <c r="G407" s="42">
        <f>IF(Рецепты[[#This Row],[%]]*1000&gt;0,Рецепты[[#This Row],[%]]*1000,"")</f>
        <v>1</v>
      </c>
      <c r="H407" s="43">
        <f>IFERROR(VLOOKUP(Рецепты[[#This Row],[Состав]],Ингредиенты!A:I,3,0)*Рецепты[[#This Row],[г]],"")</f>
        <v>0.89600000000000002</v>
      </c>
      <c r="I407" s="42">
        <f>СводРецепт!$A$1</f>
        <v>1000</v>
      </c>
      <c r="J407" s="42">
        <f>Рецепты[[#This Row],[%]]*Рецепты[[#This Row],[Масса]]</f>
        <v>1</v>
      </c>
      <c r="K407" s="43">
        <f>Рецепты[[#This Row],[Вес ингр-тов]]*VLOOKUP(Рецепты[[#This Row],[Состав]],Ингредиенты[],3,FALSE)</f>
        <v>0.89600000000000002</v>
      </c>
      <c r="L407" s="41">
        <f>IF(VLOOKUP(Рецепты[[#This Row],[Состав]],Ингредиенты[],4,0)="Основа",VLOOKUP(Рецепты[[#This Row],[Способ]],Способ[],2,0),0%)</f>
        <v>0</v>
      </c>
      <c r="M407" s="41">
        <f>VLOOKUP(Рецепты[[#This Row],[Способ]],Способ[],3,0)</f>
        <v>0.7</v>
      </c>
      <c r="N407" s="43">
        <f>Рецепты[[#This Row],[р]]*100%/(100%-Рецепты[[#This Row],[Потери, %]])+Рецепты[[#This Row],[Маржа]]*(Рецепты[[#This Row],[р]]*100%)/(100%-Рецепты[[#This Row],[Потери, %]])</f>
        <v>1.5232000000000001</v>
      </c>
      <c r="O407" s="43">
        <f>Рецепты[[#This Row],[Цена за 1 кг]]-(Рецепты[[#This Row],[р]]*100%/(100%-Рецепты[[#This Row],[Потери, %]]))</f>
        <v>0.62720000000000009</v>
      </c>
      <c r="P407" s="40" t="s">
        <v>583</v>
      </c>
      <c r="Q407" s="40" t="s">
        <v>584</v>
      </c>
      <c r="R407" s="44" t="str">
        <f>VLOOKUP(Рецепты[[#This Row],[Состав]],Ингредиенты[],9,0)</f>
        <v>Да</v>
      </c>
      <c r="S407" s="52"/>
    </row>
    <row r="408" spans="1:19" x14ac:dyDescent="0.25">
      <c r="A408" s="40" t="s">
        <v>582</v>
      </c>
      <c r="B408" s="40" t="str">
        <f t="shared" si="59"/>
        <v>Колбаса</v>
      </c>
      <c r="C408" s="40" t="str">
        <f t="shared" si="60"/>
        <v>Вареное</v>
      </c>
      <c r="D408" s="40" t="s">
        <v>227</v>
      </c>
      <c r="E408" s="41" t="str">
        <f>VLOOKUP(Рецепты[[#This Row],[Состав]],Ингредиенты[],2,0)</f>
        <v>Оболочка</v>
      </c>
      <c r="F408" s="62">
        <v>1E-3</v>
      </c>
      <c r="G408" s="42">
        <f>IF(Рецепты[[#This Row],[%]]*1000&gt;0,Рецепты[[#This Row],[%]]*1000,"")</f>
        <v>1</v>
      </c>
      <c r="H408" s="43">
        <f>IFERROR(VLOOKUP(Рецепты[[#This Row],[Состав]],Ингредиенты!A:I,3,0)*Рецепты[[#This Row],[г]],"")</f>
        <v>29.333333333333332</v>
      </c>
      <c r="I408" s="42">
        <f>СводРецепт!$A$1</f>
        <v>1000</v>
      </c>
      <c r="J408" s="42">
        <f>Рецепты[[#This Row],[%]]*Рецепты[[#This Row],[Масса]]</f>
        <v>1</v>
      </c>
      <c r="K408" s="43">
        <f>Рецепты[[#This Row],[Вес ингр-тов]]*VLOOKUP(Рецепты[[#This Row],[Состав]],Ингредиенты[],3,FALSE)</f>
        <v>29.333333333333332</v>
      </c>
      <c r="L408" s="41">
        <f>IF(VLOOKUP(Рецепты[[#This Row],[Состав]],Ингредиенты[],4,0)="Основа",VLOOKUP(Рецепты[[#This Row],[Способ]],Способ[],2,0),0%)</f>
        <v>0</v>
      </c>
      <c r="M408" s="41">
        <f>VLOOKUP(Рецепты[[#This Row],[Способ]],Способ[],3,0)</f>
        <v>0.7</v>
      </c>
      <c r="N408" s="43">
        <f>Рецепты[[#This Row],[р]]*100%/(100%-Рецепты[[#This Row],[Потери, %]])+Рецепты[[#This Row],[Маржа]]*(Рецепты[[#This Row],[р]]*100%)/(100%-Рецепты[[#This Row],[Потери, %]])</f>
        <v>49.86666666666666</v>
      </c>
      <c r="O408" s="43">
        <f>Рецепты[[#This Row],[Цена за 1 кг]]-(Рецепты[[#This Row],[р]]*100%/(100%-Рецепты[[#This Row],[Потери, %]]))</f>
        <v>20.533333333333328</v>
      </c>
      <c r="P408" s="40" t="s">
        <v>583</v>
      </c>
      <c r="Q408" s="40" t="s">
        <v>584</v>
      </c>
      <c r="R408" s="44" t="str">
        <f>VLOOKUP(Рецепты[[#This Row],[Состав]],Ингредиенты[],9,0)</f>
        <v>Да</v>
      </c>
      <c r="S408" s="52"/>
    </row>
    <row r="409" spans="1:19" x14ac:dyDescent="0.25">
      <c r="A409" s="40" t="s">
        <v>585</v>
      </c>
      <c r="B409" s="40" t="s">
        <v>17</v>
      </c>
      <c r="C409" s="40" t="s">
        <v>22</v>
      </c>
      <c r="D409" s="40" t="s">
        <v>54</v>
      </c>
      <c r="E409" s="41" t="str">
        <f>VLOOKUP(Рецепты[[#This Row],[Состав]],Ингредиенты[],2,0)</f>
        <v>Свинина</v>
      </c>
      <c r="F409" s="62">
        <v>1</v>
      </c>
      <c r="G409" s="42">
        <f>IF(Рецепты[[#This Row],[%]]*1000&gt;0,Рецепты[[#This Row],[%]]*1000,"")</f>
        <v>1000</v>
      </c>
      <c r="H409" s="43">
        <f>IFERROR(VLOOKUP(Рецепты[[#This Row],[Состав]],Ингредиенты!A:I,3,0)*Рецепты[[#This Row],[г]],"")</f>
        <v>429.99</v>
      </c>
      <c r="I409" s="42">
        <f>СводРецепт!$A$1</f>
        <v>1000</v>
      </c>
      <c r="J409" s="42">
        <f>Рецепты[[#This Row],[%]]*Рецепты[[#This Row],[Масса]]</f>
        <v>1000</v>
      </c>
      <c r="K409" s="43">
        <f>Рецепты[[#This Row],[Вес ингр-тов]]*VLOOKUP(Рецепты[[#This Row],[Состав]],Ингредиенты[],3,FALSE)</f>
        <v>429.99</v>
      </c>
      <c r="L409" s="41">
        <f>IF(VLOOKUP(Рецепты[[#This Row],[Состав]],Ингредиенты[],4,0)="Основа",VLOOKUP(Рецепты[[#This Row],[Способ]],Способ[],2,0),0%)</f>
        <v>0.35</v>
      </c>
      <c r="M409" s="41">
        <f>VLOOKUP(Рецепты[[#This Row],[Способ]],Способ[],3,0)</f>
        <v>2</v>
      </c>
      <c r="N409" s="43">
        <f>Рецепты[[#This Row],[р]]*100%/(100%-Рецепты[[#This Row],[Потери, %]])+Рецепты[[#This Row],[Маржа]]*(Рецепты[[#This Row],[р]]*100%)/(100%-Рецепты[[#This Row],[Потери, %]])</f>
        <v>1984.5692307692307</v>
      </c>
      <c r="O409" s="43">
        <f>Рецепты[[#This Row],[Цена за 1 кг]]-(Рецепты[[#This Row],[р]]*100%/(100%-Рецепты[[#This Row],[Потери, %]]))</f>
        <v>1323.0461538461536</v>
      </c>
      <c r="P409" s="40" t="s">
        <v>586</v>
      </c>
      <c r="Q409" s="40" t="s">
        <v>587</v>
      </c>
      <c r="R409" s="44" t="str">
        <f>VLOOKUP(Рецепты[[#This Row],[Состав]],Ингредиенты[],9,0)</f>
        <v>Нет</v>
      </c>
      <c r="S409" s="52"/>
    </row>
    <row r="410" spans="1:19" x14ac:dyDescent="0.25">
      <c r="A410" s="40" t="s">
        <v>585</v>
      </c>
      <c r="B410" s="40" t="str">
        <f t="shared" ref="B410:C413" si="61">B409</f>
        <v>Цельное</v>
      </c>
      <c r="C410" s="40" t="str">
        <f t="shared" si="61"/>
        <v>Сырокопченое</v>
      </c>
      <c r="D410" s="40" t="s">
        <v>125</v>
      </c>
      <c r="E410" s="41" t="str">
        <f>VLOOKUP(Рецепты[[#This Row],[Состав]],Ингредиенты[],2,0)</f>
        <v>Специи</v>
      </c>
      <c r="F410" s="62">
        <v>2.5000000000000001E-2</v>
      </c>
      <c r="G410" s="42">
        <f>IF(Рецепты[[#This Row],[%]]*1000&gt;0,Рецепты[[#This Row],[%]]*1000,"")</f>
        <v>25</v>
      </c>
      <c r="H410" s="43">
        <f>IFERROR(VLOOKUP(Рецепты[[#This Row],[Состав]],Ингредиенты!A:I,3,0)*Рецепты[[#This Row],[г]],"")</f>
        <v>3.2</v>
      </c>
      <c r="I410" s="42">
        <f>СводРецепт!$A$1</f>
        <v>1000</v>
      </c>
      <c r="J410" s="42">
        <f>Рецепты[[#This Row],[%]]*Рецепты[[#This Row],[Масса]]</f>
        <v>25</v>
      </c>
      <c r="K410" s="43">
        <f>Рецепты[[#This Row],[Вес ингр-тов]]*VLOOKUP(Рецепты[[#This Row],[Состав]],Ингредиенты[],3,FALSE)</f>
        <v>3.2</v>
      </c>
      <c r="L410" s="41">
        <f>IF(VLOOKUP(Рецепты[[#This Row],[Состав]],Ингредиенты[],4,0)="Основа",VLOOKUP(Рецепты[[#This Row],[Способ]],Способ[],2,0),0%)</f>
        <v>0</v>
      </c>
      <c r="M410" s="41">
        <f>VLOOKUP(Рецепты[[#This Row],[Способ]],Способ[],3,0)</f>
        <v>2</v>
      </c>
      <c r="N410" s="43">
        <f>Рецепты[[#This Row],[р]]*100%/(100%-Рецепты[[#This Row],[Потери, %]])+Рецепты[[#This Row],[Маржа]]*(Рецепты[[#This Row],[р]]*100%)/(100%-Рецепты[[#This Row],[Потери, %]])</f>
        <v>9.6000000000000014</v>
      </c>
      <c r="O410" s="43">
        <f>Рецепты[[#This Row],[Цена за 1 кг]]-(Рецепты[[#This Row],[р]]*100%/(100%-Рецепты[[#This Row],[Потери, %]]))</f>
        <v>6.4000000000000012</v>
      </c>
      <c r="P410" s="40" t="s">
        <v>586</v>
      </c>
      <c r="Q410" s="40" t="s">
        <v>587</v>
      </c>
      <c r="R410" s="44" t="str">
        <f>VLOOKUP(Рецепты[[#This Row],[Состав]],Ингредиенты[],9,0)</f>
        <v>Да</v>
      </c>
      <c r="S410" s="52"/>
    </row>
    <row r="411" spans="1:19" x14ac:dyDescent="0.25">
      <c r="A411" s="40" t="s">
        <v>585</v>
      </c>
      <c r="B411" s="40" t="str">
        <f t="shared" si="61"/>
        <v>Цельное</v>
      </c>
      <c r="C411" s="40" t="str">
        <f t="shared" si="61"/>
        <v>Сырокопченое</v>
      </c>
      <c r="D411" s="40" t="s">
        <v>173</v>
      </c>
      <c r="E411" s="41" t="str">
        <f>VLOOKUP(Рецепты[[#This Row],[Состав]],Ингредиенты[],2,0)</f>
        <v>Специи</v>
      </c>
      <c r="F411" s="62">
        <v>5.0000000000000001E-4</v>
      </c>
      <c r="G411" s="42">
        <f>IF(Рецепты[[#This Row],[%]]*1000&gt;0,Рецепты[[#This Row],[%]]*1000,"")</f>
        <v>0.5</v>
      </c>
      <c r="H411" s="43">
        <f>IFERROR(VLOOKUP(Рецепты[[#This Row],[Состав]],Ингредиенты!A:I,3,0)*Рецепты[[#This Row],[г]],"")</f>
        <v>2.48</v>
      </c>
      <c r="I411" s="42">
        <f>СводРецепт!$A$1</f>
        <v>1000</v>
      </c>
      <c r="J411" s="42">
        <f>Рецепты[[#This Row],[%]]*Рецепты[[#This Row],[Масса]]</f>
        <v>0.5</v>
      </c>
      <c r="K411" s="43">
        <f>Рецепты[[#This Row],[Вес ингр-тов]]*VLOOKUP(Рецепты[[#This Row],[Состав]],Ингредиенты[],3,FALSE)</f>
        <v>2.48</v>
      </c>
      <c r="L411" s="41">
        <f>IF(VLOOKUP(Рецепты[[#This Row],[Состав]],Ингредиенты[],4,0)="Основа",VLOOKUP(Рецепты[[#This Row],[Способ]],Способ[],2,0),0%)</f>
        <v>0</v>
      </c>
      <c r="M411" s="41">
        <f>VLOOKUP(Рецепты[[#This Row],[Способ]],Способ[],3,0)</f>
        <v>2</v>
      </c>
      <c r="N411" s="43">
        <f>Рецепты[[#This Row],[р]]*100%/(100%-Рецепты[[#This Row],[Потери, %]])+Рецепты[[#This Row],[Маржа]]*(Рецепты[[#This Row],[р]]*100%)/(100%-Рецепты[[#This Row],[Потери, %]])</f>
        <v>7.4399999999999995</v>
      </c>
      <c r="O411" s="43">
        <f>Рецепты[[#This Row],[Цена за 1 кг]]-(Рецепты[[#This Row],[р]]*100%/(100%-Рецепты[[#This Row],[Потери, %]]))</f>
        <v>4.9599999999999991</v>
      </c>
      <c r="P411" s="40" t="s">
        <v>586</v>
      </c>
      <c r="Q411" s="40" t="s">
        <v>587</v>
      </c>
      <c r="R411" s="44" t="str">
        <f>VLOOKUP(Рецепты[[#This Row],[Состав]],Ингредиенты[],9,0)</f>
        <v>Да</v>
      </c>
      <c r="S411" s="52"/>
    </row>
    <row r="412" spans="1:19" x14ac:dyDescent="0.25">
      <c r="A412" s="40" t="s">
        <v>585</v>
      </c>
      <c r="B412" s="40" t="str">
        <f t="shared" si="61"/>
        <v>Цельное</v>
      </c>
      <c r="C412" s="40" t="str">
        <f t="shared" si="61"/>
        <v>Сырокопченое</v>
      </c>
      <c r="D412" s="40" t="s">
        <v>175</v>
      </c>
      <c r="E412" s="41" t="str">
        <f>VLOOKUP(Рецепты[[#This Row],[Состав]],Ингредиенты[],2,0)</f>
        <v>Специи</v>
      </c>
      <c r="F412" s="62">
        <v>5.0000000000000001E-3</v>
      </c>
      <c r="G412" s="42">
        <f>IF(Рецепты[[#This Row],[%]]*1000&gt;0,Рецепты[[#This Row],[%]]*1000,"")</f>
        <v>5</v>
      </c>
      <c r="H412" s="43">
        <f>IFERROR(VLOOKUP(Рецепты[[#This Row],[Состав]],Ингредиенты!A:I,3,0)*Рецепты[[#This Row],[г]],"")</f>
        <v>9.5499999999999989</v>
      </c>
      <c r="I412" s="42">
        <f>СводРецепт!$A$1</f>
        <v>1000</v>
      </c>
      <c r="J412" s="42">
        <f>Рецепты[[#This Row],[%]]*Рецепты[[#This Row],[Масса]]</f>
        <v>5</v>
      </c>
      <c r="K412" s="43">
        <f>Рецепты[[#This Row],[Вес ингр-тов]]*VLOOKUP(Рецепты[[#This Row],[Состав]],Ингредиенты[],3,FALSE)</f>
        <v>9.5499999999999989</v>
      </c>
      <c r="L412" s="41">
        <f>IF(VLOOKUP(Рецепты[[#This Row],[Состав]],Ингредиенты[],4,0)="Основа",VLOOKUP(Рецепты[[#This Row],[Способ]],Способ[],2,0),0%)</f>
        <v>0</v>
      </c>
      <c r="M412" s="41">
        <f>VLOOKUP(Рецепты[[#This Row],[Способ]],Способ[],3,0)</f>
        <v>2</v>
      </c>
      <c r="N412" s="43">
        <f>Рецепты[[#This Row],[р]]*100%/(100%-Рецепты[[#This Row],[Потери, %]])+Рецепты[[#This Row],[Маржа]]*(Рецепты[[#This Row],[р]]*100%)/(100%-Рецепты[[#This Row],[Потери, %]])</f>
        <v>28.65</v>
      </c>
      <c r="O412" s="43">
        <f>Рецепты[[#This Row],[Цена за 1 кг]]-(Рецепты[[#This Row],[р]]*100%/(100%-Рецепты[[#This Row],[Потери, %]]))</f>
        <v>19.100000000000001</v>
      </c>
      <c r="P412" s="40" t="s">
        <v>586</v>
      </c>
      <c r="Q412" s="40" t="s">
        <v>587</v>
      </c>
      <c r="R412" s="44" t="str">
        <f>VLOOKUP(Рецепты[[#This Row],[Состав]],Ингредиенты[],9,0)</f>
        <v>Да</v>
      </c>
      <c r="S412" s="52"/>
    </row>
    <row r="413" spans="1:19" x14ac:dyDescent="0.25">
      <c r="A413" s="40" t="s">
        <v>585</v>
      </c>
      <c r="B413" s="40" t="str">
        <f t="shared" si="61"/>
        <v>Цельное</v>
      </c>
      <c r="C413" s="40" t="str">
        <f t="shared" si="61"/>
        <v>Сырокопченое</v>
      </c>
      <c r="D413" s="40" t="s">
        <v>229</v>
      </c>
      <c r="E413" s="41" t="str">
        <f>VLOOKUP(Рецепты[[#This Row],[Состав]],Ингредиенты[],2,0)</f>
        <v>Оболочка</v>
      </c>
      <c r="F413" s="62">
        <v>1E-3</v>
      </c>
      <c r="G413" s="42">
        <f>IF(Рецепты[[#This Row],[%]]*1000&gt;0,Рецепты[[#This Row],[%]]*1000,"")</f>
        <v>1</v>
      </c>
      <c r="H413" s="43">
        <f>IFERROR(VLOOKUP(Рецепты[[#This Row],[Состав]],Ингредиенты!A:I,3,0)*Рецепты[[#This Row],[г]],"")</f>
        <v>20.8</v>
      </c>
      <c r="I413" s="42">
        <f>СводРецепт!$A$1</f>
        <v>1000</v>
      </c>
      <c r="J413" s="42">
        <f>Рецепты[[#This Row],[%]]*Рецепты[[#This Row],[Масса]]</f>
        <v>1</v>
      </c>
      <c r="K413" s="43">
        <f>Рецепты[[#This Row],[Вес ингр-тов]]*VLOOKUP(Рецепты[[#This Row],[Состав]],Ингредиенты[],3,FALSE)</f>
        <v>20.8</v>
      </c>
      <c r="L413" s="41">
        <f>IF(VLOOKUP(Рецепты[[#This Row],[Состав]],Ингредиенты[],4,0)="Основа",VLOOKUP(Рецепты[[#This Row],[Способ]],Способ[],2,0),0%)</f>
        <v>0</v>
      </c>
      <c r="M413" s="41">
        <f>VLOOKUP(Рецепты[[#This Row],[Способ]],Способ[],3,0)</f>
        <v>2</v>
      </c>
      <c r="N413" s="43">
        <f>Рецепты[[#This Row],[р]]*100%/(100%-Рецепты[[#This Row],[Потери, %]])+Рецепты[[#This Row],[Маржа]]*(Рецепты[[#This Row],[р]]*100%)/(100%-Рецепты[[#This Row],[Потери, %]])</f>
        <v>62.400000000000006</v>
      </c>
      <c r="O413" s="43">
        <f>Рецепты[[#This Row],[Цена за 1 кг]]-(Рецепты[[#This Row],[р]]*100%/(100%-Рецепты[[#This Row],[Потери, %]]))</f>
        <v>41.600000000000009</v>
      </c>
      <c r="P413" s="40" t="s">
        <v>586</v>
      </c>
      <c r="Q413" s="40" t="s">
        <v>587</v>
      </c>
      <c r="R413" s="44" t="str">
        <f>VLOOKUP(Рецепты[[#This Row],[Состав]],Ингредиенты[],9,0)</f>
        <v>Да</v>
      </c>
      <c r="S413" s="52"/>
    </row>
    <row r="414" spans="1:19" x14ac:dyDescent="0.25">
      <c r="A414" s="40" t="s">
        <v>588</v>
      </c>
      <c r="B414" s="40" t="str">
        <f>B413</f>
        <v>Цельное</v>
      </c>
      <c r="C414" s="40" t="str">
        <f>C413</f>
        <v>Сырокопченое</v>
      </c>
      <c r="D414" s="40" t="s">
        <v>54</v>
      </c>
      <c r="E414" s="41" t="str">
        <f>VLOOKUP(Рецепты[[#This Row],[Состав]],Ингредиенты[],2,0)</f>
        <v>Свинина</v>
      </c>
      <c r="F414" s="62">
        <v>1</v>
      </c>
      <c r="G414" s="42">
        <f>IF(Рецепты[[#This Row],[%]]*1000&gt;0,Рецепты[[#This Row],[%]]*1000,"")</f>
        <v>1000</v>
      </c>
      <c r="H414" s="43">
        <f>IFERROR(VLOOKUP(Рецепты[[#This Row],[Состав]],Ингредиенты!A:I,3,0)*Рецепты[[#This Row],[г]],"")</f>
        <v>429.99</v>
      </c>
      <c r="I414" s="42">
        <f>СводРецепт!$A$1</f>
        <v>1000</v>
      </c>
      <c r="J414" s="42">
        <f>Рецепты[[#This Row],[%]]*Рецепты[[#This Row],[Масса]]</f>
        <v>1000</v>
      </c>
      <c r="K414" s="43">
        <f>Рецепты[[#This Row],[Вес ингр-тов]]*VLOOKUP(Рецепты[[#This Row],[Состав]],Ингредиенты[],3,FALSE)</f>
        <v>429.99</v>
      </c>
      <c r="L414" s="41">
        <f>IF(VLOOKUP(Рецепты[[#This Row],[Состав]],Ингредиенты[],4,0)="Основа",VLOOKUP(Рецепты[[#This Row],[Способ]],Способ[],2,0),0%)</f>
        <v>0.35</v>
      </c>
      <c r="M414" s="41">
        <f>VLOOKUP(Рецепты[[#This Row],[Способ]],Способ[],3,0)</f>
        <v>2</v>
      </c>
      <c r="N414" s="43">
        <f>Рецепты[[#This Row],[р]]*100%/(100%-Рецепты[[#This Row],[Потери, %]])+Рецепты[[#This Row],[Маржа]]*(Рецепты[[#This Row],[р]]*100%)/(100%-Рецепты[[#This Row],[Потери, %]])</f>
        <v>1984.5692307692307</v>
      </c>
      <c r="O414" s="43">
        <f>Рецепты[[#This Row],[Цена за 1 кг]]-(Рецепты[[#This Row],[р]]*100%/(100%-Рецепты[[#This Row],[Потери, %]]))</f>
        <v>1323.0461538461536</v>
      </c>
      <c r="P414" s="40" t="s">
        <v>589</v>
      </c>
      <c r="Q414" s="40" t="s">
        <v>590</v>
      </c>
      <c r="R414" s="44" t="str">
        <f>VLOOKUP(Рецепты[[#This Row],[Состав]],Ингредиенты[],9,0)</f>
        <v>Нет</v>
      </c>
      <c r="S414" s="52" t="s">
        <v>628</v>
      </c>
    </row>
    <row r="415" spans="1:19" x14ac:dyDescent="0.25">
      <c r="A415" s="40" t="s">
        <v>588</v>
      </c>
      <c r="B415" s="40" t="str">
        <f t="shared" ref="B415:B419" si="62">B414</f>
        <v>Цельное</v>
      </c>
      <c r="C415" s="40" t="str">
        <f t="shared" ref="C415:C419" si="63">C414</f>
        <v>Сырокопченое</v>
      </c>
      <c r="D415" s="40" t="s">
        <v>93</v>
      </c>
      <c r="E415" s="41" t="str">
        <f>VLOOKUP(Рецепты[[#This Row],[Состав]],Ингредиенты[],2,0)</f>
        <v>Добавки</v>
      </c>
      <c r="F415" s="62">
        <v>0.878</v>
      </c>
      <c r="G415" s="42">
        <f>IF(Рецепты[[#This Row],[%]]*1000&gt;0,Рецепты[[#This Row],[%]]*1000,"")</f>
        <v>878</v>
      </c>
      <c r="H415" s="43">
        <f>IFERROR(VLOOKUP(Рецепты[[#This Row],[Состав]],Ингредиенты!A:I,3,0)*Рецепты[[#This Row],[г]],"")</f>
        <v>0.878</v>
      </c>
      <c r="I415" s="42">
        <f>СводРецепт!$A$1</f>
        <v>1000</v>
      </c>
      <c r="J415" s="42">
        <f>Рецепты[[#This Row],[%]]*Рецепты[[#This Row],[Масса]]</f>
        <v>878</v>
      </c>
      <c r="K415" s="43">
        <f>Рецепты[[#This Row],[Вес ингр-тов]]*VLOOKUP(Рецепты[[#This Row],[Состав]],Ингредиенты[],3,FALSE)</f>
        <v>0.878</v>
      </c>
      <c r="L415" s="41">
        <f>IF(VLOOKUP(Рецепты[[#This Row],[Состав]],Ингредиенты[],4,0)="Основа",VLOOKUP(Рецепты[[#This Row],[Способ]],Способ[],2,0),0%)</f>
        <v>0</v>
      </c>
      <c r="M415" s="41">
        <f>VLOOKUP(Рецепты[[#This Row],[Способ]],Способ[],3,0)</f>
        <v>2</v>
      </c>
      <c r="N415" s="43">
        <f>Рецепты[[#This Row],[р]]*100%/(100%-Рецепты[[#This Row],[Потери, %]])+Рецепты[[#This Row],[Маржа]]*(Рецепты[[#This Row],[р]]*100%)/(100%-Рецепты[[#This Row],[Потери, %]])</f>
        <v>2.6339999999999999</v>
      </c>
      <c r="O415" s="43">
        <f>Рецепты[[#This Row],[Цена за 1 кг]]-(Рецепты[[#This Row],[р]]*100%/(100%-Рецепты[[#This Row],[Потери, %]]))</f>
        <v>1.7559999999999998</v>
      </c>
      <c r="P415" s="40" t="s">
        <v>589</v>
      </c>
      <c r="Q415" s="40" t="s">
        <v>590</v>
      </c>
      <c r="R415" s="44" t="str">
        <f>VLOOKUP(Рецепты[[#This Row],[Состав]],Ингредиенты[],9,0)</f>
        <v>Да</v>
      </c>
      <c r="S415" s="52"/>
    </row>
    <row r="416" spans="1:19" x14ac:dyDescent="0.25">
      <c r="A416" s="40" t="s">
        <v>588</v>
      </c>
      <c r="B416" s="40" t="str">
        <f t="shared" si="62"/>
        <v>Цельное</v>
      </c>
      <c r="C416" s="40" t="str">
        <f t="shared" si="63"/>
        <v>Сырокопченое</v>
      </c>
      <c r="D416" s="40" t="s">
        <v>125</v>
      </c>
      <c r="E416" s="41" t="str">
        <f>VLOOKUP(Рецепты[[#This Row],[Состав]],Ингредиенты[],2,0)</f>
        <v>Специи</v>
      </c>
      <c r="F416" s="62">
        <v>0.1</v>
      </c>
      <c r="G416" s="42">
        <f>IF(Рецепты[[#This Row],[%]]*1000&gt;0,Рецепты[[#This Row],[%]]*1000,"")</f>
        <v>100</v>
      </c>
      <c r="H416" s="43">
        <f>IFERROR(VLOOKUP(Рецепты[[#This Row],[Состав]],Ингредиенты!A:I,3,0)*Рецепты[[#This Row],[г]],"")</f>
        <v>12.8</v>
      </c>
      <c r="I416" s="42">
        <f>СводРецепт!$A$1</f>
        <v>1000</v>
      </c>
      <c r="J416" s="42">
        <f>Рецепты[[#This Row],[%]]*Рецепты[[#This Row],[Масса]]</f>
        <v>100</v>
      </c>
      <c r="K416" s="43">
        <f>Рецепты[[#This Row],[Вес ингр-тов]]*VLOOKUP(Рецепты[[#This Row],[Состав]],Ингредиенты[],3,FALSE)</f>
        <v>12.8</v>
      </c>
      <c r="L416" s="41">
        <f>IF(VLOOKUP(Рецепты[[#This Row],[Состав]],Ингредиенты[],4,0)="Основа",VLOOKUP(Рецепты[[#This Row],[Способ]],Способ[],2,0),0%)</f>
        <v>0</v>
      </c>
      <c r="M416" s="41">
        <f>VLOOKUP(Рецепты[[#This Row],[Способ]],Способ[],3,0)</f>
        <v>2</v>
      </c>
      <c r="N416" s="43">
        <f>Рецепты[[#This Row],[р]]*100%/(100%-Рецепты[[#This Row],[Потери, %]])+Рецепты[[#This Row],[Маржа]]*(Рецепты[[#This Row],[р]]*100%)/(100%-Рецепты[[#This Row],[Потери, %]])</f>
        <v>38.400000000000006</v>
      </c>
      <c r="O416" s="43">
        <f>Рецепты[[#This Row],[Цена за 1 кг]]-(Рецепты[[#This Row],[р]]*100%/(100%-Рецепты[[#This Row],[Потери, %]]))</f>
        <v>25.600000000000005</v>
      </c>
      <c r="P416" s="40" t="s">
        <v>589</v>
      </c>
      <c r="Q416" s="40" t="s">
        <v>590</v>
      </c>
      <c r="R416" s="44" t="str">
        <f>VLOOKUP(Рецепты[[#This Row],[Состав]],Ингредиенты[],9,0)</f>
        <v>Да</v>
      </c>
      <c r="S416" s="52"/>
    </row>
    <row r="417" spans="1:19" x14ac:dyDescent="0.25">
      <c r="A417" s="40" t="s">
        <v>588</v>
      </c>
      <c r="B417" s="40" t="str">
        <f t="shared" si="62"/>
        <v>Цельное</v>
      </c>
      <c r="C417" s="40" t="str">
        <f t="shared" si="63"/>
        <v>Сырокопченое</v>
      </c>
      <c r="D417" s="40" t="s">
        <v>130</v>
      </c>
      <c r="E417" s="41" t="str">
        <f>VLOOKUP(Рецепты[[#This Row],[Состав]],Ингредиенты[],2,0)</f>
        <v>Специи</v>
      </c>
      <c r="F417" s="62">
        <v>2.1000000000000001E-2</v>
      </c>
      <c r="G417" s="42">
        <f>IF(Рецепты[[#This Row],[%]]*1000&gt;0,Рецепты[[#This Row],[%]]*1000,"")</f>
        <v>21</v>
      </c>
      <c r="H417" s="43">
        <f>IFERROR(VLOOKUP(Рецепты[[#This Row],[Состав]],Ингредиенты!A:I,3,0)*Рецепты[[#This Row],[г]],"")</f>
        <v>0.8085</v>
      </c>
      <c r="I417" s="42">
        <f>СводРецепт!$A$1</f>
        <v>1000</v>
      </c>
      <c r="J417" s="42">
        <f>Рецепты[[#This Row],[%]]*Рецепты[[#This Row],[Масса]]</f>
        <v>21</v>
      </c>
      <c r="K417" s="43">
        <f>Рецепты[[#This Row],[Вес ингр-тов]]*VLOOKUP(Рецепты[[#This Row],[Состав]],Ингредиенты[],3,FALSE)</f>
        <v>0.8085</v>
      </c>
      <c r="L417" s="41">
        <f>IF(VLOOKUP(Рецепты[[#This Row],[Состав]],Ингредиенты[],4,0)="Основа",VLOOKUP(Рецепты[[#This Row],[Способ]],Способ[],2,0),0%)</f>
        <v>0</v>
      </c>
      <c r="M417" s="41">
        <f>VLOOKUP(Рецепты[[#This Row],[Способ]],Способ[],3,0)</f>
        <v>2</v>
      </c>
      <c r="N417" s="43">
        <f>Рецепты[[#This Row],[р]]*100%/(100%-Рецепты[[#This Row],[Потери, %]])+Рецепты[[#This Row],[Маржа]]*(Рецепты[[#This Row],[р]]*100%)/(100%-Рецепты[[#This Row],[Потери, %]])</f>
        <v>2.4255</v>
      </c>
      <c r="O417" s="43">
        <f>Рецепты[[#This Row],[Цена за 1 кг]]-(Рецепты[[#This Row],[р]]*100%/(100%-Рецепты[[#This Row],[Потери, %]]))</f>
        <v>1.617</v>
      </c>
      <c r="P417" s="40" t="s">
        <v>589</v>
      </c>
      <c r="Q417" s="40" t="s">
        <v>590</v>
      </c>
      <c r="R417" s="44" t="str">
        <f>VLOOKUP(Рецепты[[#This Row],[Состав]],Ингредиенты[],9,0)</f>
        <v>Да</v>
      </c>
      <c r="S417" s="52"/>
    </row>
    <row r="418" spans="1:19" x14ac:dyDescent="0.25">
      <c r="A418" s="40" t="s">
        <v>588</v>
      </c>
      <c r="B418" s="40" t="str">
        <f t="shared" si="62"/>
        <v>Цельное</v>
      </c>
      <c r="C418" s="40" t="str">
        <f t="shared" si="63"/>
        <v>Сырокопченое</v>
      </c>
      <c r="D418" s="40" t="s">
        <v>128</v>
      </c>
      <c r="E418" s="41" t="str">
        <f>VLOOKUP(Рецепты[[#This Row],[Состав]],Ингредиенты[],2,0)</f>
        <v>Специи</v>
      </c>
      <c r="F418" s="62">
        <v>3.8800000000000001E-2</v>
      </c>
      <c r="G418" s="42">
        <f>IF(Рецепты[[#This Row],[%]]*1000&gt;0,Рецепты[[#This Row],[%]]*1000,"")</f>
        <v>38.800000000000004</v>
      </c>
      <c r="H418" s="43">
        <f>IFERROR(VLOOKUP(Рецепты[[#This Row],[Состав]],Ингредиенты!A:I,3,0)*Рецепты[[#This Row],[г]],"")</f>
        <v>1.4938000000000002</v>
      </c>
      <c r="I418" s="42">
        <f>СводРецепт!$A$1</f>
        <v>1000</v>
      </c>
      <c r="J418" s="42">
        <f>Рецепты[[#This Row],[%]]*Рецепты[[#This Row],[Масса]]</f>
        <v>38.800000000000004</v>
      </c>
      <c r="K418" s="43">
        <f>Рецепты[[#This Row],[Вес ингр-тов]]*VLOOKUP(Рецепты[[#This Row],[Состав]],Ингредиенты[],3,FALSE)</f>
        <v>1.4938000000000002</v>
      </c>
      <c r="L418" s="41">
        <f>IF(VLOOKUP(Рецепты[[#This Row],[Состав]],Ингредиенты[],4,0)="Основа",VLOOKUP(Рецепты[[#This Row],[Способ]],Способ[],2,0),0%)</f>
        <v>0</v>
      </c>
      <c r="M418" s="41">
        <f>VLOOKUP(Рецепты[[#This Row],[Способ]],Способ[],3,0)</f>
        <v>2</v>
      </c>
      <c r="N418" s="43">
        <f>Рецепты[[#This Row],[р]]*100%/(100%-Рецепты[[#This Row],[Потери, %]])+Рецепты[[#This Row],[Маржа]]*(Рецепты[[#This Row],[р]]*100%)/(100%-Рецепты[[#This Row],[Потери, %]])</f>
        <v>4.4814000000000007</v>
      </c>
      <c r="O418" s="43">
        <f>Рецепты[[#This Row],[Цена за 1 кг]]-(Рецепты[[#This Row],[р]]*100%/(100%-Рецепты[[#This Row],[Потери, %]]))</f>
        <v>2.9876000000000005</v>
      </c>
      <c r="P418" s="40" t="s">
        <v>589</v>
      </c>
      <c r="Q418" s="40" t="s">
        <v>590</v>
      </c>
      <c r="R418" s="44" t="str">
        <f>VLOOKUP(Рецепты[[#This Row],[Состав]],Ингредиенты[],9,0)</f>
        <v>Да</v>
      </c>
      <c r="S418" s="52"/>
    </row>
    <row r="419" spans="1:19" x14ac:dyDescent="0.25">
      <c r="A419" s="40" t="s">
        <v>588</v>
      </c>
      <c r="B419" s="40" t="str">
        <f t="shared" si="62"/>
        <v>Цельное</v>
      </c>
      <c r="C419" s="40" t="str">
        <f t="shared" si="63"/>
        <v>Сырокопченое</v>
      </c>
      <c r="D419" s="40" t="s">
        <v>131</v>
      </c>
      <c r="E419" s="41" t="str">
        <f>VLOOKUP(Рецепты[[#This Row],[Состав]],Ингредиенты[],2,0)</f>
        <v>Специи</v>
      </c>
      <c r="F419" s="62">
        <v>5.1200000000000002E-2</v>
      </c>
      <c r="G419" s="42">
        <f>IF(Рецепты[[#This Row],[%]]*1000&gt;0,Рецепты[[#This Row],[%]]*1000,"")</f>
        <v>51.2</v>
      </c>
      <c r="H419" s="43">
        <f>IFERROR(VLOOKUP(Рецепты[[#This Row],[Состав]],Ингредиенты!A:I,3,0)*Рецепты[[#This Row],[г]],"")</f>
        <v>4.1411764705882357</v>
      </c>
      <c r="I419" s="42">
        <f>СводРецепт!$A$1</f>
        <v>1000</v>
      </c>
      <c r="J419" s="42">
        <f>Рецепты[[#This Row],[%]]*Рецепты[[#This Row],[Масса]]</f>
        <v>51.2</v>
      </c>
      <c r="K419" s="43">
        <f>Рецепты[[#This Row],[Вес ингр-тов]]*VLOOKUP(Рецепты[[#This Row],[Состав]],Ингредиенты[],3,FALSE)</f>
        <v>4.1411764705882357</v>
      </c>
      <c r="L419" s="41">
        <f>IF(VLOOKUP(Рецепты[[#This Row],[Состав]],Ингредиенты[],4,0)="Основа",VLOOKUP(Рецепты[[#This Row],[Способ]],Способ[],2,0),0%)</f>
        <v>0</v>
      </c>
      <c r="M419" s="41">
        <f>VLOOKUP(Рецепты[[#This Row],[Способ]],Способ[],3,0)</f>
        <v>2</v>
      </c>
      <c r="N419" s="43">
        <f>Рецепты[[#This Row],[р]]*100%/(100%-Рецепты[[#This Row],[Потери, %]])+Рецепты[[#This Row],[Маржа]]*(Рецепты[[#This Row],[р]]*100%)/(100%-Рецепты[[#This Row],[Потери, %]])</f>
        <v>12.423529411764708</v>
      </c>
      <c r="O419" s="43">
        <f>Рецепты[[#This Row],[Цена за 1 кг]]-(Рецепты[[#This Row],[р]]*100%/(100%-Рецепты[[#This Row],[Потери, %]]))</f>
        <v>8.2823529411764731</v>
      </c>
      <c r="P419" s="40" t="s">
        <v>589</v>
      </c>
      <c r="Q419" s="40" t="s">
        <v>590</v>
      </c>
      <c r="R419" s="44" t="str">
        <f>VLOOKUP(Рецепты[[#This Row],[Состав]],Ингредиенты[],9,0)</f>
        <v>Да</v>
      </c>
      <c r="S419" s="52"/>
    </row>
    <row r="420" spans="1:19" x14ac:dyDescent="0.25">
      <c r="A420" s="40" t="s">
        <v>588</v>
      </c>
      <c r="B420" s="40" t="str">
        <f>B419</f>
        <v>Цельное</v>
      </c>
      <c r="C420" s="40" t="str">
        <f>C419</f>
        <v>Сырокопченое</v>
      </c>
      <c r="D420" s="40" t="s">
        <v>229</v>
      </c>
      <c r="E420" s="41" t="str">
        <f>VLOOKUP(Рецепты[[#This Row],[Состав]],Ингредиенты[],2,0)</f>
        <v>Оболочка</v>
      </c>
      <c r="F420" s="62">
        <v>1E-3</v>
      </c>
      <c r="G420" s="42">
        <f>IF(Рецепты[[#This Row],[%]]*1000&gt;0,Рецепты[[#This Row],[%]]*1000,"")</f>
        <v>1</v>
      </c>
      <c r="H420" s="43">
        <f>IFERROR(VLOOKUP(Рецепты[[#This Row],[Состав]],Ингредиенты!A:I,3,0)*Рецепты[[#This Row],[г]],"")</f>
        <v>20.8</v>
      </c>
      <c r="I420" s="42">
        <f>СводРецепт!$A$1</f>
        <v>1000</v>
      </c>
      <c r="J420" s="42">
        <f>Рецепты[[#This Row],[%]]*Рецепты[[#This Row],[Масса]]</f>
        <v>1</v>
      </c>
      <c r="K420" s="43">
        <f>Рецепты[[#This Row],[Вес ингр-тов]]*VLOOKUP(Рецепты[[#This Row],[Состав]],Ингредиенты[],3,FALSE)</f>
        <v>20.8</v>
      </c>
      <c r="L420" s="41">
        <f>IF(VLOOKUP(Рецепты[[#This Row],[Состав]],Ингредиенты[],4,0)="Основа",VLOOKUP(Рецепты[[#This Row],[Способ]],Способ[],2,0),0%)</f>
        <v>0</v>
      </c>
      <c r="M420" s="41">
        <f>VLOOKUP(Рецепты[[#This Row],[Способ]],Способ[],3,0)</f>
        <v>2</v>
      </c>
      <c r="N420" s="43">
        <f>Рецепты[[#This Row],[р]]*100%/(100%-Рецепты[[#This Row],[Потери, %]])+Рецепты[[#This Row],[Маржа]]*(Рецепты[[#This Row],[р]]*100%)/(100%-Рецепты[[#This Row],[Потери, %]])</f>
        <v>62.400000000000006</v>
      </c>
      <c r="O420" s="43">
        <f>Рецепты[[#This Row],[Цена за 1 кг]]-(Рецепты[[#This Row],[р]]*100%/(100%-Рецепты[[#This Row],[Потери, %]]))</f>
        <v>41.600000000000009</v>
      </c>
      <c r="P420" s="40" t="s">
        <v>589</v>
      </c>
      <c r="Q420" s="40" t="s">
        <v>590</v>
      </c>
      <c r="R420" s="44" t="str">
        <f>VLOOKUP(Рецепты[[#This Row],[Состав]],Ингредиенты[],9,0)</f>
        <v>Да</v>
      </c>
      <c r="S420" s="52"/>
    </row>
    <row r="421" spans="1:19" x14ac:dyDescent="0.25">
      <c r="A421" s="40" t="s">
        <v>591</v>
      </c>
      <c r="B421" s="40" t="str">
        <f>B420</f>
        <v>Цельное</v>
      </c>
      <c r="C421" s="40" t="s">
        <v>5</v>
      </c>
      <c r="D421" s="40" t="s">
        <v>56</v>
      </c>
      <c r="E421" s="41" t="str">
        <f>VLOOKUP(Рецепты[[#This Row],[Состав]],Ингредиенты[],2,0)</f>
        <v>Свинина</v>
      </c>
      <c r="F421" s="62">
        <v>1</v>
      </c>
      <c r="G421" s="42">
        <f>IF(Рецепты[[#This Row],[%]]*1000&gt;0,Рецепты[[#This Row],[%]]*1000,"")</f>
        <v>1000</v>
      </c>
      <c r="H421" s="43">
        <f>IFERROR(VLOOKUP(Рецепты[[#This Row],[Состав]],Ингредиенты!A:I,3,0)*Рецепты[[#This Row],[г]],"")</f>
        <v>279.99</v>
      </c>
      <c r="I421" s="42">
        <f>СводРецепт!$A$1</f>
        <v>1000</v>
      </c>
      <c r="J421" s="42">
        <f>Рецепты[[#This Row],[%]]*Рецепты[[#This Row],[Масса]]</f>
        <v>1000</v>
      </c>
      <c r="K421" s="43">
        <f>Рецепты[[#This Row],[Вес ингр-тов]]*VLOOKUP(Рецепты[[#This Row],[Состав]],Ингредиенты[],3,FALSE)</f>
        <v>279.99</v>
      </c>
      <c r="L421" s="41">
        <f>IF(VLOOKUP(Рецепты[[#This Row],[Состав]],Ингредиенты[],4,0)="Основа",VLOOKUP(Рецепты[[#This Row],[Способ]],Способ[],2,0),0%)</f>
        <v>0.15</v>
      </c>
      <c r="M421" s="41">
        <f>VLOOKUP(Рецепты[[#This Row],[Способ]],Способ[],3,0)</f>
        <v>0.9</v>
      </c>
      <c r="N421" s="43">
        <f>Рецепты[[#This Row],[р]]*100%/(100%-Рецепты[[#This Row],[Потери, %]])+Рецепты[[#This Row],[Маржа]]*(Рецепты[[#This Row],[р]]*100%)/(100%-Рецепты[[#This Row],[Потери, %]])</f>
        <v>625.86000000000013</v>
      </c>
      <c r="O421" s="43">
        <f>Рецепты[[#This Row],[Цена за 1 кг]]-(Рецепты[[#This Row],[р]]*100%/(100%-Рецепты[[#This Row],[Потери, %]]))</f>
        <v>296.46000000000009</v>
      </c>
      <c r="P421" s="40" t="s">
        <v>592</v>
      </c>
      <c r="Q421" s="40" t="s">
        <v>593</v>
      </c>
      <c r="R421" s="44" t="str">
        <f>VLOOKUP(Рецепты[[#This Row],[Состав]],Ингредиенты[],9,0)</f>
        <v>Нет</v>
      </c>
      <c r="S421" s="52"/>
    </row>
    <row r="422" spans="1:19" x14ac:dyDescent="0.25">
      <c r="A422" s="40" t="s">
        <v>591</v>
      </c>
      <c r="B422" s="40" t="str">
        <f t="shared" ref="B422:B424" si="64">B421</f>
        <v>Цельное</v>
      </c>
      <c r="C422" s="40" t="str">
        <f t="shared" ref="C422:C424" si="65">C421</f>
        <v>ГК</v>
      </c>
      <c r="D422" s="40" t="s">
        <v>93</v>
      </c>
      <c r="E422" s="41" t="str">
        <f>VLOOKUP(Рецепты[[#This Row],[Состав]],Ингредиенты[],2,0)</f>
        <v>Добавки</v>
      </c>
      <c r="F422" s="62">
        <v>0.1</v>
      </c>
      <c r="G422" s="42">
        <f>IF(Рецепты[[#This Row],[%]]*1000&gt;0,Рецепты[[#This Row],[%]]*1000,"")</f>
        <v>100</v>
      </c>
      <c r="H422" s="43">
        <f>IFERROR(VLOOKUP(Рецепты[[#This Row],[Состав]],Ингредиенты!A:I,3,0)*Рецепты[[#This Row],[г]],"")</f>
        <v>0.1</v>
      </c>
      <c r="I422" s="42">
        <f>СводРецепт!$A$1</f>
        <v>1000</v>
      </c>
      <c r="J422" s="42">
        <f>Рецепты[[#This Row],[%]]*Рецепты[[#This Row],[Масса]]</f>
        <v>100</v>
      </c>
      <c r="K422" s="43">
        <f>Рецепты[[#This Row],[Вес ингр-тов]]*VLOOKUP(Рецепты[[#This Row],[Состав]],Ингредиенты[],3,FALSE)</f>
        <v>0.1</v>
      </c>
      <c r="L422" s="41">
        <f>IF(VLOOKUP(Рецепты[[#This Row],[Состав]],Ингредиенты[],4,0)="Основа",VLOOKUP(Рецепты[[#This Row],[Способ]],Способ[],2,0),0%)</f>
        <v>0</v>
      </c>
      <c r="M422" s="41">
        <f>VLOOKUP(Рецепты[[#This Row],[Способ]],Способ[],3,0)</f>
        <v>0.9</v>
      </c>
      <c r="N422" s="43">
        <f>Рецепты[[#This Row],[р]]*100%/(100%-Рецепты[[#This Row],[Потери, %]])+Рецепты[[#This Row],[Маржа]]*(Рецепты[[#This Row],[р]]*100%)/(100%-Рецепты[[#This Row],[Потери, %]])</f>
        <v>0.19</v>
      </c>
      <c r="O422" s="43">
        <f>Рецепты[[#This Row],[Цена за 1 кг]]-(Рецепты[[#This Row],[р]]*100%/(100%-Рецепты[[#This Row],[Потери, %]]))</f>
        <v>0.09</v>
      </c>
      <c r="P422" s="40" t="s">
        <v>592</v>
      </c>
      <c r="Q422" s="40" t="s">
        <v>593</v>
      </c>
      <c r="R422" s="44" t="str">
        <f>VLOOKUP(Рецепты[[#This Row],[Состав]],Ингредиенты[],9,0)</f>
        <v>Да</v>
      </c>
      <c r="S422" s="52"/>
    </row>
    <row r="423" spans="1:19" x14ac:dyDescent="0.25">
      <c r="A423" s="40" t="s">
        <v>591</v>
      </c>
      <c r="B423" s="40" t="str">
        <f t="shared" si="64"/>
        <v>Цельное</v>
      </c>
      <c r="C423" s="40" t="str">
        <f t="shared" si="65"/>
        <v>ГК</v>
      </c>
      <c r="D423" s="40" t="s">
        <v>125</v>
      </c>
      <c r="E423" s="41" t="str">
        <f>VLOOKUP(Рецепты[[#This Row],[Состав]],Ингредиенты[],2,0)</f>
        <v>Специи</v>
      </c>
      <c r="F423" s="62">
        <v>1.4999999999999999E-2</v>
      </c>
      <c r="G423" s="42">
        <f>IF(Рецепты[[#This Row],[%]]*1000&gt;0,Рецепты[[#This Row],[%]]*1000,"")</f>
        <v>15</v>
      </c>
      <c r="H423" s="43">
        <f>IFERROR(VLOOKUP(Рецепты[[#This Row],[Состав]],Ингредиенты!A:I,3,0)*Рецепты[[#This Row],[г]],"")</f>
        <v>1.92</v>
      </c>
      <c r="I423" s="42">
        <f>СводРецепт!$A$1</f>
        <v>1000</v>
      </c>
      <c r="J423" s="42">
        <f>Рецепты[[#This Row],[%]]*Рецепты[[#This Row],[Масса]]</f>
        <v>15</v>
      </c>
      <c r="K423" s="43">
        <f>Рецепты[[#This Row],[Вес ингр-тов]]*VLOOKUP(Рецепты[[#This Row],[Состав]],Ингредиенты[],3,FALSE)</f>
        <v>1.92</v>
      </c>
      <c r="L423" s="41">
        <f>IF(VLOOKUP(Рецепты[[#This Row],[Состав]],Ингредиенты[],4,0)="Основа",VLOOKUP(Рецепты[[#This Row],[Способ]],Способ[],2,0),0%)</f>
        <v>0</v>
      </c>
      <c r="M423" s="41">
        <f>VLOOKUP(Рецепты[[#This Row],[Способ]],Способ[],3,0)</f>
        <v>0.9</v>
      </c>
      <c r="N423" s="43">
        <f>Рецепты[[#This Row],[р]]*100%/(100%-Рецепты[[#This Row],[Потери, %]])+Рецепты[[#This Row],[Маржа]]*(Рецепты[[#This Row],[р]]*100%)/(100%-Рецепты[[#This Row],[Потери, %]])</f>
        <v>3.6479999999999997</v>
      </c>
      <c r="O423" s="43">
        <f>Рецепты[[#This Row],[Цена за 1 кг]]-(Рецепты[[#This Row],[р]]*100%/(100%-Рецепты[[#This Row],[Потери, %]]))</f>
        <v>1.7279999999999998</v>
      </c>
      <c r="P423" s="40" t="s">
        <v>592</v>
      </c>
      <c r="Q423" s="40" t="s">
        <v>593</v>
      </c>
      <c r="R423" s="44" t="str">
        <f>VLOOKUP(Рецепты[[#This Row],[Состав]],Ингредиенты[],9,0)</f>
        <v>Да</v>
      </c>
      <c r="S423" s="52"/>
    </row>
    <row r="424" spans="1:19" x14ac:dyDescent="0.25">
      <c r="A424" s="40" t="s">
        <v>591</v>
      </c>
      <c r="B424" s="40" t="str">
        <f t="shared" si="64"/>
        <v>Цельное</v>
      </c>
      <c r="C424" s="40" t="str">
        <f t="shared" si="65"/>
        <v>ГК</v>
      </c>
      <c r="D424" s="40" t="s">
        <v>131</v>
      </c>
      <c r="E424" s="41" t="str">
        <f>VLOOKUP(Рецепты[[#This Row],[Состав]],Ингредиенты[],2,0)</f>
        <v>Специи</v>
      </c>
      <c r="F424" s="62">
        <v>5.0000000000000001E-3</v>
      </c>
      <c r="G424" s="42">
        <f>IF(Рецепты[[#This Row],[%]]*1000&gt;0,Рецепты[[#This Row],[%]]*1000,"")</f>
        <v>5</v>
      </c>
      <c r="H424" s="43">
        <f>IFERROR(VLOOKUP(Рецепты[[#This Row],[Состав]],Ингредиенты!A:I,3,0)*Рецепты[[#This Row],[г]],"")</f>
        <v>0.40441176470588236</v>
      </c>
      <c r="I424" s="42">
        <f>СводРецепт!$A$1</f>
        <v>1000</v>
      </c>
      <c r="J424" s="42">
        <f>Рецепты[[#This Row],[%]]*Рецепты[[#This Row],[Масса]]</f>
        <v>5</v>
      </c>
      <c r="K424" s="43">
        <f>Рецепты[[#This Row],[Вес ингр-тов]]*VLOOKUP(Рецепты[[#This Row],[Состав]],Ингредиенты[],3,FALSE)</f>
        <v>0.40441176470588236</v>
      </c>
      <c r="L424" s="41">
        <f>IF(VLOOKUP(Рецепты[[#This Row],[Состав]],Ингредиенты[],4,0)="Основа",VLOOKUP(Рецепты[[#This Row],[Способ]],Способ[],2,0),0%)</f>
        <v>0</v>
      </c>
      <c r="M424" s="41">
        <f>VLOOKUP(Рецепты[[#This Row],[Способ]],Способ[],3,0)</f>
        <v>0.9</v>
      </c>
      <c r="N424" s="43">
        <f>Рецепты[[#This Row],[р]]*100%/(100%-Рецепты[[#This Row],[Потери, %]])+Рецепты[[#This Row],[Маржа]]*(Рецепты[[#This Row],[р]]*100%)/(100%-Рецепты[[#This Row],[Потери, %]])</f>
        <v>0.76838235294117652</v>
      </c>
      <c r="O424" s="43">
        <f>Рецепты[[#This Row],[Цена за 1 кг]]-(Рецепты[[#This Row],[р]]*100%/(100%-Рецепты[[#This Row],[Потери, %]]))</f>
        <v>0.36397058823529416</v>
      </c>
      <c r="P424" s="40" t="s">
        <v>592</v>
      </c>
      <c r="Q424" s="40" t="s">
        <v>593</v>
      </c>
      <c r="R424" s="44" t="str">
        <f>VLOOKUP(Рецепты[[#This Row],[Состав]],Ингредиенты[],9,0)</f>
        <v>Да</v>
      </c>
      <c r="S424" s="52"/>
    </row>
    <row r="425" spans="1:19" x14ac:dyDescent="0.25">
      <c r="A425" s="40" t="s">
        <v>594</v>
      </c>
      <c r="B425" s="40" t="s">
        <v>8</v>
      </c>
      <c r="C425" s="40" t="s">
        <v>27</v>
      </c>
      <c r="D425" s="40" t="s">
        <v>49</v>
      </c>
      <c r="E425" s="41" t="str">
        <f>VLOOKUP(Рецепты[[#This Row],[Состав]],Ингредиенты[],2,0)</f>
        <v>Свинина</v>
      </c>
      <c r="F425" s="62">
        <v>0.5</v>
      </c>
      <c r="G425" s="42">
        <f>IF(Рецепты[[#This Row],[%]]*1000&gt;0,Рецепты[[#This Row],[%]]*1000,"")</f>
        <v>500</v>
      </c>
      <c r="H425" s="43">
        <f>IFERROR(VLOOKUP(Рецепты[[#This Row],[Состав]],Ингредиенты!A:I,3,0)*Рецепты[[#This Row],[г]],"")</f>
        <v>184.5</v>
      </c>
      <c r="I425" s="42">
        <f>СводРецепт!$A$1</f>
        <v>1000</v>
      </c>
      <c r="J425" s="42">
        <f>Рецепты[[#This Row],[%]]*Рецепты[[#This Row],[Масса]]</f>
        <v>500</v>
      </c>
      <c r="K425" s="43">
        <f>Рецепты[[#This Row],[Вес ингр-тов]]*VLOOKUP(Рецепты[[#This Row],[Состав]],Ингредиенты[],3,FALSE)</f>
        <v>184.5</v>
      </c>
      <c r="L425" s="41">
        <f>IF(VLOOKUP(Рецепты[[#This Row],[Состав]],Ингредиенты[],4,0)="Основа",VLOOKUP(Рецепты[[#This Row],[Способ]],Способ[],2,0),0%)</f>
        <v>0.35</v>
      </c>
      <c r="M425" s="41">
        <f>VLOOKUP(Рецепты[[#This Row],[Способ]],Способ[],3,0)</f>
        <v>2</v>
      </c>
      <c r="N425" s="43">
        <f>Рецепты[[#This Row],[р]]*100%/(100%-Рецепты[[#This Row],[Потери, %]])+Рецепты[[#This Row],[Маржа]]*(Рецепты[[#This Row],[р]]*100%)/(100%-Рецепты[[#This Row],[Потери, %]])</f>
        <v>851.53846153846143</v>
      </c>
      <c r="O425" s="43">
        <f>Рецепты[[#This Row],[Цена за 1 кг]]-(Рецепты[[#This Row],[р]]*100%/(100%-Рецепты[[#This Row],[Потери, %]]))</f>
        <v>567.69230769230762</v>
      </c>
      <c r="P425" s="40" t="s">
        <v>595</v>
      </c>
      <c r="Q425" s="40"/>
      <c r="R425" s="44" t="str">
        <f>VLOOKUP(Рецепты[[#This Row],[Состав]],Ингредиенты[],9,0)</f>
        <v>Да</v>
      </c>
      <c r="S425" s="52"/>
    </row>
    <row r="426" spans="1:19" x14ac:dyDescent="0.25">
      <c r="A426" s="40" t="s">
        <v>594</v>
      </c>
      <c r="B426" s="40" t="str">
        <f t="shared" ref="B426:B429" si="66">B425</f>
        <v>Колбаса</v>
      </c>
      <c r="C426" s="40" t="str">
        <f t="shared" ref="C426:C429" si="67">C425</f>
        <v>Сыровяленное</v>
      </c>
      <c r="D426" s="40" t="s">
        <v>12</v>
      </c>
      <c r="E426" s="41" t="str">
        <f>VLOOKUP(Рецепты[[#This Row],[Состав]],Ингредиенты[],2,0)</f>
        <v>Говядина</v>
      </c>
      <c r="F426" s="62">
        <v>0.35</v>
      </c>
      <c r="G426" s="42">
        <f>IF(Рецепты[[#This Row],[%]]*1000&gt;0,Рецепты[[#This Row],[%]]*1000,"")</f>
        <v>350</v>
      </c>
      <c r="H426" s="43">
        <f>IFERROR(VLOOKUP(Рецепты[[#This Row],[Состав]],Ингредиенты!A:I,3,0)*Рецепты[[#This Row],[г]],"")</f>
        <v>248.4965</v>
      </c>
      <c r="I426" s="42">
        <f>СводРецепт!$A$1</f>
        <v>1000</v>
      </c>
      <c r="J426" s="42">
        <f>Рецепты[[#This Row],[%]]*Рецепты[[#This Row],[Масса]]</f>
        <v>350</v>
      </c>
      <c r="K426" s="43">
        <f>Рецепты[[#This Row],[Вес ингр-тов]]*VLOOKUP(Рецепты[[#This Row],[Состав]],Ингредиенты[],3,FALSE)</f>
        <v>248.4965</v>
      </c>
      <c r="L426" s="41">
        <f>IF(VLOOKUP(Рецепты[[#This Row],[Состав]],Ингредиенты[],4,0)="Основа",VLOOKUP(Рецепты[[#This Row],[Способ]],Способ[],2,0),0%)</f>
        <v>0.35</v>
      </c>
      <c r="M426" s="41">
        <f>VLOOKUP(Рецепты[[#This Row],[Способ]],Способ[],3,0)</f>
        <v>2</v>
      </c>
      <c r="N426" s="43">
        <f>Рецепты[[#This Row],[р]]*100%/(100%-Рецепты[[#This Row],[Потери, %]])+Рецепты[[#This Row],[Маржа]]*(Рецепты[[#This Row],[р]]*100%)/(100%-Рецепты[[#This Row],[Потери, %]])</f>
        <v>1146.906923076923</v>
      </c>
      <c r="O426" s="43">
        <f>Рецепты[[#This Row],[Цена за 1 кг]]-(Рецепты[[#This Row],[р]]*100%/(100%-Рецепты[[#This Row],[Потери, %]]))</f>
        <v>764.60461538461527</v>
      </c>
      <c r="P426" s="40" t="s">
        <v>595</v>
      </c>
      <c r="Q426" s="40"/>
      <c r="R426" s="44" t="str">
        <f>VLOOKUP(Рецепты[[#This Row],[Состав]],Ингредиенты[],9,0)</f>
        <v>Да</v>
      </c>
      <c r="S426" s="52"/>
    </row>
    <row r="427" spans="1:19" x14ac:dyDescent="0.25">
      <c r="A427" s="40" t="s">
        <v>594</v>
      </c>
      <c r="B427" s="40" t="str">
        <f t="shared" si="66"/>
        <v>Колбаса</v>
      </c>
      <c r="C427" s="40" t="str">
        <f t="shared" si="67"/>
        <v>Сыровяленное</v>
      </c>
      <c r="D427" s="40" t="s">
        <v>54</v>
      </c>
      <c r="E427" s="41" t="str">
        <f>VLOOKUP(Рецепты[[#This Row],[Состав]],Ингредиенты[],2,0)</f>
        <v>Свинина</v>
      </c>
      <c r="F427" s="62">
        <v>0.15</v>
      </c>
      <c r="G427" s="42">
        <f>IF(Рецепты[[#This Row],[%]]*1000&gt;0,Рецепты[[#This Row],[%]]*1000,"")</f>
        <v>150</v>
      </c>
      <c r="H427" s="43">
        <f>IFERROR(VLOOKUP(Рецепты[[#This Row],[Состав]],Ингредиенты!A:I,3,0)*Рецепты[[#This Row],[г]],"")</f>
        <v>64.498499999999993</v>
      </c>
      <c r="I427" s="42">
        <f>СводРецепт!$A$1</f>
        <v>1000</v>
      </c>
      <c r="J427" s="42">
        <f>Рецепты[[#This Row],[%]]*Рецепты[[#This Row],[Масса]]</f>
        <v>150</v>
      </c>
      <c r="K427" s="43">
        <f>Рецепты[[#This Row],[Вес ингр-тов]]*VLOOKUP(Рецепты[[#This Row],[Состав]],Ингредиенты[],3,FALSE)</f>
        <v>64.498499999999993</v>
      </c>
      <c r="L427" s="41">
        <f>IF(VLOOKUP(Рецепты[[#This Row],[Состав]],Ингредиенты[],4,0)="Основа",VLOOKUP(Рецепты[[#This Row],[Способ]],Способ[],2,0),0%)</f>
        <v>0.35</v>
      </c>
      <c r="M427" s="41">
        <f>VLOOKUP(Рецепты[[#This Row],[Способ]],Способ[],3,0)</f>
        <v>2</v>
      </c>
      <c r="N427" s="43">
        <f>Рецепты[[#This Row],[р]]*100%/(100%-Рецепты[[#This Row],[Потери, %]])+Рецепты[[#This Row],[Маржа]]*(Рецепты[[#This Row],[р]]*100%)/(100%-Рецепты[[#This Row],[Потери, %]])</f>
        <v>297.68538461538458</v>
      </c>
      <c r="O427" s="43">
        <f>Рецепты[[#This Row],[Цена за 1 кг]]-(Рецепты[[#This Row],[р]]*100%/(100%-Рецепты[[#This Row],[Потери, %]]))</f>
        <v>198.45692307692303</v>
      </c>
      <c r="P427" s="40" t="s">
        <v>595</v>
      </c>
      <c r="Q427" s="40"/>
      <c r="R427" s="44" t="str">
        <f>VLOOKUP(Рецепты[[#This Row],[Состав]],Ингредиенты[],9,0)</f>
        <v>Нет</v>
      </c>
      <c r="S427" s="52"/>
    </row>
    <row r="428" spans="1:19" x14ac:dyDescent="0.25">
      <c r="A428" s="40" t="s">
        <v>594</v>
      </c>
      <c r="B428" s="40" t="str">
        <f t="shared" si="66"/>
        <v>Колбаса</v>
      </c>
      <c r="C428" s="40" t="str">
        <f t="shared" si="67"/>
        <v>Сыровяленное</v>
      </c>
      <c r="D428" s="40" t="s">
        <v>102</v>
      </c>
      <c r="E428" s="41" t="str">
        <f>VLOOKUP(Рецепты[[#This Row],[Состав]],Ингредиенты[],2,0)</f>
        <v>Добавки</v>
      </c>
      <c r="F428" s="62">
        <v>0.1</v>
      </c>
      <c r="G428" s="42">
        <f>IF(Рецепты[[#This Row],[%]]*1000&gt;0,Рецепты[[#This Row],[%]]*1000,"")</f>
        <v>100</v>
      </c>
      <c r="H428" s="43">
        <f>IFERROR(VLOOKUP(Рецепты[[#This Row],[Состав]],Ингредиенты!A:I,3,0)*Рецепты[[#This Row],[г]],"")</f>
        <v>51.7</v>
      </c>
      <c r="I428" s="42">
        <f>СводРецепт!$A$1</f>
        <v>1000</v>
      </c>
      <c r="J428" s="42">
        <f>Рецепты[[#This Row],[%]]*Рецепты[[#This Row],[Масса]]</f>
        <v>100</v>
      </c>
      <c r="K428" s="43">
        <f>Рецепты[[#This Row],[Вес ингр-тов]]*VLOOKUP(Рецепты[[#This Row],[Состав]],Ингредиенты[],3,FALSE)</f>
        <v>51.7</v>
      </c>
      <c r="L428" s="41">
        <f>IF(VLOOKUP(Рецепты[[#This Row],[Состав]],Ингредиенты[],4,0)="Основа",VLOOKUP(Рецепты[[#This Row],[Способ]],Способ[],2,0),0%)</f>
        <v>0</v>
      </c>
      <c r="M428" s="41">
        <f>VLOOKUP(Рецепты[[#This Row],[Способ]],Способ[],3,0)</f>
        <v>2</v>
      </c>
      <c r="N428" s="43">
        <f>Рецепты[[#This Row],[р]]*100%/(100%-Рецепты[[#This Row],[Потери, %]])+Рецепты[[#This Row],[Маржа]]*(Рецепты[[#This Row],[р]]*100%)/(100%-Рецепты[[#This Row],[Потери, %]])</f>
        <v>155.10000000000002</v>
      </c>
      <c r="O428" s="43">
        <f>Рецепты[[#This Row],[Цена за 1 кг]]-(Рецепты[[#This Row],[р]]*100%/(100%-Рецепты[[#This Row],[Потери, %]]))</f>
        <v>103.40000000000002</v>
      </c>
      <c r="P428" s="40" t="s">
        <v>595</v>
      </c>
      <c r="Q428" s="40"/>
      <c r="R428" s="44" t="str">
        <f>VLOOKUP(Рецепты[[#This Row],[Состав]],Ингредиенты[],9,0)</f>
        <v>Да</v>
      </c>
      <c r="S428" s="52"/>
    </row>
    <row r="429" spans="1:19" x14ac:dyDescent="0.25">
      <c r="A429" s="40" t="s">
        <v>594</v>
      </c>
      <c r="B429" s="40" t="str">
        <f t="shared" si="66"/>
        <v>Колбаса</v>
      </c>
      <c r="C429" s="40" t="str">
        <f t="shared" si="67"/>
        <v>Сыровяленное</v>
      </c>
      <c r="D429" s="40" t="s">
        <v>125</v>
      </c>
      <c r="E429" s="41" t="str">
        <f>VLOOKUP(Рецепты[[#This Row],[Состав]],Ингредиенты[],2,0)</f>
        <v>Специи</v>
      </c>
      <c r="F429" s="62">
        <v>3.5000000000000003E-2</v>
      </c>
      <c r="G429" s="42">
        <f>IF(Рецепты[[#This Row],[%]]*1000&gt;0,Рецепты[[#This Row],[%]]*1000,"")</f>
        <v>35</v>
      </c>
      <c r="H429" s="43">
        <f>IFERROR(VLOOKUP(Рецепты[[#This Row],[Состав]],Ингредиенты!A:I,3,0)*Рецепты[[#This Row],[г]],"")</f>
        <v>4.4800000000000004</v>
      </c>
      <c r="I429" s="42">
        <f>СводРецепт!$A$1</f>
        <v>1000</v>
      </c>
      <c r="J429" s="42">
        <f>Рецепты[[#This Row],[%]]*Рецепты[[#This Row],[Масса]]</f>
        <v>35</v>
      </c>
      <c r="K429" s="43">
        <f>Рецепты[[#This Row],[Вес ингр-тов]]*VLOOKUP(Рецепты[[#This Row],[Состав]],Ингредиенты[],3,FALSE)</f>
        <v>4.4800000000000004</v>
      </c>
      <c r="L429" s="41">
        <f>IF(VLOOKUP(Рецепты[[#This Row],[Состав]],Ингредиенты[],4,0)="Основа",VLOOKUP(Рецепты[[#This Row],[Способ]],Способ[],2,0),0%)</f>
        <v>0</v>
      </c>
      <c r="M429" s="41">
        <f>VLOOKUP(Рецепты[[#This Row],[Способ]],Способ[],3,0)</f>
        <v>2</v>
      </c>
      <c r="N429" s="43">
        <f>Рецепты[[#This Row],[р]]*100%/(100%-Рецепты[[#This Row],[Потери, %]])+Рецепты[[#This Row],[Маржа]]*(Рецепты[[#This Row],[р]]*100%)/(100%-Рецепты[[#This Row],[Потери, %]])</f>
        <v>13.440000000000001</v>
      </c>
      <c r="O429" s="43">
        <f>Рецепты[[#This Row],[Цена за 1 кг]]-(Рецепты[[#This Row],[р]]*100%/(100%-Рецепты[[#This Row],[Потери, %]]))</f>
        <v>8.9600000000000009</v>
      </c>
      <c r="P429" s="40" t="s">
        <v>595</v>
      </c>
      <c r="Q429" s="40"/>
      <c r="R429" s="44" t="str">
        <f>VLOOKUP(Рецепты[[#This Row],[Состав]],Ингредиенты[],9,0)</f>
        <v>Да</v>
      </c>
      <c r="S429" s="52"/>
    </row>
    <row r="430" spans="1:19" x14ac:dyDescent="0.25">
      <c r="A430" s="40" t="s">
        <v>594</v>
      </c>
      <c r="B430" s="40" t="str">
        <f t="shared" ref="B430:C435" si="68">B429</f>
        <v>Колбаса</v>
      </c>
      <c r="C430" s="40" t="str">
        <f t="shared" si="68"/>
        <v>Сыровяленное</v>
      </c>
      <c r="D430" s="40" t="s">
        <v>145</v>
      </c>
      <c r="E430" s="41" t="str">
        <f>VLOOKUP(Рецепты[[#This Row],[Состав]],Ингредиенты[],2,0)</f>
        <v>Специи</v>
      </c>
      <c r="F430" s="62">
        <v>3.5000000000000001E-3</v>
      </c>
      <c r="G430" s="42">
        <f>IF(Рецепты[[#This Row],[%]]*1000&gt;0,Рецепты[[#This Row],[%]]*1000,"")</f>
        <v>3.5</v>
      </c>
      <c r="H430" s="43">
        <f>IFERROR(VLOOKUP(Рецепты[[#This Row],[Состав]],Ингредиенты!A:I,3,0)*Рецепты[[#This Row],[г]],"")</f>
        <v>2.7363636363636363</v>
      </c>
      <c r="I430" s="42">
        <f>СводРецепт!$A$1</f>
        <v>1000</v>
      </c>
      <c r="J430" s="42">
        <f>Рецепты[[#This Row],[%]]*Рецепты[[#This Row],[Масса]]</f>
        <v>3.5</v>
      </c>
      <c r="K430" s="43">
        <f>Рецепты[[#This Row],[Вес ингр-тов]]*VLOOKUP(Рецепты[[#This Row],[Состав]],Ингредиенты[],3,FALSE)</f>
        <v>2.7363636363636363</v>
      </c>
      <c r="L430" s="41">
        <f>IF(VLOOKUP(Рецепты[[#This Row],[Состав]],Ингредиенты[],4,0)="Основа",VLOOKUP(Рецепты[[#This Row],[Способ]],Способ[],2,0),0%)</f>
        <v>0</v>
      </c>
      <c r="M430" s="41">
        <f>VLOOKUP(Рецепты[[#This Row],[Способ]],Способ[],3,0)</f>
        <v>2</v>
      </c>
      <c r="N430" s="43">
        <f>Рецепты[[#This Row],[р]]*100%/(100%-Рецепты[[#This Row],[Потери, %]])+Рецепты[[#This Row],[Маржа]]*(Рецепты[[#This Row],[р]]*100%)/(100%-Рецепты[[#This Row],[Потери, %]])</f>
        <v>8.209090909090909</v>
      </c>
      <c r="O430" s="43">
        <f>Рецепты[[#This Row],[Цена за 1 кг]]-(Рецепты[[#This Row],[р]]*100%/(100%-Рецепты[[#This Row],[Потери, %]]))</f>
        <v>5.4727272727272727</v>
      </c>
      <c r="P430" s="40" t="s">
        <v>595</v>
      </c>
      <c r="Q430" s="40"/>
      <c r="R430" s="44" t="str">
        <f>VLOOKUP(Рецепты[[#This Row],[Состав]],Ингредиенты[],9,0)</f>
        <v>Нет</v>
      </c>
      <c r="S430" s="52"/>
    </row>
    <row r="431" spans="1:19" x14ac:dyDescent="0.25">
      <c r="A431" s="40" t="s">
        <v>594</v>
      </c>
      <c r="B431" s="40" t="str">
        <f t="shared" si="68"/>
        <v>Колбаса</v>
      </c>
      <c r="C431" s="40" t="str">
        <f t="shared" si="68"/>
        <v>Сыровяленное</v>
      </c>
      <c r="D431" s="40" t="s">
        <v>131</v>
      </c>
      <c r="E431" s="41" t="str">
        <f>VLOOKUP(Рецепты[[#This Row],[Состав]],Ингредиенты[],2,0)</f>
        <v>Специи</v>
      </c>
      <c r="F431" s="62">
        <v>2E-3</v>
      </c>
      <c r="G431" s="42">
        <f>IF(Рецепты[[#This Row],[%]]*1000&gt;0,Рецепты[[#This Row],[%]]*1000,"")</f>
        <v>2</v>
      </c>
      <c r="H431" s="43">
        <f>IFERROR(VLOOKUP(Рецепты[[#This Row],[Состав]],Ингредиенты!A:I,3,0)*Рецепты[[#This Row],[г]],"")</f>
        <v>0.16176470588235295</v>
      </c>
      <c r="I431" s="42">
        <f>СводРецепт!$A$1</f>
        <v>1000</v>
      </c>
      <c r="J431" s="42">
        <f>Рецепты[[#This Row],[%]]*Рецепты[[#This Row],[Масса]]</f>
        <v>2</v>
      </c>
      <c r="K431" s="43">
        <f>Рецепты[[#This Row],[Вес ингр-тов]]*VLOOKUP(Рецепты[[#This Row],[Состав]],Ингредиенты[],3,FALSE)</f>
        <v>0.16176470588235295</v>
      </c>
      <c r="L431" s="41">
        <f>IF(VLOOKUP(Рецепты[[#This Row],[Состав]],Ингредиенты[],4,0)="Основа",VLOOKUP(Рецепты[[#This Row],[Способ]],Способ[],2,0),0%)</f>
        <v>0</v>
      </c>
      <c r="M431" s="41">
        <f>VLOOKUP(Рецепты[[#This Row],[Способ]],Способ[],3,0)</f>
        <v>2</v>
      </c>
      <c r="N431" s="43">
        <f>Рецепты[[#This Row],[р]]*100%/(100%-Рецепты[[#This Row],[Потери, %]])+Рецепты[[#This Row],[Маржа]]*(Рецепты[[#This Row],[р]]*100%)/(100%-Рецепты[[#This Row],[Потери, %]])</f>
        <v>0.48529411764705888</v>
      </c>
      <c r="O431" s="43">
        <f>Рецепты[[#This Row],[Цена за 1 кг]]-(Рецепты[[#This Row],[р]]*100%/(100%-Рецепты[[#This Row],[Потери, %]]))</f>
        <v>0.32352941176470595</v>
      </c>
      <c r="P431" s="40" t="s">
        <v>595</v>
      </c>
      <c r="Q431" s="40"/>
      <c r="R431" s="44" t="str">
        <f>VLOOKUP(Рецепты[[#This Row],[Состав]],Ингредиенты[],9,0)</f>
        <v>Да</v>
      </c>
      <c r="S431" s="52"/>
    </row>
    <row r="432" spans="1:19" x14ac:dyDescent="0.25">
      <c r="A432" s="40" t="s">
        <v>594</v>
      </c>
      <c r="B432" s="40" t="str">
        <f t="shared" si="68"/>
        <v>Колбаса</v>
      </c>
      <c r="C432" s="40" t="str">
        <f t="shared" si="68"/>
        <v>Сыровяленное</v>
      </c>
      <c r="D432" s="40" t="s">
        <v>165</v>
      </c>
      <c r="E432" s="41" t="str">
        <f>VLOOKUP(Рецепты[[#This Row],[Состав]],Ингредиенты[],2,0)</f>
        <v>Специи</v>
      </c>
      <c r="F432" s="62">
        <v>2E-3</v>
      </c>
      <c r="G432" s="42">
        <f>IF(Рецепты[[#This Row],[%]]*1000&gt;0,Рецепты[[#This Row],[%]]*1000,"")</f>
        <v>2</v>
      </c>
      <c r="H432" s="43">
        <f>IFERROR(VLOOKUP(Рецепты[[#This Row],[Состав]],Ингредиенты!A:I,3,0)*Рецепты[[#This Row],[г]],"")</f>
        <v>3.29</v>
      </c>
      <c r="I432" s="42">
        <f>СводРецепт!$A$1</f>
        <v>1000</v>
      </c>
      <c r="J432" s="42">
        <f>Рецепты[[#This Row],[%]]*Рецепты[[#This Row],[Масса]]</f>
        <v>2</v>
      </c>
      <c r="K432" s="43">
        <f>Рецепты[[#This Row],[Вес ингр-тов]]*VLOOKUP(Рецепты[[#This Row],[Состав]],Ингредиенты[],3,FALSE)</f>
        <v>3.29</v>
      </c>
      <c r="L432" s="41">
        <f>IF(VLOOKUP(Рецепты[[#This Row],[Состав]],Ингредиенты[],4,0)="Основа",VLOOKUP(Рецепты[[#This Row],[Способ]],Способ[],2,0),0%)</f>
        <v>0</v>
      </c>
      <c r="M432" s="41">
        <f>VLOOKUP(Рецепты[[#This Row],[Способ]],Способ[],3,0)</f>
        <v>2</v>
      </c>
      <c r="N432" s="43">
        <f>Рецепты[[#This Row],[р]]*100%/(100%-Рецепты[[#This Row],[Потери, %]])+Рецепты[[#This Row],[Маржа]]*(Рецепты[[#This Row],[р]]*100%)/(100%-Рецепты[[#This Row],[Потери, %]])</f>
        <v>9.870000000000001</v>
      </c>
      <c r="O432" s="43">
        <f>Рецепты[[#This Row],[Цена за 1 кг]]-(Рецепты[[#This Row],[р]]*100%/(100%-Рецепты[[#This Row],[Потери, %]]))</f>
        <v>6.580000000000001</v>
      </c>
      <c r="P432" s="40" t="s">
        <v>595</v>
      </c>
      <c r="Q432" s="40"/>
      <c r="R432" s="44" t="str">
        <f>VLOOKUP(Рецепты[[#This Row],[Состав]],Ингредиенты[],9,0)</f>
        <v>Нет</v>
      </c>
      <c r="S432" s="52"/>
    </row>
    <row r="433" spans="1:19" x14ac:dyDescent="0.25">
      <c r="A433" s="40" t="s">
        <v>594</v>
      </c>
      <c r="B433" s="40" t="str">
        <f t="shared" si="68"/>
        <v>Колбаса</v>
      </c>
      <c r="C433" s="40" t="str">
        <f t="shared" si="68"/>
        <v>Сыровяленное</v>
      </c>
      <c r="D433" s="40" t="s">
        <v>139</v>
      </c>
      <c r="E433" s="41" t="str">
        <f>VLOOKUP(Рецепты[[#This Row],[Состав]],Ингредиенты[],2,0)</f>
        <v>Специи</v>
      </c>
      <c r="F433" s="62">
        <v>1.2999999999999999E-3</v>
      </c>
      <c r="G433" s="42">
        <f>IF(Рецепты[[#This Row],[%]]*1000&gt;0,Рецепты[[#This Row],[%]]*1000,"")</f>
        <v>1.3</v>
      </c>
      <c r="H433" s="43">
        <f>IFERROR(VLOOKUP(Рецепты[[#This Row],[Состав]],Ингредиенты!A:I,3,0)*Рецепты[[#This Row],[г]],"")</f>
        <v>1.0092727272727273</v>
      </c>
      <c r="I433" s="42">
        <f>СводРецепт!$A$1</f>
        <v>1000</v>
      </c>
      <c r="J433" s="42">
        <f>Рецепты[[#This Row],[%]]*Рецепты[[#This Row],[Масса]]</f>
        <v>1.3</v>
      </c>
      <c r="K433" s="43">
        <f>Рецепты[[#This Row],[Вес ингр-тов]]*VLOOKUP(Рецепты[[#This Row],[Состав]],Ингредиенты[],3,FALSE)</f>
        <v>1.0092727272727273</v>
      </c>
      <c r="L433" s="41">
        <f>IF(VLOOKUP(Рецепты[[#This Row],[Состав]],Ингредиенты[],4,0)="Основа",VLOOKUP(Рецепты[[#This Row],[Способ]],Способ[],2,0),0%)</f>
        <v>0</v>
      </c>
      <c r="M433" s="41">
        <f>VLOOKUP(Рецепты[[#This Row],[Способ]],Способ[],3,0)</f>
        <v>2</v>
      </c>
      <c r="N433" s="43">
        <f>Рецепты[[#This Row],[р]]*100%/(100%-Рецепты[[#This Row],[Потери, %]])+Рецепты[[#This Row],[Маржа]]*(Рецепты[[#This Row],[р]]*100%)/(100%-Рецепты[[#This Row],[Потери, %]])</f>
        <v>3.0278181818181817</v>
      </c>
      <c r="O433" s="43">
        <f>Рецепты[[#This Row],[Цена за 1 кг]]-(Рецепты[[#This Row],[р]]*100%/(100%-Рецепты[[#This Row],[Потери, %]]))</f>
        <v>2.0185454545454542</v>
      </c>
      <c r="P433" s="40" t="s">
        <v>595</v>
      </c>
      <c r="Q433" s="40"/>
      <c r="R433" s="44" t="str">
        <f>VLOOKUP(Рецепты[[#This Row],[Состав]],Ингредиенты[],9,0)</f>
        <v>Нет</v>
      </c>
      <c r="S433" s="52"/>
    </row>
    <row r="434" spans="1:19" x14ac:dyDescent="0.25">
      <c r="A434" s="40" t="s">
        <v>594</v>
      </c>
      <c r="B434" s="40" t="str">
        <f t="shared" si="68"/>
        <v>Колбаса</v>
      </c>
      <c r="C434" s="40" t="str">
        <f t="shared" si="68"/>
        <v>Сыровяленное</v>
      </c>
      <c r="D434" s="40" t="s">
        <v>151</v>
      </c>
      <c r="E434" s="41" t="str">
        <f>VLOOKUP(Рецепты[[#This Row],[Состав]],Ингредиенты[],2,0)</f>
        <v>Специи</v>
      </c>
      <c r="F434" s="62">
        <v>6.9999999999999999E-4</v>
      </c>
      <c r="G434" s="42">
        <f>IF(Рецепты[[#This Row],[%]]*1000&gt;0,Рецепты[[#This Row],[%]]*1000,"")</f>
        <v>0.7</v>
      </c>
      <c r="H434" s="43">
        <f>IFERROR(VLOOKUP(Рецепты[[#This Row],[Состав]],Ингредиенты!A:I,3,0)*Рецепты[[#This Row],[г]],"")</f>
        <v>0.61483333333333323</v>
      </c>
      <c r="I434" s="42">
        <f>СводРецепт!$A$1</f>
        <v>1000</v>
      </c>
      <c r="J434" s="42">
        <f>Рецепты[[#This Row],[%]]*Рецепты[[#This Row],[Масса]]</f>
        <v>0.7</v>
      </c>
      <c r="K434" s="43">
        <f>Рецепты[[#This Row],[Вес ингр-тов]]*VLOOKUP(Рецепты[[#This Row],[Состав]],Ингредиенты[],3,FALSE)</f>
        <v>0.61483333333333323</v>
      </c>
      <c r="L434" s="41">
        <f>IF(VLOOKUP(Рецепты[[#This Row],[Состав]],Ингредиенты[],4,0)="Основа",VLOOKUP(Рецепты[[#This Row],[Способ]],Способ[],2,0),0%)</f>
        <v>0</v>
      </c>
      <c r="M434" s="41">
        <f>VLOOKUP(Рецепты[[#This Row],[Способ]],Способ[],3,0)</f>
        <v>2</v>
      </c>
      <c r="N434" s="43">
        <f>Рецепты[[#This Row],[р]]*100%/(100%-Рецепты[[#This Row],[Потери, %]])+Рецепты[[#This Row],[Маржа]]*(Рецепты[[#This Row],[р]]*100%)/(100%-Рецепты[[#This Row],[Потери, %]])</f>
        <v>1.8444999999999996</v>
      </c>
      <c r="O434" s="43">
        <f>Рецепты[[#This Row],[Цена за 1 кг]]-(Рецепты[[#This Row],[р]]*100%/(100%-Рецепты[[#This Row],[Потери, %]]))</f>
        <v>1.2296666666666662</v>
      </c>
      <c r="P434" s="40" t="s">
        <v>595</v>
      </c>
      <c r="Q434" s="40"/>
      <c r="R434" s="44" t="str">
        <f>VLOOKUP(Рецепты[[#This Row],[Состав]],Ингредиенты[],9,0)</f>
        <v>Да</v>
      </c>
      <c r="S434" s="52"/>
    </row>
    <row r="435" spans="1:19" x14ac:dyDescent="0.25">
      <c r="A435" s="40" t="s">
        <v>594</v>
      </c>
      <c r="B435" s="40" t="str">
        <f t="shared" si="68"/>
        <v>Колбаса</v>
      </c>
      <c r="C435" s="40" t="str">
        <f t="shared" si="68"/>
        <v>Сыровяленное</v>
      </c>
      <c r="D435" s="40" t="s">
        <v>225</v>
      </c>
      <c r="E435" s="41" t="str">
        <f>VLOOKUP(Рецепты[[#This Row],[Состав]],Ингредиенты[],2,0)</f>
        <v>Оболочка</v>
      </c>
      <c r="F435" s="62">
        <v>1E-3</v>
      </c>
      <c r="G435" s="42">
        <f>IF(Рецепты[[#This Row],[%]]*1000&gt;0,Рецепты[[#This Row],[%]]*1000,"")</f>
        <v>1</v>
      </c>
      <c r="H435" s="43">
        <f>IFERROR(VLOOKUP(Рецепты[[#This Row],[Состав]],Ингредиенты!A:I,3,0)*Рецепты[[#This Row],[г]],"")</f>
        <v>32.760032760032757</v>
      </c>
      <c r="I435" s="42">
        <f>СводРецепт!$A$1</f>
        <v>1000</v>
      </c>
      <c r="J435" s="42">
        <f>Рецепты[[#This Row],[%]]*Рецепты[[#This Row],[Масса]]</f>
        <v>1</v>
      </c>
      <c r="K435" s="43">
        <f>Рецепты[[#This Row],[Вес ингр-тов]]*VLOOKUP(Рецепты[[#This Row],[Состав]],Ингредиенты[],3,FALSE)</f>
        <v>32.760032760032757</v>
      </c>
      <c r="L435" s="41">
        <f>IF(VLOOKUP(Рецепты[[#This Row],[Состав]],Ингредиенты[],4,0)="Основа",VLOOKUP(Рецепты[[#This Row],[Способ]],Способ[],2,0),0%)</f>
        <v>0</v>
      </c>
      <c r="M435" s="41">
        <f>VLOOKUP(Рецепты[[#This Row],[Способ]],Способ[],3,0)</f>
        <v>2</v>
      </c>
      <c r="N435" s="43">
        <f>Рецепты[[#This Row],[р]]*100%/(100%-Рецепты[[#This Row],[Потери, %]])+Рецепты[[#This Row],[Маржа]]*(Рецепты[[#This Row],[р]]*100%)/(100%-Рецепты[[#This Row],[Потери, %]])</f>
        <v>98.280098280098272</v>
      </c>
      <c r="O435" s="43">
        <f>Рецепты[[#This Row],[Цена за 1 кг]]-(Рецепты[[#This Row],[р]]*100%/(100%-Рецепты[[#This Row],[Потери, %]]))</f>
        <v>65.520065520065515</v>
      </c>
      <c r="P435" s="40" t="s">
        <v>595</v>
      </c>
      <c r="Q435" s="40"/>
      <c r="R435" s="44" t="str">
        <f>VLOOKUP(Рецепты[[#This Row],[Состав]],Ингредиенты[],9,0)</f>
        <v>Да</v>
      </c>
      <c r="S435" s="52"/>
    </row>
    <row r="436" spans="1:19" x14ac:dyDescent="0.25">
      <c r="A436" s="40" t="s">
        <v>596</v>
      </c>
      <c r="B436" s="40" t="s">
        <v>30</v>
      </c>
      <c r="C436" s="40" t="s">
        <v>30</v>
      </c>
      <c r="D436" s="40" t="s">
        <v>94</v>
      </c>
      <c r="E436" s="41" t="str">
        <f>VLOOKUP(Рецепты[[#This Row],[Состав]],Ингредиенты[],2,0)</f>
        <v>Добавки</v>
      </c>
      <c r="F436" s="62">
        <v>1</v>
      </c>
      <c r="G436" s="42">
        <f>IF(Рецепты[[#This Row],[%]]*1000&gt;0,Рецепты[[#This Row],[%]]*1000,"")</f>
        <v>1000</v>
      </c>
      <c r="H436" s="43">
        <f>IFERROR(VLOOKUP(Рецепты[[#This Row],[Состав]],Ингредиенты!A:I,3,0)*Рецепты[[#This Row],[г]],"")</f>
        <v>48.4</v>
      </c>
      <c r="I436" s="42">
        <f>СводРецепт!$A$1</f>
        <v>1000</v>
      </c>
      <c r="J436" s="42">
        <f>Рецепты[[#This Row],[%]]*Рецепты[[#This Row],[Масса]]</f>
        <v>1000</v>
      </c>
      <c r="K436" s="43">
        <f>Рецепты[[#This Row],[Вес ингр-тов]]*VLOOKUP(Рецепты[[#This Row],[Состав]],Ингредиенты[],3,FALSE)</f>
        <v>48.4</v>
      </c>
      <c r="L436" s="41">
        <f>IF(VLOOKUP(Рецепты[[#This Row],[Состав]],Ингредиенты[],4,0)="Основа",VLOOKUP(Рецепты[[#This Row],[Способ]],Способ[],2,0),0%)</f>
        <v>0</v>
      </c>
      <c r="M436" s="41">
        <f>VLOOKUP(Рецепты[[#This Row],[Способ]],Способ[],3,0)</f>
        <v>0.5</v>
      </c>
      <c r="N436" s="43">
        <f>Рецепты[[#This Row],[р]]*100%/(100%-Рецепты[[#This Row],[Потери, %]])+Рецепты[[#This Row],[Маржа]]*(Рецепты[[#This Row],[р]]*100%)/(100%-Рецепты[[#This Row],[Потери, %]])</f>
        <v>72.599999999999994</v>
      </c>
      <c r="O436" s="43">
        <f>Рецепты[[#This Row],[Цена за 1 кг]]-(Рецепты[[#This Row],[р]]*100%/(100%-Рецепты[[#This Row],[Потери, %]]))</f>
        <v>24.199999999999996</v>
      </c>
      <c r="P436" s="40" t="s">
        <v>595</v>
      </c>
      <c r="Q436" s="40"/>
      <c r="R436" s="44" t="str">
        <f>VLOOKUP(Рецепты[[#This Row],[Состав]],Ингредиенты[],9,0)</f>
        <v>Да</v>
      </c>
      <c r="S436" s="52"/>
    </row>
    <row r="437" spans="1:19" x14ac:dyDescent="0.25">
      <c r="A437" s="40" t="s">
        <v>596</v>
      </c>
      <c r="B437" s="40" t="str">
        <f t="shared" ref="B437:C439" si="69">B436</f>
        <v>Еда</v>
      </c>
      <c r="C437" s="40" t="str">
        <f t="shared" si="69"/>
        <v>Еда</v>
      </c>
      <c r="D437" s="40" t="s">
        <v>93</v>
      </c>
      <c r="E437" s="41" t="str">
        <f>VLOOKUP(Рецепты[[#This Row],[Состав]],Ингредиенты[],2,0)</f>
        <v>Добавки</v>
      </c>
      <c r="F437" s="62">
        <v>0.55549999999999999</v>
      </c>
      <c r="G437" s="42">
        <f>IF(Рецепты[[#This Row],[%]]*1000&gt;0,Рецепты[[#This Row],[%]]*1000,"")</f>
        <v>555.5</v>
      </c>
      <c r="H437" s="43">
        <f>IFERROR(VLOOKUP(Рецепты[[#This Row],[Состав]],Ингредиенты!A:I,3,0)*Рецепты[[#This Row],[г]],"")</f>
        <v>0.55549999999999999</v>
      </c>
      <c r="I437" s="42">
        <f>СводРецепт!$A$1</f>
        <v>1000</v>
      </c>
      <c r="J437" s="42">
        <f>Рецепты[[#This Row],[%]]*Рецепты[[#This Row],[Масса]]</f>
        <v>555.5</v>
      </c>
      <c r="K437" s="43">
        <f>Рецепты[[#This Row],[Вес ингр-тов]]*VLOOKUP(Рецепты[[#This Row],[Состав]],Ингредиенты[],3,FALSE)</f>
        <v>0.55549999999999999</v>
      </c>
      <c r="L437" s="41">
        <f>IF(VLOOKUP(Рецепты[[#This Row],[Состав]],Ингредиенты[],4,0)="Основа",VLOOKUP(Рецепты[[#This Row],[Способ]],Способ[],2,0),0%)</f>
        <v>0</v>
      </c>
      <c r="M437" s="41">
        <f>VLOOKUP(Рецепты[[#This Row],[Способ]],Способ[],3,0)</f>
        <v>0.5</v>
      </c>
      <c r="N437" s="43">
        <f>Рецепты[[#This Row],[р]]*100%/(100%-Рецепты[[#This Row],[Потери, %]])+Рецепты[[#This Row],[Маржа]]*(Рецепты[[#This Row],[р]]*100%)/(100%-Рецепты[[#This Row],[Потери, %]])</f>
        <v>0.83325000000000005</v>
      </c>
      <c r="O437" s="43">
        <f>Рецепты[[#This Row],[Цена за 1 кг]]-(Рецепты[[#This Row],[р]]*100%/(100%-Рецепты[[#This Row],[Потери, %]]))</f>
        <v>0.27775000000000005</v>
      </c>
      <c r="P437" s="40" t="s">
        <v>595</v>
      </c>
      <c r="Q437" s="40"/>
      <c r="R437" s="44" t="str">
        <f>VLOOKUP(Рецепты[[#This Row],[Состав]],Ингредиенты[],9,0)</f>
        <v>Да</v>
      </c>
      <c r="S437" s="52"/>
    </row>
    <row r="438" spans="1:19" x14ac:dyDescent="0.25">
      <c r="A438" s="40" t="s">
        <v>596</v>
      </c>
      <c r="B438" s="40" t="str">
        <f t="shared" si="69"/>
        <v>Еда</v>
      </c>
      <c r="C438" s="40" t="str">
        <f t="shared" si="69"/>
        <v>Еда</v>
      </c>
      <c r="D438" s="40" t="s">
        <v>128</v>
      </c>
      <c r="E438" s="41" t="str">
        <f>VLOOKUP(Рецепты[[#This Row],[Состав]],Ингредиенты[],2,0)</f>
        <v>Специи</v>
      </c>
      <c r="F438" s="62">
        <v>0.03</v>
      </c>
      <c r="G438" s="42">
        <f>IF(Рецепты[[#This Row],[%]]*1000&gt;0,Рецепты[[#This Row],[%]]*1000,"")</f>
        <v>30</v>
      </c>
      <c r="H438" s="43">
        <f>IFERROR(VLOOKUP(Рецепты[[#This Row],[Состав]],Ингредиенты!A:I,3,0)*Рецепты[[#This Row],[г]],"")</f>
        <v>1.155</v>
      </c>
      <c r="I438" s="42">
        <f>СводРецепт!$A$1</f>
        <v>1000</v>
      </c>
      <c r="J438" s="42">
        <f>Рецепты[[#This Row],[%]]*Рецепты[[#This Row],[Масса]]</f>
        <v>30</v>
      </c>
      <c r="K438" s="43">
        <f>Рецепты[[#This Row],[Вес ингр-тов]]*VLOOKUP(Рецепты[[#This Row],[Состав]],Ингредиенты[],3,FALSE)</f>
        <v>1.155</v>
      </c>
      <c r="L438" s="41">
        <f>IF(VLOOKUP(Рецепты[[#This Row],[Состав]],Ингредиенты[],4,0)="Основа",VLOOKUP(Рецепты[[#This Row],[Способ]],Способ[],2,0),0%)</f>
        <v>0</v>
      </c>
      <c r="M438" s="41">
        <f>VLOOKUP(Рецепты[[#This Row],[Способ]],Способ[],3,0)</f>
        <v>0.5</v>
      </c>
      <c r="N438" s="43">
        <f>Рецепты[[#This Row],[р]]*100%/(100%-Рецепты[[#This Row],[Потери, %]])+Рецепты[[#This Row],[Маржа]]*(Рецепты[[#This Row],[р]]*100%)/(100%-Рецепты[[#This Row],[Потери, %]])</f>
        <v>1.7324999999999999</v>
      </c>
      <c r="O438" s="43">
        <f>Рецепты[[#This Row],[Цена за 1 кг]]-(Рецепты[[#This Row],[р]]*100%/(100%-Рецепты[[#This Row],[Потери, %]]))</f>
        <v>0.5774999999999999</v>
      </c>
      <c r="P438" s="40" t="s">
        <v>595</v>
      </c>
      <c r="Q438" s="40"/>
      <c r="R438" s="44" t="str">
        <f>VLOOKUP(Рецепты[[#This Row],[Состав]],Ингредиенты[],9,0)</f>
        <v>Да</v>
      </c>
      <c r="S438" s="52"/>
    </row>
    <row r="439" spans="1:19" x14ac:dyDescent="0.25">
      <c r="A439" s="40" t="s">
        <v>596</v>
      </c>
      <c r="B439" s="40" t="str">
        <f t="shared" si="69"/>
        <v>Еда</v>
      </c>
      <c r="C439" s="40" t="str">
        <f t="shared" si="69"/>
        <v>Еда</v>
      </c>
      <c r="D439" s="40" t="s">
        <v>123</v>
      </c>
      <c r="E439" s="41" t="str">
        <f>VLOOKUP(Рецепты[[#This Row],[Состав]],Ингредиенты[],2,0)</f>
        <v>Добавки</v>
      </c>
      <c r="F439" s="62">
        <v>1.6999999999999999E-3</v>
      </c>
      <c r="G439" s="42">
        <f>IF(Рецепты[[#This Row],[%]]*1000&gt;0,Рецепты[[#This Row],[%]]*1000,"")</f>
        <v>1.7</v>
      </c>
      <c r="H439" s="43">
        <f>IFERROR(VLOOKUP(Рецепты[[#This Row],[Состав]],Ингредиенты!A:I,3,0)*Рецепты[[#This Row],[г]],"")</f>
        <v>0.99325842696629207</v>
      </c>
      <c r="I439" s="42">
        <f>СводРецепт!$A$1</f>
        <v>1000</v>
      </c>
      <c r="J439" s="42">
        <f>Рецепты[[#This Row],[%]]*Рецепты[[#This Row],[Масса]]</f>
        <v>1.7</v>
      </c>
      <c r="K439" s="43">
        <f>Рецепты[[#This Row],[Вес ингр-тов]]*VLOOKUP(Рецепты[[#This Row],[Состав]],Ингредиенты[],3,FALSE)</f>
        <v>0.99325842696629207</v>
      </c>
      <c r="L439" s="41">
        <f>IF(VLOOKUP(Рецепты[[#This Row],[Состав]],Ингредиенты[],4,0)="Основа",VLOOKUP(Рецепты[[#This Row],[Способ]],Способ[],2,0),0%)</f>
        <v>0</v>
      </c>
      <c r="M439" s="41">
        <f>VLOOKUP(Рецепты[[#This Row],[Способ]],Способ[],3,0)</f>
        <v>0.5</v>
      </c>
      <c r="N439" s="43">
        <f>Рецепты[[#This Row],[р]]*100%/(100%-Рецепты[[#This Row],[Потери, %]])+Рецепты[[#This Row],[Маржа]]*(Рецепты[[#This Row],[р]]*100%)/(100%-Рецепты[[#This Row],[Потери, %]])</f>
        <v>1.4898876404494381</v>
      </c>
      <c r="O439" s="43">
        <f>Рецепты[[#This Row],[Цена за 1 кг]]-(Рецепты[[#This Row],[р]]*100%/(100%-Рецепты[[#This Row],[Потери, %]]))</f>
        <v>0.49662921348314604</v>
      </c>
      <c r="P439" s="40" t="s">
        <v>595</v>
      </c>
      <c r="Q439" s="40"/>
      <c r="R439" s="44" t="str">
        <f>VLOOKUP(Рецепты[[#This Row],[Состав]],Ингредиенты[],9,0)</f>
        <v>Нет</v>
      </c>
      <c r="S439" s="52"/>
    </row>
    <row r="440" spans="1:19" x14ac:dyDescent="0.25">
      <c r="A440" s="40" t="s">
        <v>597</v>
      </c>
      <c r="B440" s="40" t="str">
        <f t="shared" ref="B440:B444" si="70">B439</f>
        <v>Еда</v>
      </c>
      <c r="C440" s="40" t="str">
        <f t="shared" ref="C440:C444" si="71">C439</f>
        <v>Еда</v>
      </c>
      <c r="D440" s="40" t="s">
        <v>90</v>
      </c>
      <c r="E440" s="41" t="str">
        <f>VLOOKUP(Рецепты[[#This Row],[Состав]],Ингредиенты[],2,0)</f>
        <v>Добавки</v>
      </c>
      <c r="F440" s="62">
        <v>8.3000000000000004E-2</v>
      </c>
      <c r="G440" s="42">
        <f>IF(Рецепты[[#This Row],[%]]*1000&gt;0,Рецепты[[#This Row],[%]]*1000,"")</f>
        <v>83</v>
      </c>
      <c r="H440" s="43">
        <f>IFERROR(VLOOKUP(Рецепты[[#This Row],[Состав]],Ингредиенты!A:I,3,0)*Рецепты[[#This Row],[г]],"")</f>
        <v>76.083333333333329</v>
      </c>
      <c r="I440" s="42">
        <f>СводРецепт!$A$1</f>
        <v>1000</v>
      </c>
      <c r="J440" s="42">
        <f>Рецепты[[#This Row],[%]]*Рецепты[[#This Row],[Масса]]</f>
        <v>83</v>
      </c>
      <c r="K440" s="43">
        <f>Рецепты[[#This Row],[Вес ингр-тов]]*VLOOKUP(Рецепты[[#This Row],[Состав]],Ингредиенты[],3,FALSE)</f>
        <v>76.083333333333329</v>
      </c>
      <c r="L440" s="41">
        <f>IF(VLOOKUP(Рецепты[[#This Row],[Состав]],Ингредиенты[],4,0)="Основа",VLOOKUP(Рецепты[[#This Row],[Способ]],Способ[],2,0),0%)</f>
        <v>0</v>
      </c>
      <c r="M440" s="41">
        <f>VLOOKUP(Рецепты[[#This Row],[Способ]],Способ[],3,0)</f>
        <v>0.5</v>
      </c>
      <c r="N440" s="43">
        <f>Рецепты[[#This Row],[р]]*100%/(100%-Рецепты[[#This Row],[Потери, %]])+Рецепты[[#This Row],[Маржа]]*(Рецепты[[#This Row],[р]]*100%)/(100%-Рецепты[[#This Row],[Потери, %]])</f>
        <v>114.125</v>
      </c>
      <c r="O440" s="43">
        <f>Рецепты[[#This Row],[Цена за 1 кг]]-(Рецепты[[#This Row],[р]]*100%/(100%-Рецепты[[#This Row],[Потери, %]]))</f>
        <v>38.041666666666671</v>
      </c>
      <c r="P440" s="29" t="s">
        <v>598</v>
      </c>
      <c r="Q440" s="40"/>
      <c r="R440" s="44" t="str">
        <f>VLOOKUP(Рецепты[[#This Row],[Состав]],Ингредиенты[],9,0)</f>
        <v>Да</v>
      </c>
      <c r="S440" s="52"/>
    </row>
    <row r="441" spans="1:19" x14ac:dyDescent="0.25">
      <c r="A441" s="40" t="s">
        <v>597</v>
      </c>
      <c r="B441" s="40" t="str">
        <f t="shared" si="70"/>
        <v>Еда</v>
      </c>
      <c r="C441" s="40" t="str">
        <f t="shared" si="71"/>
        <v>Еда</v>
      </c>
      <c r="D441" s="40" t="s">
        <v>94</v>
      </c>
      <c r="E441" s="41" t="str">
        <f>VLOOKUP(Рецепты[[#This Row],[Состав]],Ингредиенты[],2,0)</f>
        <v>Добавки</v>
      </c>
      <c r="F441" s="62">
        <v>8.3000000000000004E-2</v>
      </c>
      <c r="G441" s="42">
        <f>IF(Рецепты[[#This Row],[%]]*1000&gt;0,Рецепты[[#This Row],[%]]*1000,"")</f>
        <v>83</v>
      </c>
      <c r="H441" s="43">
        <f>IFERROR(VLOOKUP(Рецепты[[#This Row],[Состав]],Ингредиенты!A:I,3,0)*Рецепты[[#This Row],[г]],"")</f>
        <v>4.0171999999999999</v>
      </c>
      <c r="I441" s="42">
        <f>СводРецепт!$A$1</f>
        <v>1000</v>
      </c>
      <c r="J441" s="42">
        <f>Рецепты[[#This Row],[%]]*Рецепты[[#This Row],[Масса]]</f>
        <v>83</v>
      </c>
      <c r="K441" s="43">
        <f>Рецепты[[#This Row],[Вес ингр-тов]]*VLOOKUP(Рецепты[[#This Row],[Состав]],Ингредиенты[],3,FALSE)</f>
        <v>4.0171999999999999</v>
      </c>
      <c r="L441" s="41">
        <f>IF(VLOOKUP(Рецепты[[#This Row],[Состав]],Ингредиенты[],4,0)="Основа",VLOOKUP(Рецепты[[#This Row],[Способ]],Способ[],2,0),0%)</f>
        <v>0</v>
      </c>
      <c r="M441" s="41">
        <f>VLOOKUP(Рецепты[[#This Row],[Способ]],Способ[],3,0)</f>
        <v>0.5</v>
      </c>
      <c r="N441" s="43">
        <f>Рецепты[[#This Row],[р]]*100%/(100%-Рецепты[[#This Row],[Потери, %]])+Рецепты[[#This Row],[Маржа]]*(Рецепты[[#This Row],[р]]*100%)/(100%-Рецепты[[#This Row],[Потери, %]])</f>
        <v>6.0258000000000003</v>
      </c>
      <c r="O441" s="43">
        <f>Рецепты[[#This Row],[Цена за 1 кг]]-(Рецепты[[#This Row],[р]]*100%/(100%-Рецепты[[#This Row],[Потери, %]]))</f>
        <v>2.0086000000000004</v>
      </c>
      <c r="P441" s="29" t="s">
        <v>598</v>
      </c>
      <c r="Q441" s="40"/>
      <c r="R441" s="44" t="str">
        <f>VLOOKUP(Рецепты[[#This Row],[Состав]],Ингредиенты[],9,0)</f>
        <v>Да</v>
      </c>
      <c r="S441" s="52"/>
    </row>
    <row r="442" spans="1:19" x14ac:dyDescent="0.25">
      <c r="A442" s="40" t="s">
        <v>597</v>
      </c>
      <c r="B442" s="40" t="str">
        <f t="shared" si="70"/>
        <v>Еда</v>
      </c>
      <c r="C442" s="40" t="str">
        <f t="shared" si="71"/>
        <v>Еда</v>
      </c>
      <c r="D442" s="40" t="s">
        <v>85</v>
      </c>
      <c r="E442" s="41" t="str">
        <f>VLOOKUP(Рецепты[[#This Row],[Состав]],Ингредиенты[],2,0)</f>
        <v>Добавки</v>
      </c>
      <c r="F442" s="62">
        <v>0.83</v>
      </c>
      <c r="G442" s="42">
        <f>IF(Рецепты[[#This Row],[%]]*1000&gt;0,Рецепты[[#This Row],[%]]*1000,"")</f>
        <v>830</v>
      </c>
      <c r="H442" s="43">
        <f>IFERROR(VLOOKUP(Рецепты[[#This Row],[Состав]],Ингредиенты!A:I,3,0)*Рецепты[[#This Row],[г]],"")</f>
        <v>55.327799999999996</v>
      </c>
      <c r="I442" s="42">
        <f>СводРецепт!$A$1</f>
        <v>1000</v>
      </c>
      <c r="J442" s="42">
        <f>Рецепты[[#This Row],[%]]*Рецепты[[#This Row],[Масса]]</f>
        <v>830</v>
      </c>
      <c r="K442" s="43">
        <f>Рецепты[[#This Row],[Вес ингр-тов]]*VLOOKUP(Рецепты[[#This Row],[Состав]],Ингредиенты[],3,FALSE)</f>
        <v>55.327799999999996</v>
      </c>
      <c r="L442" s="41">
        <f>IF(VLOOKUP(Рецепты[[#This Row],[Состав]],Ингредиенты[],4,0)="Основа",VLOOKUP(Рецепты[[#This Row],[Способ]],Способ[],2,0),0%)</f>
        <v>0.05</v>
      </c>
      <c r="M442" s="41">
        <f>VLOOKUP(Рецепты[[#This Row],[Способ]],Способ[],3,0)</f>
        <v>0.5</v>
      </c>
      <c r="N442" s="43">
        <f>Рецепты[[#This Row],[р]]*100%/(100%-Рецепты[[#This Row],[Потери, %]])+Рецепты[[#This Row],[Маржа]]*(Рецепты[[#This Row],[р]]*100%)/(100%-Рецепты[[#This Row],[Потери, %]])</f>
        <v>87.359684210526325</v>
      </c>
      <c r="O442" s="43">
        <f>Рецепты[[#This Row],[Цена за 1 кг]]-(Рецепты[[#This Row],[р]]*100%/(100%-Рецепты[[#This Row],[Потери, %]]))</f>
        <v>29.119894736842113</v>
      </c>
      <c r="P442" s="29" t="s">
        <v>598</v>
      </c>
      <c r="Q442" s="40"/>
      <c r="R442" s="44" t="str">
        <f>VLOOKUP(Рецепты[[#This Row],[Состав]],Ингредиенты[],9,0)</f>
        <v>Да</v>
      </c>
      <c r="S442" s="52"/>
    </row>
    <row r="443" spans="1:19" x14ac:dyDescent="0.25">
      <c r="A443" s="40" t="s">
        <v>597</v>
      </c>
      <c r="B443" s="40" t="str">
        <f t="shared" si="70"/>
        <v>Еда</v>
      </c>
      <c r="C443" s="40" t="str">
        <f t="shared" si="71"/>
        <v>Еда</v>
      </c>
      <c r="D443" s="40" t="s">
        <v>149</v>
      </c>
      <c r="E443" s="41" t="str">
        <f>VLOOKUP(Рецепты[[#This Row],[Состав]],Ингредиенты[],2,0)</f>
        <v>Специи</v>
      </c>
      <c r="F443" s="62">
        <v>2E-3</v>
      </c>
      <c r="G443" s="42">
        <f>IF(Рецепты[[#This Row],[%]]*1000&gt;0,Рецепты[[#This Row],[%]]*1000,"")</f>
        <v>2</v>
      </c>
      <c r="H443" s="43">
        <f>IFERROR(VLOOKUP(Рецепты[[#This Row],[Состав]],Ингредиенты!A:I,3,0)*Рецепты[[#This Row],[г]],"")</f>
        <v>4.1545454545454543</v>
      </c>
      <c r="I443" s="42">
        <f>СводРецепт!$A$1</f>
        <v>1000</v>
      </c>
      <c r="J443" s="42">
        <f>Рецепты[[#This Row],[%]]*Рецепты[[#This Row],[Масса]]</f>
        <v>2</v>
      </c>
      <c r="K443" s="43">
        <f>Рецепты[[#This Row],[Вес ингр-тов]]*VLOOKUP(Рецепты[[#This Row],[Состав]],Ингредиенты[],3,FALSE)</f>
        <v>4.1545454545454543</v>
      </c>
      <c r="L443" s="41">
        <f>IF(VLOOKUP(Рецепты[[#This Row],[Состав]],Ингредиенты[],4,0)="Основа",VLOOKUP(Рецепты[[#This Row],[Способ]],Способ[],2,0),0%)</f>
        <v>0</v>
      </c>
      <c r="M443" s="41">
        <f>VLOOKUP(Рецепты[[#This Row],[Способ]],Способ[],3,0)</f>
        <v>0.5</v>
      </c>
      <c r="N443" s="43">
        <f>Рецепты[[#This Row],[р]]*100%/(100%-Рецепты[[#This Row],[Потери, %]])+Рецепты[[#This Row],[Маржа]]*(Рецепты[[#This Row],[р]]*100%)/(100%-Рецепты[[#This Row],[Потери, %]])</f>
        <v>6.2318181818181815</v>
      </c>
      <c r="O443" s="43">
        <f>Рецепты[[#This Row],[Цена за 1 кг]]-(Рецепты[[#This Row],[р]]*100%/(100%-Рецепты[[#This Row],[Потери, %]]))</f>
        <v>2.0772727272727272</v>
      </c>
      <c r="P443" s="29" t="s">
        <v>598</v>
      </c>
      <c r="Q443" s="40"/>
      <c r="R443" s="44" t="str">
        <f>VLOOKUP(Рецепты[[#This Row],[Состав]],Ингредиенты[],9,0)</f>
        <v>Да</v>
      </c>
      <c r="S443" s="52"/>
    </row>
    <row r="444" spans="1:19" x14ac:dyDescent="0.25">
      <c r="A444" s="40" t="s">
        <v>597</v>
      </c>
      <c r="B444" s="40" t="str">
        <f t="shared" si="70"/>
        <v>Еда</v>
      </c>
      <c r="C444" s="40" t="str">
        <f t="shared" si="71"/>
        <v>Еда</v>
      </c>
      <c r="D444" s="40" t="s">
        <v>128</v>
      </c>
      <c r="E444" s="41" t="str">
        <f>VLOOKUP(Рецепты[[#This Row],[Состав]],Ингредиенты[],2,0)</f>
        <v>Специи</v>
      </c>
      <c r="F444" s="62">
        <v>5.0000000000000001E-3</v>
      </c>
      <c r="G444" s="42">
        <f>IF(Рецепты[[#This Row],[%]]*1000&gt;0,Рецепты[[#This Row],[%]]*1000,"")</f>
        <v>5</v>
      </c>
      <c r="H444" s="43">
        <f>IFERROR(VLOOKUP(Рецепты[[#This Row],[Состав]],Ингредиенты!A:I,3,0)*Рецепты[[#This Row],[г]],"")</f>
        <v>0.1925</v>
      </c>
      <c r="I444" s="42">
        <f>СводРецепт!$A$1</f>
        <v>1000</v>
      </c>
      <c r="J444" s="42">
        <f>Рецепты[[#This Row],[%]]*Рецепты[[#This Row],[Масса]]</f>
        <v>5</v>
      </c>
      <c r="K444" s="43">
        <f>Рецепты[[#This Row],[Вес ингр-тов]]*VLOOKUP(Рецепты[[#This Row],[Состав]],Ингредиенты[],3,FALSE)</f>
        <v>0.1925</v>
      </c>
      <c r="L444" s="41">
        <f>IF(VLOOKUP(Рецепты[[#This Row],[Состав]],Ингредиенты[],4,0)="Основа",VLOOKUP(Рецепты[[#This Row],[Способ]],Способ[],2,0),0%)</f>
        <v>0</v>
      </c>
      <c r="M444" s="41">
        <f>VLOOKUP(Рецепты[[#This Row],[Способ]],Способ[],3,0)</f>
        <v>0.5</v>
      </c>
      <c r="N444" s="43">
        <f>Рецепты[[#This Row],[р]]*100%/(100%-Рецепты[[#This Row],[Потери, %]])+Рецепты[[#This Row],[Маржа]]*(Рецепты[[#This Row],[р]]*100%)/(100%-Рецепты[[#This Row],[Потери, %]])</f>
        <v>0.28875000000000001</v>
      </c>
      <c r="O444" s="43">
        <f>Рецепты[[#This Row],[Цена за 1 кг]]-(Рецепты[[#This Row],[р]]*100%/(100%-Рецепты[[#This Row],[Потери, %]]))</f>
        <v>9.6250000000000002E-2</v>
      </c>
      <c r="P444" s="29" t="s">
        <v>598</v>
      </c>
      <c r="Q444" s="40"/>
      <c r="R444" s="44" t="str">
        <f>VLOOKUP(Рецепты[[#This Row],[Состав]],Ингредиенты[],9,0)</f>
        <v>Да</v>
      </c>
      <c r="S444" s="52"/>
    </row>
    <row r="445" spans="1:19" x14ac:dyDescent="0.25">
      <c r="A445" t="s">
        <v>599</v>
      </c>
      <c r="B445" s="40" t="str">
        <f t="shared" ref="B445:B451" si="72">B444</f>
        <v>Еда</v>
      </c>
      <c r="C445" s="40" t="s">
        <v>30</v>
      </c>
      <c r="D445" s="40" t="s">
        <v>87</v>
      </c>
      <c r="E445" s="41" t="str">
        <f>VLOOKUP(Рецепты[[#This Row],[Состав]],Ингредиенты[],2,0)</f>
        <v>Специи</v>
      </c>
      <c r="F445" s="62">
        <v>1</v>
      </c>
      <c r="G445" s="42">
        <f>IF(Рецепты[[#This Row],[%]]*1000&gt;0,Рецепты[[#This Row],[%]]*1000,"")</f>
        <v>1000</v>
      </c>
      <c r="H445" s="43">
        <f>IFERROR(VLOOKUP(Рецепты[[#This Row],[Состав]],Ингредиенты!A:I,3,0)*Рецепты[[#This Row],[г]],"")</f>
        <v>29.99</v>
      </c>
      <c r="I445" s="42">
        <f>СводРецепт!$A$1</f>
        <v>1000</v>
      </c>
      <c r="J445" s="42">
        <f>Рецепты[[#This Row],[%]]*Рецепты[[#This Row],[Масса]]</f>
        <v>1000</v>
      </c>
      <c r="K445" s="43">
        <f>Рецепты[[#This Row],[Вес ингр-тов]]*VLOOKUP(Рецепты[[#This Row],[Состав]],Ингредиенты[],3,FALSE)</f>
        <v>29.99</v>
      </c>
      <c r="L445" s="41">
        <f>IF(VLOOKUP(Рецепты[[#This Row],[Состав]],Ингредиенты[],4,0)="Основа",VLOOKUP(Рецепты[[#This Row],[Способ]],Способ[],2,0),0%)</f>
        <v>0</v>
      </c>
      <c r="M445" s="41">
        <f>VLOOKUP(Рецепты[[#This Row],[Способ]],Способ[],3,0)</f>
        <v>0.5</v>
      </c>
      <c r="N445" s="43">
        <f>Рецепты[[#This Row],[р]]*100%/(100%-Рецепты[[#This Row],[Потери, %]])+Рецепты[[#This Row],[Маржа]]*(Рецепты[[#This Row],[р]]*100%)/(100%-Рецепты[[#This Row],[Потери, %]])</f>
        <v>44.984999999999999</v>
      </c>
      <c r="O445" s="43">
        <f>Рецепты[[#This Row],[Цена за 1 кг]]-(Рецепты[[#This Row],[р]]*100%/(100%-Рецепты[[#This Row],[Потери, %]]))</f>
        <v>14.995000000000001</v>
      </c>
      <c r="P445" s="30"/>
      <c r="Q445" s="40"/>
      <c r="R445" s="44" t="str">
        <f>VLOOKUP(Рецепты[[#This Row],[Состав]],Ингредиенты[],9,0)</f>
        <v>Да</v>
      </c>
      <c r="S445" s="52"/>
    </row>
    <row r="446" spans="1:19" x14ac:dyDescent="0.25">
      <c r="A446" t="s">
        <v>599</v>
      </c>
      <c r="B446" s="40" t="str">
        <f t="shared" si="72"/>
        <v>Еда</v>
      </c>
      <c r="C446" s="40" t="str">
        <f t="shared" ref="C446:C451" si="73">C445</f>
        <v>Еда</v>
      </c>
      <c r="D446" s="40" t="s">
        <v>151</v>
      </c>
      <c r="E446" s="41" t="str">
        <f>VLOOKUP(Рецепты[[#This Row],[Состав]],Ингредиенты[],2,0)</f>
        <v>Специи</v>
      </c>
      <c r="F446" s="62">
        <v>3.5000000000000003E-2</v>
      </c>
      <c r="G446" s="42">
        <f>IF(Рецепты[[#This Row],[%]]*1000&gt;0,Рецепты[[#This Row],[%]]*1000,"")</f>
        <v>35</v>
      </c>
      <c r="H446" s="43">
        <f>IFERROR(VLOOKUP(Рецепты[[#This Row],[Состав]],Ингредиенты!A:I,3,0)*Рецепты[[#This Row],[г]],"")</f>
        <v>30.741666666666667</v>
      </c>
      <c r="I446" s="42">
        <f>СводРецепт!$A$1</f>
        <v>1000</v>
      </c>
      <c r="J446" s="42">
        <f>Рецепты[[#This Row],[%]]*Рецепты[[#This Row],[Масса]]</f>
        <v>35</v>
      </c>
      <c r="K446" s="43">
        <f>Рецепты[[#This Row],[Вес ингр-тов]]*VLOOKUP(Рецепты[[#This Row],[Состав]],Ингредиенты[],3,FALSE)</f>
        <v>30.741666666666667</v>
      </c>
      <c r="L446" s="41">
        <f>IF(VLOOKUP(Рецепты[[#This Row],[Состав]],Ингредиенты[],4,0)="Основа",VLOOKUP(Рецепты[[#This Row],[Способ]],Способ[],2,0),0%)</f>
        <v>0</v>
      </c>
      <c r="M446" s="41">
        <f>VLOOKUP(Рецепты[[#This Row],[Способ]],Способ[],3,0)</f>
        <v>0.5</v>
      </c>
      <c r="N446" s="43">
        <f>Рецепты[[#This Row],[р]]*100%/(100%-Рецепты[[#This Row],[Потери, %]])+Рецепты[[#This Row],[Маржа]]*(Рецепты[[#This Row],[р]]*100%)/(100%-Рецепты[[#This Row],[Потери, %]])</f>
        <v>46.112499999999997</v>
      </c>
      <c r="O446" s="43">
        <f>Рецепты[[#This Row],[Цена за 1 кг]]-(Рецепты[[#This Row],[р]]*100%/(100%-Рецепты[[#This Row],[Потери, %]]))</f>
        <v>15.37083333333333</v>
      </c>
      <c r="P446" s="30"/>
      <c r="Q446" s="40"/>
      <c r="R446" s="44" t="str">
        <f>VLOOKUP(Рецепты[[#This Row],[Состав]],Ингредиенты[],9,0)</f>
        <v>Да</v>
      </c>
      <c r="S446" s="52"/>
    </row>
    <row r="447" spans="1:19" x14ac:dyDescent="0.25">
      <c r="A447" t="s">
        <v>599</v>
      </c>
      <c r="B447" s="40" t="str">
        <f t="shared" si="72"/>
        <v>Еда</v>
      </c>
      <c r="C447" s="40" t="str">
        <f t="shared" si="73"/>
        <v>Еда</v>
      </c>
      <c r="D447" s="40" t="s">
        <v>133</v>
      </c>
      <c r="E447" s="41" t="str">
        <f>VLOOKUP(Рецепты[[#This Row],[Состав]],Ингредиенты[],2,0)</f>
        <v>Специи</v>
      </c>
      <c r="F447" s="62">
        <v>2.5000000000000001E-3</v>
      </c>
      <c r="G447" s="42">
        <f>IF(Рецепты[[#This Row],[%]]*1000&gt;0,Рецепты[[#This Row],[%]]*1000,"")</f>
        <v>2.5</v>
      </c>
      <c r="H447" s="43">
        <f>IFERROR(VLOOKUP(Рецепты[[#This Row],[Состав]],Ингредиенты!A:I,3,0)*Рецепты[[#This Row],[г]],"")</f>
        <v>2.7363636363636363</v>
      </c>
      <c r="I447" s="42">
        <f>СводРецепт!$A$1</f>
        <v>1000</v>
      </c>
      <c r="J447" s="42">
        <f>Рецепты[[#This Row],[%]]*Рецепты[[#This Row],[Масса]]</f>
        <v>2.5</v>
      </c>
      <c r="K447" s="43">
        <f>Рецепты[[#This Row],[Вес ингр-тов]]*VLOOKUP(Рецепты[[#This Row],[Состав]],Ингредиенты[],3,FALSE)</f>
        <v>2.7363636363636363</v>
      </c>
      <c r="L447" s="41">
        <f>IF(VLOOKUP(Рецепты[[#This Row],[Состав]],Ингредиенты[],4,0)="Основа",VLOOKUP(Рецепты[[#This Row],[Способ]],Способ[],2,0),0%)</f>
        <v>0</v>
      </c>
      <c r="M447" s="41">
        <f>VLOOKUP(Рецепты[[#This Row],[Способ]],Способ[],3,0)</f>
        <v>0.5</v>
      </c>
      <c r="N447" s="43">
        <f>Рецепты[[#This Row],[р]]*100%/(100%-Рецепты[[#This Row],[Потери, %]])+Рецепты[[#This Row],[Маржа]]*(Рецепты[[#This Row],[р]]*100%)/(100%-Рецепты[[#This Row],[Потери, %]])</f>
        <v>4.1045454545454545</v>
      </c>
      <c r="O447" s="43">
        <f>Рецепты[[#This Row],[Цена за 1 кг]]-(Рецепты[[#This Row],[р]]*100%/(100%-Рецепты[[#This Row],[Потери, %]]))</f>
        <v>1.3681818181818182</v>
      </c>
      <c r="P447" s="30"/>
      <c r="Q447" s="40"/>
      <c r="R447" s="44" t="str">
        <f>VLOOKUP(Рецепты[[#This Row],[Состав]],Ингредиенты[],9,0)</f>
        <v>Да</v>
      </c>
      <c r="S447" s="52"/>
    </row>
    <row r="448" spans="1:19" x14ac:dyDescent="0.25">
      <c r="A448" t="s">
        <v>599</v>
      </c>
      <c r="B448" s="40" t="str">
        <f t="shared" si="72"/>
        <v>Еда</v>
      </c>
      <c r="C448" s="40" t="str">
        <f t="shared" si="73"/>
        <v>Еда</v>
      </c>
      <c r="D448" s="40" t="s">
        <v>139</v>
      </c>
      <c r="E448" s="41" t="str">
        <f>VLOOKUP(Рецепты[[#This Row],[Состав]],Ингредиенты[],2,0)</f>
        <v>Специи</v>
      </c>
      <c r="F448" s="62">
        <v>2.5000000000000001E-3</v>
      </c>
      <c r="G448" s="42">
        <f>IF(Рецепты[[#This Row],[%]]*1000&gt;0,Рецепты[[#This Row],[%]]*1000,"")</f>
        <v>2.5</v>
      </c>
      <c r="H448" s="43">
        <f>IFERROR(VLOOKUP(Рецепты[[#This Row],[Состав]],Ингредиенты!A:I,3,0)*Рецепты[[#This Row],[г]],"")</f>
        <v>1.9409090909090909</v>
      </c>
      <c r="I448" s="42">
        <f>СводРецепт!$A$1</f>
        <v>1000</v>
      </c>
      <c r="J448" s="42">
        <f>Рецепты[[#This Row],[%]]*Рецепты[[#This Row],[Масса]]</f>
        <v>2.5</v>
      </c>
      <c r="K448" s="43">
        <f>Рецепты[[#This Row],[Вес ингр-тов]]*VLOOKUP(Рецепты[[#This Row],[Состав]],Ингредиенты[],3,FALSE)</f>
        <v>1.9409090909090909</v>
      </c>
      <c r="L448" s="41">
        <f>IF(VLOOKUP(Рецепты[[#This Row],[Состав]],Ингредиенты[],4,0)="Основа",VLOOKUP(Рецепты[[#This Row],[Способ]],Способ[],2,0),0%)</f>
        <v>0</v>
      </c>
      <c r="M448" s="41">
        <f>VLOOKUP(Рецепты[[#This Row],[Способ]],Способ[],3,0)</f>
        <v>0.5</v>
      </c>
      <c r="N448" s="43">
        <f>Рецепты[[#This Row],[р]]*100%/(100%-Рецепты[[#This Row],[Потери, %]])+Рецепты[[#This Row],[Маржа]]*(Рецепты[[#This Row],[р]]*100%)/(100%-Рецепты[[#This Row],[Потери, %]])</f>
        <v>2.9113636363636362</v>
      </c>
      <c r="O448" s="43">
        <f>Рецепты[[#This Row],[Цена за 1 кг]]-(Рецепты[[#This Row],[р]]*100%/(100%-Рецепты[[#This Row],[Потери, %]]))</f>
        <v>0.97045454545454524</v>
      </c>
      <c r="P448" s="30"/>
      <c r="Q448" s="40"/>
      <c r="R448" s="44" t="str">
        <f>VLOOKUP(Рецепты[[#This Row],[Состав]],Ингредиенты[],9,0)</f>
        <v>Нет</v>
      </c>
      <c r="S448" s="52"/>
    </row>
    <row r="449" spans="1:19" x14ac:dyDescent="0.25">
      <c r="A449" t="s">
        <v>599</v>
      </c>
      <c r="B449" s="40" t="str">
        <f t="shared" si="72"/>
        <v>Еда</v>
      </c>
      <c r="C449" s="40" t="str">
        <f t="shared" si="73"/>
        <v>Еда</v>
      </c>
      <c r="D449" s="40" t="s">
        <v>131</v>
      </c>
      <c r="E449" s="41" t="str">
        <f>VLOOKUP(Рецепты[[#This Row],[Состав]],Ингредиенты[],2,0)</f>
        <v>Специи</v>
      </c>
      <c r="F449" s="62">
        <v>0.05</v>
      </c>
      <c r="G449" s="42">
        <f>IF(Рецепты[[#This Row],[%]]*1000&gt;0,Рецепты[[#This Row],[%]]*1000,"")</f>
        <v>50</v>
      </c>
      <c r="H449" s="43">
        <f>IFERROR(VLOOKUP(Рецепты[[#This Row],[Состав]],Ингредиенты!A:I,3,0)*Рецепты[[#This Row],[г]],"")</f>
        <v>4.0441176470588234</v>
      </c>
      <c r="I449" s="42">
        <f>СводРецепт!$A$1</f>
        <v>1000</v>
      </c>
      <c r="J449" s="42">
        <f>Рецепты[[#This Row],[%]]*Рецепты[[#This Row],[Масса]]</f>
        <v>50</v>
      </c>
      <c r="K449" s="43">
        <f>Рецепты[[#This Row],[Вес ингр-тов]]*VLOOKUP(Рецепты[[#This Row],[Состав]],Ингредиенты[],3,FALSE)</f>
        <v>4.0441176470588234</v>
      </c>
      <c r="L449" s="41">
        <f>IF(VLOOKUP(Рецепты[[#This Row],[Состав]],Ингредиенты[],4,0)="Основа",VLOOKUP(Рецепты[[#This Row],[Способ]],Способ[],2,0),0%)</f>
        <v>0</v>
      </c>
      <c r="M449" s="41">
        <f>VLOOKUP(Рецепты[[#This Row],[Способ]],Способ[],3,0)</f>
        <v>0.5</v>
      </c>
      <c r="N449" s="43">
        <f>Рецепты[[#This Row],[р]]*100%/(100%-Рецепты[[#This Row],[Потери, %]])+Рецепты[[#This Row],[Маржа]]*(Рецепты[[#This Row],[р]]*100%)/(100%-Рецепты[[#This Row],[Потери, %]])</f>
        <v>6.0661764705882355</v>
      </c>
      <c r="O449" s="43">
        <f>Рецепты[[#This Row],[Цена за 1 кг]]-(Рецепты[[#This Row],[р]]*100%/(100%-Рецепты[[#This Row],[Потери, %]]))</f>
        <v>2.0220588235294121</v>
      </c>
      <c r="P449" s="30"/>
      <c r="Q449" s="40"/>
      <c r="R449" s="44" t="str">
        <f>VLOOKUP(Рецепты[[#This Row],[Состав]],Ингредиенты[],9,0)</f>
        <v>Да</v>
      </c>
      <c r="S449" s="52"/>
    </row>
    <row r="450" spans="1:19" x14ac:dyDescent="0.25">
      <c r="A450" t="s">
        <v>599</v>
      </c>
      <c r="B450" s="40" t="str">
        <f t="shared" si="72"/>
        <v>Еда</v>
      </c>
      <c r="C450" s="40" t="str">
        <f t="shared" si="73"/>
        <v>Еда</v>
      </c>
      <c r="D450" s="40" t="s">
        <v>96</v>
      </c>
      <c r="E450" s="41" t="str">
        <f>VLOOKUP(Рецепты[[#This Row],[Состав]],Ингредиенты[],2,0)</f>
        <v>Добавки</v>
      </c>
      <c r="F450" s="62">
        <v>4.4999999999999998E-2</v>
      </c>
      <c r="G450" s="42">
        <f>IF(Рецепты[[#This Row],[%]]*1000&gt;0,Рецепты[[#This Row],[%]]*1000,"")</f>
        <v>45</v>
      </c>
      <c r="H450" s="43">
        <f>IFERROR(VLOOKUP(Рецепты[[#This Row],[Состав]],Ингредиенты!A:I,3,0)*Рецепты[[#This Row],[г]],"")</f>
        <v>7.7849999999999993</v>
      </c>
      <c r="I450" s="42">
        <f>СводРецепт!$A$1</f>
        <v>1000</v>
      </c>
      <c r="J450" s="42">
        <f>Рецепты[[#This Row],[%]]*Рецепты[[#This Row],[Масса]]</f>
        <v>45</v>
      </c>
      <c r="K450" s="43">
        <f>Рецепты[[#This Row],[Вес ингр-тов]]*VLOOKUP(Рецепты[[#This Row],[Состав]],Ингредиенты[],3,FALSE)</f>
        <v>7.7849999999999993</v>
      </c>
      <c r="L450" s="41">
        <f>IF(VLOOKUP(Рецепты[[#This Row],[Состав]],Ингредиенты[],4,0)="Основа",VLOOKUP(Рецепты[[#This Row],[Способ]],Способ[],2,0),0%)</f>
        <v>0</v>
      </c>
      <c r="M450" s="41">
        <f>VLOOKUP(Рецепты[[#This Row],[Способ]],Способ[],3,0)</f>
        <v>0.5</v>
      </c>
      <c r="N450" s="43">
        <f>Рецепты[[#This Row],[р]]*100%/(100%-Рецепты[[#This Row],[Потери, %]])+Рецепты[[#This Row],[Маржа]]*(Рецепты[[#This Row],[р]]*100%)/(100%-Рецепты[[#This Row],[Потери, %]])</f>
        <v>11.677499999999998</v>
      </c>
      <c r="O450" s="43">
        <f>Рецепты[[#This Row],[Цена за 1 кг]]-(Рецепты[[#This Row],[р]]*100%/(100%-Рецепты[[#This Row],[Потери, %]]))</f>
        <v>3.8924999999999992</v>
      </c>
      <c r="P450" s="30"/>
      <c r="Q450" s="40"/>
      <c r="R450" s="44" t="str">
        <f>VLOOKUP(Рецепты[[#This Row],[Состав]],Ингредиенты[],9,0)</f>
        <v>Да</v>
      </c>
      <c r="S450" s="52"/>
    </row>
    <row r="451" spans="1:19" x14ac:dyDescent="0.25">
      <c r="A451" t="s">
        <v>599</v>
      </c>
      <c r="B451" s="40" t="str">
        <f t="shared" si="72"/>
        <v>Еда</v>
      </c>
      <c r="C451" s="40" t="str">
        <f t="shared" si="73"/>
        <v>Еда</v>
      </c>
      <c r="D451" s="40" t="s">
        <v>101</v>
      </c>
      <c r="E451" s="41" t="str">
        <f>VLOOKUP(Рецепты[[#This Row],[Состав]],Ингредиенты[],2,0)</f>
        <v>Добавки</v>
      </c>
      <c r="F451" s="62">
        <v>9.5000000000000001E-2</v>
      </c>
      <c r="G451" s="42">
        <f>IF(Рецепты[[#This Row],[%]]*1000&gt;0,Рецепты[[#This Row],[%]]*1000,"")</f>
        <v>95</v>
      </c>
      <c r="H451" s="43">
        <f>IFERROR(VLOOKUP(Рецепты[[#This Row],[Состав]],Ингредиенты!A:I,3,0)*Рецепты[[#This Row],[г]],"")</f>
        <v>15.675000000000001</v>
      </c>
      <c r="I451" s="42">
        <f>СводРецепт!$A$1</f>
        <v>1000</v>
      </c>
      <c r="J451" s="42">
        <f>Рецепты[[#This Row],[%]]*Рецепты[[#This Row],[Масса]]</f>
        <v>95</v>
      </c>
      <c r="K451" s="43">
        <f>Рецепты[[#This Row],[Вес ингр-тов]]*VLOOKUP(Рецепты[[#This Row],[Состав]],Ингредиенты[],3,FALSE)</f>
        <v>15.675000000000001</v>
      </c>
      <c r="L451" s="41">
        <f>IF(VLOOKUP(Рецепты[[#This Row],[Состав]],Ингредиенты[],4,0)="Основа",VLOOKUP(Рецепты[[#This Row],[Способ]],Способ[],2,0),0%)</f>
        <v>0</v>
      </c>
      <c r="M451" s="41">
        <f>VLOOKUP(Рецепты[[#This Row],[Способ]],Способ[],3,0)</f>
        <v>0.5</v>
      </c>
      <c r="N451" s="43">
        <f>Рецепты[[#This Row],[р]]*100%/(100%-Рецепты[[#This Row],[Потери, %]])+Рецепты[[#This Row],[Маржа]]*(Рецепты[[#This Row],[р]]*100%)/(100%-Рецепты[[#This Row],[Потери, %]])</f>
        <v>23.512500000000003</v>
      </c>
      <c r="O451" s="43">
        <f>Рецепты[[#This Row],[Цена за 1 кг]]-(Рецепты[[#This Row],[р]]*100%/(100%-Рецепты[[#This Row],[Потери, %]]))</f>
        <v>7.8375000000000021</v>
      </c>
      <c r="P451" s="30"/>
      <c r="Q451" s="40"/>
      <c r="R451" s="44" t="str">
        <f>VLOOKUP(Рецепты[[#This Row],[Состав]],Ингредиенты[],9,0)</f>
        <v>Да</v>
      </c>
      <c r="S451" s="52"/>
    </row>
    <row r="452" spans="1:19" x14ac:dyDescent="0.25">
      <c r="A452" t="s">
        <v>599</v>
      </c>
      <c r="B452" s="40" t="str">
        <f>B451</f>
        <v>Еда</v>
      </c>
      <c r="C452" s="40" t="str">
        <f>C451</f>
        <v>Еда</v>
      </c>
      <c r="D452" s="40" t="s">
        <v>128</v>
      </c>
      <c r="E452" s="41" t="str">
        <f>VLOOKUP(Рецепты[[#This Row],[Состав]],Ингредиенты[],2,0)</f>
        <v>Специи</v>
      </c>
      <c r="F452" s="62">
        <v>3.5000000000000001E-3</v>
      </c>
      <c r="G452" s="42">
        <f>IF(Рецепты[[#This Row],[%]]*1000&gt;0,Рецепты[[#This Row],[%]]*1000,"")</f>
        <v>3.5</v>
      </c>
      <c r="H452" s="43">
        <f>IFERROR(VLOOKUP(Рецепты[[#This Row],[Состав]],Ингредиенты!A:I,3,0)*Рецепты[[#This Row],[г]],"")</f>
        <v>0.13475000000000001</v>
      </c>
      <c r="I452" s="42">
        <f>СводРецепт!$A$1</f>
        <v>1000</v>
      </c>
      <c r="J452" s="42">
        <f>Рецепты[[#This Row],[%]]*Рецепты[[#This Row],[Масса]]</f>
        <v>3.5</v>
      </c>
      <c r="K452" s="43">
        <f>Рецепты[[#This Row],[Вес ингр-тов]]*VLOOKUP(Рецепты[[#This Row],[Состав]],Ингредиенты[],3,FALSE)</f>
        <v>0.13475000000000001</v>
      </c>
      <c r="L452" s="41">
        <f>IF(VLOOKUP(Рецепты[[#This Row],[Состав]],Ингредиенты[],4,0)="Основа",VLOOKUP(Рецепты[[#This Row],[Способ]],Способ[],2,0),0%)</f>
        <v>0</v>
      </c>
      <c r="M452" s="41">
        <f>VLOOKUP(Рецепты[[#This Row],[Способ]],Способ[],3,0)</f>
        <v>0.5</v>
      </c>
      <c r="N452" s="43">
        <f>Рецепты[[#This Row],[р]]*100%/(100%-Рецепты[[#This Row],[Потери, %]])+Рецепты[[#This Row],[Маржа]]*(Рецепты[[#This Row],[р]]*100%)/(100%-Рецепты[[#This Row],[Потери, %]])</f>
        <v>0.202125</v>
      </c>
      <c r="O452" s="43">
        <f>Рецепты[[#This Row],[Цена за 1 кг]]-(Рецепты[[#This Row],[р]]*100%/(100%-Рецепты[[#This Row],[Потери, %]]))</f>
        <v>6.737499999999999E-2</v>
      </c>
      <c r="P452" s="30"/>
      <c r="Q452" s="40"/>
      <c r="R452" s="44" t="str">
        <f>VLOOKUP(Рецепты[[#This Row],[Состав]],Ингредиенты[],9,0)</f>
        <v>Да</v>
      </c>
      <c r="S452" s="52"/>
    </row>
    <row r="453" spans="1:19" x14ac:dyDescent="0.25">
      <c r="A453" s="40" t="s">
        <v>600</v>
      </c>
      <c r="B453" s="40" t="s">
        <v>8</v>
      </c>
      <c r="C453" s="40" t="s">
        <v>9</v>
      </c>
      <c r="D453" s="40" t="s">
        <v>49</v>
      </c>
      <c r="E453" s="41" t="str">
        <f>VLOOKUP(Рецепты[[#This Row],[Состав]],Ингредиенты[],2,0)</f>
        <v>Свинина</v>
      </c>
      <c r="F453" s="62">
        <v>0.4</v>
      </c>
      <c r="G453" s="42">
        <f>IF(Рецепты[[#This Row],[%]]*1000&gt;0,Рецепты[[#This Row],[%]]*1000,"")</f>
        <v>400</v>
      </c>
      <c r="H453" s="43">
        <f>IFERROR(VLOOKUP(Рецепты[[#This Row],[Состав]],Ингредиенты!A:I,3,0)*Рецепты[[#This Row],[г]],"")</f>
        <v>147.6</v>
      </c>
      <c r="I453" s="42">
        <f>СводРецепт!$A$1</f>
        <v>1000</v>
      </c>
      <c r="J453" s="42">
        <f>Рецепты[[#This Row],[%]]*Рецепты[[#This Row],[Масса]]</f>
        <v>400</v>
      </c>
      <c r="K453" s="43">
        <f>Рецепты[[#This Row],[Вес ингр-тов]]*VLOOKUP(Рецепты[[#This Row],[Состав]],Ингредиенты[],3,FALSE)</f>
        <v>147.6</v>
      </c>
      <c r="L453" s="41">
        <f>IF(VLOOKUP(Рецепты[[#This Row],[Состав]],Ингредиенты[],4,0)="Основа",VLOOKUP(Рецепты[[#This Row],[Способ]],Способ[],2,0),0%)</f>
        <v>0.15</v>
      </c>
      <c r="M453" s="41">
        <f>VLOOKUP(Рецепты[[#This Row],[Способ]],Способ[],3,0)</f>
        <v>0.7</v>
      </c>
      <c r="N453" s="43">
        <f>Рецепты[[#This Row],[р]]*100%/(100%-Рецепты[[#This Row],[Потери, %]])+Рецепты[[#This Row],[Маржа]]*(Рецепты[[#This Row],[р]]*100%)/(100%-Рецепты[[#This Row],[Потери, %]])</f>
        <v>295.2</v>
      </c>
      <c r="O453" s="43">
        <f>Рецепты[[#This Row],[Цена за 1 кг]]-(Рецепты[[#This Row],[р]]*100%/(100%-Рецепты[[#This Row],[Потери, %]]))</f>
        <v>121.55294117647057</v>
      </c>
      <c r="P453" s="30" t="s">
        <v>601</v>
      </c>
      <c r="Q453" s="40" t="s">
        <v>602</v>
      </c>
      <c r="R453" s="44" t="str">
        <f>VLOOKUP(Рецепты[[#This Row],[Состав]],Ингредиенты[],9,0)</f>
        <v>Да</v>
      </c>
      <c r="S453" s="52"/>
    </row>
    <row r="454" spans="1:19" x14ac:dyDescent="0.25">
      <c r="A454" s="40" t="s">
        <v>600</v>
      </c>
      <c r="B454" s="40" t="str">
        <f t="shared" ref="B454:B459" si="74">B453</f>
        <v>Колбаса</v>
      </c>
      <c r="C454" s="40" t="str">
        <f t="shared" ref="C454:C459" si="75">C453</f>
        <v>Вареное</v>
      </c>
      <c r="D454" s="40" t="s">
        <v>12</v>
      </c>
      <c r="E454" s="41" t="str">
        <f>VLOOKUP(Рецепты[[#This Row],[Состав]],Ингредиенты[],2,0)</f>
        <v>Говядина</v>
      </c>
      <c r="F454" s="62">
        <v>0.3</v>
      </c>
      <c r="G454" s="42">
        <f>IF(Рецепты[[#This Row],[%]]*1000&gt;0,Рецепты[[#This Row],[%]]*1000,"")</f>
        <v>300</v>
      </c>
      <c r="H454" s="43">
        <f>IFERROR(VLOOKUP(Рецепты[[#This Row],[Состав]],Ингредиенты!A:I,3,0)*Рецепты[[#This Row],[г]],"")</f>
        <v>212.99700000000001</v>
      </c>
      <c r="I454" s="42">
        <f>СводРецепт!$A$1</f>
        <v>1000</v>
      </c>
      <c r="J454" s="42">
        <f>Рецепты[[#This Row],[%]]*Рецепты[[#This Row],[Масса]]</f>
        <v>300</v>
      </c>
      <c r="K454" s="43">
        <f>Рецепты[[#This Row],[Вес ингр-тов]]*VLOOKUP(Рецепты[[#This Row],[Состав]],Ингредиенты[],3,FALSE)</f>
        <v>212.99700000000001</v>
      </c>
      <c r="L454" s="41">
        <f>IF(VLOOKUP(Рецепты[[#This Row],[Состав]],Ингредиенты[],4,0)="Основа",VLOOKUP(Рецепты[[#This Row],[Способ]],Способ[],2,0),0%)</f>
        <v>0.15</v>
      </c>
      <c r="M454" s="41">
        <f>VLOOKUP(Рецепты[[#This Row],[Способ]],Способ[],3,0)</f>
        <v>0.7</v>
      </c>
      <c r="N454" s="43">
        <f>Рецепты[[#This Row],[р]]*100%/(100%-Рецепты[[#This Row],[Потери, %]])+Рецепты[[#This Row],[Маржа]]*(Рецепты[[#This Row],[р]]*100%)/(100%-Рецепты[[#This Row],[Потери, %]])</f>
        <v>425.99400000000003</v>
      </c>
      <c r="O454" s="43">
        <f>Рецепты[[#This Row],[Цена за 1 кг]]-(Рецепты[[#This Row],[р]]*100%/(100%-Рецепты[[#This Row],[Потери, %]]))</f>
        <v>175.40929411764705</v>
      </c>
      <c r="P454" s="30" t="s">
        <v>601</v>
      </c>
      <c r="Q454" s="40" t="s">
        <v>602</v>
      </c>
      <c r="R454" s="44" t="str">
        <f>VLOOKUP(Рецепты[[#This Row],[Состав]],Ингредиенты[],9,0)</f>
        <v>Да</v>
      </c>
      <c r="S454" s="52"/>
    </row>
    <row r="455" spans="1:19" x14ac:dyDescent="0.25">
      <c r="A455" s="40" t="s">
        <v>600</v>
      </c>
      <c r="B455" s="40" t="str">
        <f t="shared" si="74"/>
        <v>Колбаса</v>
      </c>
      <c r="C455" s="40" t="str">
        <f t="shared" si="75"/>
        <v>Вареное</v>
      </c>
      <c r="D455" s="40" t="s">
        <v>58</v>
      </c>
      <c r="E455" s="41" t="str">
        <f>VLOOKUP(Рецепты[[#This Row],[Состав]],Ингредиенты[],2,0)</f>
        <v>Свинина</v>
      </c>
      <c r="F455" s="62">
        <v>0.3</v>
      </c>
      <c r="G455" s="42">
        <f>IF(Рецепты[[#This Row],[%]]*1000&gt;0,Рецепты[[#This Row],[%]]*1000,"")</f>
        <v>300</v>
      </c>
      <c r="H455" s="43">
        <f>IFERROR(VLOOKUP(Рецепты[[#This Row],[Состав]],Ингредиенты!A:I,3,0)*Рецепты[[#This Row],[г]],"")</f>
        <v>90</v>
      </c>
      <c r="I455" s="42">
        <f>СводРецепт!$A$1</f>
        <v>1000</v>
      </c>
      <c r="J455" s="42">
        <f>Рецепты[[#This Row],[%]]*Рецепты[[#This Row],[Масса]]</f>
        <v>300</v>
      </c>
      <c r="K455" s="43">
        <f>Рецепты[[#This Row],[Вес ингр-тов]]*VLOOKUP(Рецепты[[#This Row],[Состав]],Ингредиенты[],3,FALSE)</f>
        <v>90</v>
      </c>
      <c r="L455" s="41">
        <f>IF(VLOOKUP(Рецепты[[#This Row],[Состав]],Ингредиенты[],4,0)="Основа",VLOOKUP(Рецепты[[#This Row],[Способ]],Способ[],2,0),0%)</f>
        <v>0.15</v>
      </c>
      <c r="M455" s="41">
        <f>VLOOKUP(Рецепты[[#This Row],[Способ]],Способ[],3,0)</f>
        <v>0.7</v>
      </c>
      <c r="N455" s="43">
        <f>Рецепты[[#This Row],[р]]*100%/(100%-Рецепты[[#This Row],[Потери, %]])+Рецепты[[#This Row],[Маржа]]*(Рецепты[[#This Row],[р]]*100%)/(100%-Рецепты[[#This Row],[Потери, %]])</f>
        <v>180</v>
      </c>
      <c r="O455" s="43">
        <f>Рецепты[[#This Row],[Цена за 1 кг]]-(Рецепты[[#This Row],[р]]*100%/(100%-Рецепты[[#This Row],[Потери, %]]))</f>
        <v>74.117647058823522</v>
      </c>
      <c r="P455" s="30" t="s">
        <v>601</v>
      </c>
      <c r="Q455" s="40" t="s">
        <v>602</v>
      </c>
      <c r="R455" s="44" t="str">
        <f>VLOOKUP(Рецепты[[#This Row],[Состав]],Ингредиенты[],9,0)</f>
        <v>Да</v>
      </c>
      <c r="S455" s="52"/>
    </row>
    <row r="456" spans="1:19" x14ac:dyDescent="0.25">
      <c r="A456" s="40" t="s">
        <v>600</v>
      </c>
      <c r="B456" s="40" t="str">
        <f t="shared" si="74"/>
        <v>Колбаса</v>
      </c>
      <c r="C456" s="40" t="str">
        <f t="shared" si="75"/>
        <v>Вареное</v>
      </c>
      <c r="D456" s="40" t="s">
        <v>93</v>
      </c>
      <c r="E456" s="41" t="str">
        <f>VLOOKUP(Рецепты[[#This Row],[Состав]],Ингредиенты[],2,0)</f>
        <v>Добавки</v>
      </c>
      <c r="F456" s="62">
        <v>0.15</v>
      </c>
      <c r="G456" s="42">
        <f>IF(Рецепты[[#This Row],[%]]*1000&gt;0,Рецепты[[#This Row],[%]]*1000,"")</f>
        <v>150</v>
      </c>
      <c r="H456" s="43">
        <f>IFERROR(VLOOKUP(Рецепты[[#This Row],[Состав]],Ингредиенты!A:I,3,0)*Рецепты[[#This Row],[г]],"")</f>
        <v>0.15</v>
      </c>
      <c r="I456" s="42">
        <f>СводРецепт!$A$1</f>
        <v>1000</v>
      </c>
      <c r="J456" s="42">
        <f>Рецепты[[#This Row],[%]]*Рецепты[[#This Row],[Масса]]</f>
        <v>150</v>
      </c>
      <c r="K456" s="43">
        <f>Рецепты[[#This Row],[Вес ингр-тов]]*VLOOKUP(Рецепты[[#This Row],[Состав]],Ингредиенты[],3,FALSE)</f>
        <v>0.15</v>
      </c>
      <c r="L456" s="41">
        <f>IF(VLOOKUP(Рецепты[[#This Row],[Состав]],Ингредиенты[],4,0)="Основа",VLOOKUP(Рецепты[[#This Row],[Способ]],Способ[],2,0),0%)</f>
        <v>0</v>
      </c>
      <c r="M456" s="41">
        <f>VLOOKUP(Рецепты[[#This Row],[Способ]],Способ[],3,0)</f>
        <v>0.7</v>
      </c>
      <c r="N456" s="43">
        <f>Рецепты[[#This Row],[р]]*100%/(100%-Рецепты[[#This Row],[Потери, %]])+Рецепты[[#This Row],[Маржа]]*(Рецепты[[#This Row],[р]]*100%)/(100%-Рецепты[[#This Row],[Потери, %]])</f>
        <v>0.255</v>
      </c>
      <c r="O456" s="43">
        <f>Рецепты[[#This Row],[Цена за 1 кг]]-(Рецепты[[#This Row],[р]]*100%/(100%-Рецепты[[#This Row],[Потери, %]]))</f>
        <v>0.10500000000000001</v>
      </c>
      <c r="P456" s="30" t="s">
        <v>601</v>
      </c>
      <c r="Q456" s="40" t="s">
        <v>602</v>
      </c>
      <c r="R456" s="44" t="str">
        <f>VLOOKUP(Рецепты[[#This Row],[Состав]],Ингредиенты[],9,0)</f>
        <v>Да</v>
      </c>
      <c r="S456" s="52"/>
    </row>
    <row r="457" spans="1:19" x14ac:dyDescent="0.25">
      <c r="A457" s="40" t="s">
        <v>600</v>
      </c>
      <c r="B457" s="40" t="str">
        <f t="shared" si="74"/>
        <v>Колбаса</v>
      </c>
      <c r="C457" s="40" t="str">
        <f t="shared" si="75"/>
        <v>Вареное</v>
      </c>
      <c r="D457" s="40" t="s">
        <v>128</v>
      </c>
      <c r="E457" s="41" t="str">
        <f>VLOOKUP(Рецепты[[#This Row],[Состав]],Ингредиенты[],2,0)</f>
        <v>Специи</v>
      </c>
      <c r="F457" s="62">
        <v>1.0999999999999999E-2</v>
      </c>
      <c r="G457" s="42">
        <f>IF(Рецепты[[#This Row],[%]]*1000&gt;0,Рецепты[[#This Row],[%]]*1000,"")</f>
        <v>11</v>
      </c>
      <c r="H457" s="43">
        <f>IFERROR(VLOOKUP(Рецепты[[#This Row],[Состав]],Ингредиенты!A:I,3,0)*Рецепты[[#This Row],[г]],"")</f>
        <v>0.42349999999999999</v>
      </c>
      <c r="I457" s="42">
        <f>СводРецепт!$A$1</f>
        <v>1000</v>
      </c>
      <c r="J457" s="42">
        <f>Рецепты[[#This Row],[%]]*Рецепты[[#This Row],[Масса]]</f>
        <v>11</v>
      </c>
      <c r="K457" s="43">
        <f>Рецепты[[#This Row],[Вес ингр-тов]]*VLOOKUP(Рецепты[[#This Row],[Состав]],Ингредиенты[],3,FALSE)</f>
        <v>0.42349999999999999</v>
      </c>
      <c r="L457" s="41">
        <f>IF(VLOOKUP(Рецепты[[#This Row],[Состав]],Ингредиенты[],4,0)="Основа",VLOOKUP(Рецепты[[#This Row],[Способ]],Способ[],2,0),0%)</f>
        <v>0</v>
      </c>
      <c r="M457" s="41">
        <f>VLOOKUP(Рецепты[[#This Row],[Способ]],Способ[],3,0)</f>
        <v>0.7</v>
      </c>
      <c r="N457" s="43">
        <f>Рецепты[[#This Row],[р]]*100%/(100%-Рецепты[[#This Row],[Потери, %]])+Рецепты[[#This Row],[Маржа]]*(Рецепты[[#This Row],[р]]*100%)/(100%-Рецепты[[#This Row],[Потери, %]])</f>
        <v>0.71994999999999998</v>
      </c>
      <c r="O457" s="43">
        <f>Рецепты[[#This Row],[Цена за 1 кг]]-(Рецепты[[#This Row],[р]]*100%/(100%-Рецепты[[#This Row],[Потери, %]]))</f>
        <v>0.29644999999999999</v>
      </c>
      <c r="P457" s="30" t="s">
        <v>601</v>
      </c>
      <c r="Q457" s="40" t="s">
        <v>602</v>
      </c>
      <c r="R457" s="44" t="str">
        <f>VLOOKUP(Рецепты[[#This Row],[Состав]],Ингредиенты[],9,0)</f>
        <v>Да</v>
      </c>
      <c r="S457" s="52"/>
    </row>
    <row r="458" spans="1:19" x14ac:dyDescent="0.25">
      <c r="A458" s="40" t="s">
        <v>600</v>
      </c>
      <c r="B458" s="40" t="str">
        <f t="shared" si="74"/>
        <v>Колбаса</v>
      </c>
      <c r="C458" s="40" t="str">
        <f t="shared" si="75"/>
        <v>Вареное</v>
      </c>
      <c r="D458" s="40" t="s">
        <v>125</v>
      </c>
      <c r="E458" s="41" t="str">
        <f>VLOOKUP(Рецепты[[#This Row],[Состав]],Ингредиенты[],2,0)</f>
        <v>Специи</v>
      </c>
      <c r="F458" s="62">
        <v>0.01</v>
      </c>
      <c r="G458" s="42">
        <f>IF(Рецепты[[#This Row],[%]]*1000&gt;0,Рецепты[[#This Row],[%]]*1000,"")</f>
        <v>10</v>
      </c>
      <c r="H458" s="43">
        <f>IFERROR(VLOOKUP(Рецепты[[#This Row],[Состав]],Ингредиенты!A:I,3,0)*Рецепты[[#This Row],[г]],"")</f>
        <v>1.28</v>
      </c>
      <c r="I458" s="42">
        <f>СводРецепт!$A$1</f>
        <v>1000</v>
      </c>
      <c r="J458" s="42">
        <f>Рецепты[[#This Row],[%]]*Рецепты[[#This Row],[Масса]]</f>
        <v>10</v>
      </c>
      <c r="K458" s="43">
        <f>Рецепты[[#This Row],[Вес ингр-тов]]*VLOOKUP(Рецепты[[#This Row],[Состав]],Ингредиенты[],3,FALSE)</f>
        <v>1.28</v>
      </c>
      <c r="L458" s="41">
        <f>IF(VLOOKUP(Рецепты[[#This Row],[Состав]],Ингредиенты[],4,0)="Основа",VLOOKUP(Рецепты[[#This Row],[Способ]],Способ[],2,0),0%)</f>
        <v>0</v>
      </c>
      <c r="M458" s="41">
        <f>VLOOKUP(Рецепты[[#This Row],[Способ]],Способ[],3,0)</f>
        <v>0.7</v>
      </c>
      <c r="N458" s="43">
        <f>Рецепты[[#This Row],[р]]*100%/(100%-Рецепты[[#This Row],[Потери, %]])+Рецепты[[#This Row],[Маржа]]*(Рецепты[[#This Row],[р]]*100%)/(100%-Рецепты[[#This Row],[Потери, %]])</f>
        <v>2.1760000000000002</v>
      </c>
      <c r="O458" s="43">
        <f>Рецепты[[#This Row],[Цена за 1 кг]]-(Рецепты[[#This Row],[р]]*100%/(100%-Рецепты[[#This Row],[Потери, %]]))</f>
        <v>0.89600000000000013</v>
      </c>
      <c r="P458" s="30" t="s">
        <v>601</v>
      </c>
      <c r="Q458" s="40" t="s">
        <v>602</v>
      </c>
      <c r="R458" s="44" t="str">
        <f>VLOOKUP(Рецепты[[#This Row],[Состав]],Ингредиенты[],9,0)</f>
        <v>Да</v>
      </c>
      <c r="S458" s="52"/>
    </row>
    <row r="459" spans="1:19" x14ac:dyDescent="0.25">
      <c r="A459" s="40" t="s">
        <v>600</v>
      </c>
      <c r="B459" s="40" t="str">
        <f t="shared" si="74"/>
        <v>Колбаса</v>
      </c>
      <c r="C459" s="40" t="str">
        <f t="shared" si="75"/>
        <v>Вареное</v>
      </c>
      <c r="D459" s="40" t="s">
        <v>151</v>
      </c>
      <c r="E459" s="41" t="str">
        <f>VLOOKUP(Рецепты[[#This Row],[Состав]],Ингредиенты[],2,0)</f>
        <v>Специи</v>
      </c>
      <c r="F459" s="62">
        <v>0.01</v>
      </c>
      <c r="G459" s="42">
        <f>IF(Рецепты[[#This Row],[%]]*1000&gt;0,Рецепты[[#This Row],[%]]*1000,"")</f>
        <v>10</v>
      </c>
      <c r="H459" s="43">
        <f>IFERROR(VLOOKUP(Рецепты[[#This Row],[Состав]],Ингредиенты!A:I,3,0)*Рецепты[[#This Row],[г]],"")</f>
        <v>8.7833333333333332</v>
      </c>
      <c r="I459" s="42">
        <f>СводРецепт!$A$1</f>
        <v>1000</v>
      </c>
      <c r="J459" s="42">
        <f>Рецепты[[#This Row],[%]]*Рецепты[[#This Row],[Масса]]</f>
        <v>10</v>
      </c>
      <c r="K459" s="43">
        <f>Рецепты[[#This Row],[Вес ингр-тов]]*VLOOKUP(Рецепты[[#This Row],[Состав]],Ингредиенты[],3,FALSE)</f>
        <v>8.7833333333333332</v>
      </c>
      <c r="L459" s="41">
        <f>IF(VLOOKUP(Рецепты[[#This Row],[Состав]],Ингредиенты[],4,0)="Основа",VLOOKUP(Рецепты[[#This Row],[Способ]],Способ[],2,0),0%)</f>
        <v>0</v>
      </c>
      <c r="M459" s="41">
        <f>VLOOKUP(Рецепты[[#This Row],[Способ]],Способ[],3,0)</f>
        <v>0.7</v>
      </c>
      <c r="N459" s="43">
        <f>Рецепты[[#This Row],[р]]*100%/(100%-Рецепты[[#This Row],[Потери, %]])+Рецепты[[#This Row],[Маржа]]*(Рецепты[[#This Row],[р]]*100%)/(100%-Рецепты[[#This Row],[Потери, %]])</f>
        <v>14.931666666666665</v>
      </c>
      <c r="O459" s="43">
        <f>Рецепты[[#This Row],[Цена за 1 кг]]-(Рецепты[[#This Row],[р]]*100%/(100%-Рецепты[[#This Row],[Потери, %]]))</f>
        <v>6.1483333333333317</v>
      </c>
      <c r="P459" s="30" t="s">
        <v>601</v>
      </c>
      <c r="Q459" s="40" t="s">
        <v>602</v>
      </c>
      <c r="R459" s="44" t="str">
        <f>VLOOKUP(Рецепты[[#This Row],[Состав]],Ингредиенты[],9,0)</f>
        <v>Да</v>
      </c>
      <c r="S459" s="52"/>
    </row>
    <row r="460" spans="1:19" x14ac:dyDescent="0.25">
      <c r="A460" s="40" t="s">
        <v>600</v>
      </c>
      <c r="B460" s="40" t="str">
        <f t="shared" ref="B460:B463" si="76">B459</f>
        <v>Колбаса</v>
      </c>
      <c r="C460" s="40" t="str">
        <f t="shared" ref="C460:C463" si="77">C459</f>
        <v>Вареное</v>
      </c>
      <c r="D460" s="40" t="s">
        <v>157</v>
      </c>
      <c r="E460" s="41" t="str">
        <f>VLOOKUP(Рецепты[[#This Row],[Состав]],Ингредиенты[],2,0)</f>
        <v>Специи</v>
      </c>
      <c r="F460" s="62">
        <v>2E-3</v>
      </c>
      <c r="G460" s="42">
        <f>IF(Рецепты[[#This Row],[%]]*1000&gt;0,Рецепты[[#This Row],[%]]*1000,"")</f>
        <v>2</v>
      </c>
      <c r="H460" s="43">
        <f>IFERROR(VLOOKUP(Рецепты[[#This Row],[Состав]],Ингредиенты!A:I,3,0)*Рецепты[[#This Row],[г]],"")</f>
        <v>1.496</v>
      </c>
      <c r="I460" s="42">
        <f>СводРецепт!$A$1</f>
        <v>1000</v>
      </c>
      <c r="J460" s="42">
        <f>Рецепты[[#This Row],[%]]*Рецепты[[#This Row],[Масса]]</f>
        <v>2</v>
      </c>
      <c r="K460" s="43">
        <f>Рецепты[[#This Row],[Вес ингр-тов]]*VLOOKUP(Рецепты[[#This Row],[Состав]],Ингредиенты[],3,FALSE)</f>
        <v>1.496</v>
      </c>
      <c r="L460" s="41">
        <f>IF(VLOOKUP(Рецепты[[#This Row],[Состав]],Ингредиенты[],4,0)="Основа",VLOOKUP(Рецепты[[#This Row],[Способ]],Способ[],2,0),0%)</f>
        <v>0</v>
      </c>
      <c r="M460" s="41">
        <f>VLOOKUP(Рецепты[[#This Row],[Способ]],Способ[],3,0)</f>
        <v>0.7</v>
      </c>
      <c r="N460" s="43">
        <f>Рецепты[[#This Row],[р]]*100%/(100%-Рецепты[[#This Row],[Потери, %]])+Рецепты[[#This Row],[Маржа]]*(Рецепты[[#This Row],[р]]*100%)/(100%-Рецепты[[#This Row],[Потери, %]])</f>
        <v>2.5431999999999997</v>
      </c>
      <c r="O460" s="43">
        <f>Рецепты[[#This Row],[Цена за 1 кг]]-(Рецепты[[#This Row],[р]]*100%/(100%-Рецепты[[#This Row],[Потери, %]]))</f>
        <v>1.0471999999999997</v>
      </c>
      <c r="P460" s="30" t="s">
        <v>601</v>
      </c>
      <c r="Q460" s="40" t="s">
        <v>602</v>
      </c>
      <c r="R460" s="44" t="str">
        <f>VLOOKUP(Рецепты[[#This Row],[Состав]],Ингредиенты[],9,0)</f>
        <v>Да</v>
      </c>
      <c r="S460" s="52"/>
    </row>
    <row r="461" spans="1:19" x14ac:dyDescent="0.25">
      <c r="A461" s="40" t="s">
        <v>600</v>
      </c>
      <c r="B461" s="40" t="str">
        <f t="shared" si="76"/>
        <v>Колбаса</v>
      </c>
      <c r="C461" s="40" t="str">
        <f t="shared" si="77"/>
        <v>Вареное</v>
      </c>
      <c r="D461" s="40" t="s">
        <v>131</v>
      </c>
      <c r="E461" s="41" t="str">
        <f>VLOOKUP(Рецепты[[#This Row],[Состав]],Ингредиенты[],2,0)</f>
        <v>Специи</v>
      </c>
      <c r="F461" s="62">
        <v>1.1000000000000001E-3</v>
      </c>
      <c r="G461" s="42">
        <f>IF(Рецепты[[#This Row],[%]]*1000&gt;0,Рецепты[[#This Row],[%]]*1000,"")</f>
        <v>1.1000000000000001</v>
      </c>
      <c r="H461" s="43">
        <f>IFERROR(VLOOKUP(Рецепты[[#This Row],[Состав]],Ингредиенты!A:I,3,0)*Рецепты[[#This Row],[г]],"")</f>
        <v>8.8970588235294135E-2</v>
      </c>
      <c r="I461" s="42">
        <f>СводРецепт!$A$1</f>
        <v>1000</v>
      </c>
      <c r="J461" s="42">
        <f>Рецепты[[#This Row],[%]]*Рецепты[[#This Row],[Масса]]</f>
        <v>1.1000000000000001</v>
      </c>
      <c r="K461" s="43">
        <f>Рецепты[[#This Row],[Вес ингр-тов]]*VLOOKUP(Рецепты[[#This Row],[Состав]],Ингредиенты[],3,FALSE)</f>
        <v>8.8970588235294135E-2</v>
      </c>
      <c r="L461" s="41">
        <f>IF(VLOOKUP(Рецепты[[#This Row],[Состав]],Ингредиенты[],4,0)="Основа",VLOOKUP(Рецепты[[#This Row],[Способ]],Способ[],2,0),0%)</f>
        <v>0</v>
      </c>
      <c r="M461" s="41">
        <f>VLOOKUP(Рецепты[[#This Row],[Способ]],Способ[],3,0)</f>
        <v>0.7</v>
      </c>
      <c r="N461" s="43">
        <f>Рецепты[[#This Row],[р]]*100%/(100%-Рецепты[[#This Row],[Потери, %]])+Рецепты[[#This Row],[Маржа]]*(Рецепты[[#This Row],[р]]*100%)/(100%-Рецепты[[#This Row],[Потери, %]])</f>
        <v>0.15125000000000002</v>
      </c>
      <c r="O461" s="43">
        <f>Рецепты[[#This Row],[Цена за 1 кг]]-(Рецепты[[#This Row],[р]]*100%/(100%-Рецепты[[#This Row],[Потери, %]]))</f>
        <v>6.2279411764705889E-2</v>
      </c>
      <c r="P461" s="30" t="s">
        <v>601</v>
      </c>
      <c r="Q461" s="40" t="s">
        <v>602</v>
      </c>
      <c r="R461" s="44" t="str">
        <f>VLOOKUP(Рецепты[[#This Row],[Состав]],Ингредиенты[],9,0)</f>
        <v>Да</v>
      </c>
      <c r="S461" s="52"/>
    </row>
    <row r="462" spans="1:19" x14ac:dyDescent="0.25">
      <c r="A462" s="40" t="s">
        <v>600</v>
      </c>
      <c r="B462" s="40" t="str">
        <f t="shared" si="76"/>
        <v>Колбаса</v>
      </c>
      <c r="C462" s="40" t="str">
        <f t="shared" si="77"/>
        <v>Вареное</v>
      </c>
      <c r="D462" s="40" t="s">
        <v>153</v>
      </c>
      <c r="E462" s="41" t="str">
        <f>VLOOKUP(Рецепты[[#This Row],[Состав]],Ингредиенты[],2,0)</f>
        <v>Специи</v>
      </c>
      <c r="F462" s="62">
        <v>5.5000000000000003E-4</v>
      </c>
      <c r="G462" s="42">
        <f>IF(Рецепты[[#This Row],[%]]*1000&gt;0,Рецепты[[#This Row],[%]]*1000,"")</f>
        <v>0.55000000000000004</v>
      </c>
      <c r="H462" s="43">
        <f>IFERROR(VLOOKUP(Рецепты[[#This Row],[Состав]],Ингредиенты!A:I,3,0)*Рецепты[[#This Row],[г]],"")</f>
        <v>0.83233333333333348</v>
      </c>
      <c r="I462" s="42">
        <f>СводРецепт!$A$1</f>
        <v>1000</v>
      </c>
      <c r="J462" s="42">
        <f>Рецепты[[#This Row],[%]]*Рецепты[[#This Row],[Масса]]</f>
        <v>0.55000000000000004</v>
      </c>
      <c r="K462" s="43">
        <f>Рецепты[[#This Row],[Вес ингр-тов]]*VLOOKUP(Рецепты[[#This Row],[Состав]],Ингредиенты[],3,FALSE)</f>
        <v>0.83233333333333348</v>
      </c>
      <c r="L462" s="41">
        <f>IF(VLOOKUP(Рецепты[[#This Row],[Состав]],Ингредиенты[],4,0)="Основа",VLOOKUP(Рецепты[[#This Row],[Способ]],Способ[],2,0),0%)</f>
        <v>0</v>
      </c>
      <c r="M462" s="41">
        <f>VLOOKUP(Рецепты[[#This Row],[Способ]],Способ[],3,0)</f>
        <v>0.7</v>
      </c>
      <c r="N462" s="43">
        <f>Рецепты[[#This Row],[р]]*100%/(100%-Рецепты[[#This Row],[Потери, %]])+Рецепты[[#This Row],[Маржа]]*(Рецепты[[#This Row],[р]]*100%)/(100%-Рецепты[[#This Row],[Потери, %]])</f>
        <v>1.4149666666666669</v>
      </c>
      <c r="O462" s="43">
        <f>Рецепты[[#This Row],[Цена за 1 кг]]-(Рецепты[[#This Row],[р]]*100%/(100%-Рецепты[[#This Row],[Потери, %]]))</f>
        <v>0.58263333333333345</v>
      </c>
      <c r="P462" s="30" t="s">
        <v>601</v>
      </c>
      <c r="Q462" s="40" t="s">
        <v>602</v>
      </c>
      <c r="R462" s="44" t="str">
        <f>VLOOKUP(Рецепты[[#This Row],[Состав]],Ингредиенты[],9,0)</f>
        <v>Да</v>
      </c>
      <c r="S462" s="52"/>
    </row>
    <row r="463" spans="1:19" x14ac:dyDescent="0.25">
      <c r="A463" s="40" t="s">
        <v>600</v>
      </c>
      <c r="B463" s="40" t="str">
        <f t="shared" si="76"/>
        <v>Колбаса</v>
      </c>
      <c r="C463" s="40" t="str">
        <f t="shared" si="77"/>
        <v>Вареное</v>
      </c>
      <c r="D463" s="40" t="s">
        <v>133</v>
      </c>
      <c r="E463" s="41" t="str">
        <f>VLOOKUP(Рецепты[[#This Row],[Состав]],Ингредиенты[],2,0)</f>
        <v>Специи</v>
      </c>
      <c r="F463" s="62">
        <v>8.4999999999999995E-4</v>
      </c>
      <c r="G463" s="42">
        <f>IF(Рецепты[[#This Row],[%]]*1000&gt;0,Рецепты[[#This Row],[%]]*1000,"")</f>
        <v>0.85</v>
      </c>
      <c r="H463" s="43">
        <f>IFERROR(VLOOKUP(Рецепты[[#This Row],[Состав]],Ингредиенты!A:I,3,0)*Рецепты[[#This Row],[г]],"")</f>
        <v>0.93036363636363628</v>
      </c>
      <c r="I463" s="42">
        <f>СводРецепт!$A$1</f>
        <v>1000</v>
      </c>
      <c r="J463" s="42">
        <f>Рецепты[[#This Row],[%]]*Рецепты[[#This Row],[Масса]]</f>
        <v>0.85</v>
      </c>
      <c r="K463" s="43">
        <f>Рецепты[[#This Row],[Вес ингр-тов]]*VLOOKUP(Рецепты[[#This Row],[Состав]],Ингредиенты[],3,FALSE)</f>
        <v>0.93036363636363628</v>
      </c>
      <c r="L463" s="41">
        <f>IF(VLOOKUP(Рецепты[[#This Row],[Состав]],Ингредиенты[],4,0)="Основа",VLOOKUP(Рецепты[[#This Row],[Способ]],Способ[],2,0),0%)</f>
        <v>0</v>
      </c>
      <c r="M463" s="41">
        <f>VLOOKUP(Рецепты[[#This Row],[Способ]],Способ[],3,0)</f>
        <v>0.7</v>
      </c>
      <c r="N463" s="43">
        <f>Рецепты[[#This Row],[р]]*100%/(100%-Рецепты[[#This Row],[Потери, %]])+Рецепты[[#This Row],[Маржа]]*(Рецепты[[#This Row],[р]]*100%)/(100%-Рецепты[[#This Row],[Потери, %]])</f>
        <v>1.5816181818181816</v>
      </c>
      <c r="O463" s="43">
        <f>Рецепты[[#This Row],[Цена за 1 кг]]-(Рецепты[[#This Row],[р]]*100%/(100%-Рецепты[[#This Row],[Потери, %]]))</f>
        <v>0.65125454545454531</v>
      </c>
      <c r="P463" s="30" t="s">
        <v>601</v>
      </c>
      <c r="Q463" s="40" t="s">
        <v>602</v>
      </c>
      <c r="R463" s="44" t="str">
        <f>VLOOKUP(Рецепты[[#This Row],[Состав]],Ингредиенты[],9,0)</f>
        <v>Да</v>
      </c>
      <c r="S463" s="52"/>
    </row>
    <row r="464" spans="1:19" x14ac:dyDescent="0.25">
      <c r="A464" s="40" t="s">
        <v>603</v>
      </c>
      <c r="B464" s="40" t="s">
        <v>30</v>
      </c>
      <c r="C464" s="40" t="s">
        <v>30</v>
      </c>
      <c r="D464" s="40" t="s">
        <v>56</v>
      </c>
      <c r="E464" s="41" t="str">
        <f>VLOOKUP(Рецепты[[#This Row],[Состав]],Ингредиенты[],2,0)</f>
        <v>Свинина</v>
      </c>
      <c r="F464" s="62">
        <v>0.8</v>
      </c>
      <c r="G464" s="42">
        <f>IF(Рецепты[[#This Row],[%]]*1000&gt;0,Рецепты[[#This Row],[%]]*1000,"")</f>
        <v>800</v>
      </c>
      <c r="H464" s="43">
        <f>IFERROR(VLOOKUP(Рецепты[[#This Row],[Состав]],Ингредиенты!A:I,3,0)*Рецепты[[#This Row],[г]],"")</f>
        <v>223.99200000000002</v>
      </c>
      <c r="I464" s="42">
        <f>СводРецепт!$A$1</f>
        <v>1000</v>
      </c>
      <c r="J464" s="42">
        <f>Рецепты[[#This Row],[%]]*Рецепты[[#This Row],[Масса]]</f>
        <v>800</v>
      </c>
      <c r="K464" s="43">
        <f>Рецепты[[#This Row],[Вес ингр-тов]]*VLOOKUP(Рецепты[[#This Row],[Состав]],Ингредиенты[],3,FALSE)</f>
        <v>223.99200000000002</v>
      </c>
      <c r="L464" s="41">
        <f>IF(VLOOKUP(Рецепты[[#This Row],[Состав]],Ингредиенты[],4,0)="Основа",VLOOKUP(Рецепты[[#This Row],[Способ]],Способ[],2,0),0%)</f>
        <v>0.05</v>
      </c>
      <c r="M464" s="41">
        <f>VLOOKUP(Рецепты[[#This Row],[Способ]],Способ[],3,0)</f>
        <v>0.5</v>
      </c>
      <c r="N464" s="43">
        <f>Рецепты[[#This Row],[р]]*100%/(100%-Рецепты[[#This Row],[Потери, %]])+Рецепты[[#This Row],[Маржа]]*(Рецепты[[#This Row],[р]]*100%)/(100%-Рецепты[[#This Row],[Потери, %]])</f>
        <v>353.67157894736846</v>
      </c>
      <c r="O464" s="43">
        <f>Рецепты[[#This Row],[Цена за 1 кг]]-(Рецепты[[#This Row],[р]]*100%/(100%-Рецепты[[#This Row],[Потери, %]]))</f>
        <v>117.89052631578949</v>
      </c>
      <c r="P464" s="29" t="s">
        <v>604</v>
      </c>
      <c r="Q464" s="40"/>
      <c r="R464" s="44" t="str">
        <f>VLOOKUP(Рецепты[[#This Row],[Состав]],Ингредиенты[],9,0)</f>
        <v>Нет</v>
      </c>
      <c r="S464" s="52"/>
    </row>
    <row r="465" spans="1:19" x14ac:dyDescent="0.25">
      <c r="A465" s="40" t="s">
        <v>603</v>
      </c>
      <c r="B465" s="40" t="str">
        <f t="shared" ref="B465:B478" si="78">B464</f>
        <v>Еда</v>
      </c>
      <c r="C465" s="40" t="str">
        <f t="shared" ref="C465:C473" si="79">C464</f>
        <v>Еда</v>
      </c>
      <c r="D465" s="40" t="s">
        <v>67</v>
      </c>
      <c r="E465" s="41" t="str">
        <f>VLOOKUP(Рецепты[[#This Row],[Состав]],Ингредиенты[],2,0)</f>
        <v>Птица</v>
      </c>
      <c r="F465" s="62">
        <v>0.2</v>
      </c>
      <c r="G465" s="42">
        <f>IF(Рецепты[[#This Row],[%]]*1000&gt;0,Рецепты[[#This Row],[%]]*1000,"")</f>
        <v>200</v>
      </c>
      <c r="H465" s="43">
        <f>IFERROR(VLOOKUP(Рецепты[[#This Row],[Состав]],Ингредиенты!A:I,3,0)*Рецепты[[#This Row],[г]],"")</f>
        <v>40</v>
      </c>
      <c r="I465" s="42">
        <f>СводРецепт!$A$1</f>
        <v>1000</v>
      </c>
      <c r="J465" s="42">
        <f>Рецепты[[#This Row],[%]]*Рецепты[[#This Row],[Масса]]</f>
        <v>200</v>
      </c>
      <c r="K465" s="43">
        <f>Рецепты[[#This Row],[Вес ингр-тов]]*VLOOKUP(Рецепты[[#This Row],[Состав]],Ингредиенты[],3,FALSE)</f>
        <v>40</v>
      </c>
      <c r="L465" s="41">
        <f>IF(VLOOKUP(Рецепты[[#This Row],[Состав]],Ингредиенты[],4,0)="Основа",VLOOKUP(Рецепты[[#This Row],[Способ]],Способ[],2,0),0%)</f>
        <v>0.05</v>
      </c>
      <c r="M465" s="41">
        <f>VLOOKUP(Рецепты[[#This Row],[Способ]],Способ[],3,0)</f>
        <v>0.5</v>
      </c>
      <c r="N465" s="43">
        <f>Рецепты[[#This Row],[р]]*100%/(100%-Рецепты[[#This Row],[Потери, %]])+Рецепты[[#This Row],[Маржа]]*(Рецепты[[#This Row],[р]]*100%)/(100%-Рецепты[[#This Row],[Потери, %]])</f>
        <v>63.15789473684211</v>
      </c>
      <c r="O465" s="43">
        <f>Рецепты[[#This Row],[Цена за 1 кг]]-(Рецепты[[#This Row],[р]]*100%/(100%-Рецепты[[#This Row],[Потери, %]]))</f>
        <v>21.05263157894737</v>
      </c>
      <c r="P465" s="29" t="s">
        <v>604</v>
      </c>
      <c r="Q465" s="40"/>
      <c r="R465" s="44" t="str">
        <f>VLOOKUP(Рецепты[[#This Row],[Состав]],Ингредиенты[],9,0)</f>
        <v>Да</v>
      </c>
      <c r="S465" s="52"/>
    </row>
    <row r="466" spans="1:19" x14ac:dyDescent="0.25">
      <c r="A466" s="40" t="s">
        <v>603</v>
      </c>
      <c r="B466" s="40" t="str">
        <f t="shared" si="78"/>
        <v>Еда</v>
      </c>
      <c r="C466" s="40" t="str">
        <f t="shared" si="79"/>
        <v>Еда</v>
      </c>
      <c r="D466" s="40" t="s">
        <v>93</v>
      </c>
      <c r="E466" s="41" t="str">
        <f>VLOOKUP(Рецепты[[#This Row],[Состав]],Ингредиенты[],2,0)</f>
        <v>Добавки</v>
      </c>
      <c r="F466" s="62">
        <v>2.4</v>
      </c>
      <c r="G466" s="42">
        <f>IF(Рецепты[[#This Row],[%]]*1000&gt;0,Рецепты[[#This Row],[%]]*1000,"")</f>
        <v>2400</v>
      </c>
      <c r="H466" s="43">
        <f>IFERROR(VLOOKUP(Рецепты[[#This Row],[Состав]],Ингредиенты!A:I,3,0)*Рецепты[[#This Row],[г]],"")</f>
        <v>2.4</v>
      </c>
      <c r="I466" s="42">
        <f>СводРецепт!$A$1</f>
        <v>1000</v>
      </c>
      <c r="J466" s="42">
        <f>Рецепты[[#This Row],[%]]*Рецепты[[#This Row],[Масса]]</f>
        <v>2400</v>
      </c>
      <c r="K466" s="43">
        <f>Рецепты[[#This Row],[Вес ингр-тов]]*VLOOKUP(Рецепты[[#This Row],[Состав]],Ингредиенты[],3,FALSE)</f>
        <v>2.4</v>
      </c>
      <c r="L466" s="41">
        <f>IF(VLOOKUP(Рецепты[[#This Row],[Состав]],Ингредиенты[],4,0)="Основа",VLOOKUP(Рецепты[[#This Row],[Способ]],Способ[],2,0),0%)</f>
        <v>0</v>
      </c>
      <c r="M466" s="41">
        <f>VLOOKUP(Рецепты[[#This Row],[Способ]],Способ[],3,0)</f>
        <v>0.5</v>
      </c>
      <c r="N466" s="43">
        <f>Рецепты[[#This Row],[р]]*100%/(100%-Рецепты[[#This Row],[Потери, %]])+Рецепты[[#This Row],[Маржа]]*(Рецепты[[#This Row],[р]]*100%)/(100%-Рецепты[[#This Row],[Потери, %]])</f>
        <v>3.5999999999999996</v>
      </c>
      <c r="O466" s="43">
        <f>Рецепты[[#This Row],[Цена за 1 кг]]-(Рецепты[[#This Row],[р]]*100%/(100%-Рецепты[[#This Row],[Потери, %]]))</f>
        <v>1.1999999999999997</v>
      </c>
      <c r="P466" s="29" t="s">
        <v>604</v>
      </c>
      <c r="Q466" s="40"/>
      <c r="R466" s="44" t="str">
        <f>VLOOKUP(Рецепты[[#This Row],[Состав]],Ингредиенты[],9,0)</f>
        <v>Да</v>
      </c>
      <c r="S466" s="52"/>
    </row>
    <row r="467" spans="1:19" x14ac:dyDescent="0.25">
      <c r="A467" s="40" t="s">
        <v>603</v>
      </c>
      <c r="B467" s="40" t="str">
        <f t="shared" si="78"/>
        <v>Еда</v>
      </c>
      <c r="C467" s="40" t="str">
        <f t="shared" si="79"/>
        <v>Еда</v>
      </c>
      <c r="D467" s="40" t="s">
        <v>87</v>
      </c>
      <c r="E467" s="41" t="str">
        <f>VLOOKUP(Рецепты[[#This Row],[Состав]],Ингредиенты[],2,0)</f>
        <v>Специи</v>
      </c>
      <c r="F467" s="62">
        <v>0.1</v>
      </c>
      <c r="G467" s="42">
        <f>IF(Рецепты[[#This Row],[%]]*1000&gt;0,Рецепты[[#This Row],[%]]*1000,"")</f>
        <v>100</v>
      </c>
      <c r="H467" s="43">
        <f>IFERROR(VLOOKUP(Рецепты[[#This Row],[Состав]],Ингредиенты!A:I,3,0)*Рецепты[[#This Row],[г]],"")</f>
        <v>2.9990000000000001</v>
      </c>
      <c r="I467" s="42">
        <f>СводРецепт!$A$1</f>
        <v>1000</v>
      </c>
      <c r="J467" s="42">
        <f>Рецепты[[#This Row],[%]]*Рецепты[[#This Row],[Масса]]</f>
        <v>100</v>
      </c>
      <c r="K467" s="43">
        <f>Рецепты[[#This Row],[Вес ингр-тов]]*VLOOKUP(Рецепты[[#This Row],[Состав]],Ингредиенты[],3,FALSE)</f>
        <v>2.9990000000000001</v>
      </c>
      <c r="L467" s="41">
        <f>IF(VLOOKUP(Рецепты[[#This Row],[Состав]],Ингредиенты[],4,0)="Основа",VLOOKUP(Рецепты[[#This Row],[Способ]],Способ[],2,0),0%)</f>
        <v>0</v>
      </c>
      <c r="M467" s="41">
        <f>VLOOKUP(Рецепты[[#This Row],[Способ]],Способ[],3,0)</f>
        <v>0.5</v>
      </c>
      <c r="N467" s="43">
        <f>Рецепты[[#This Row],[р]]*100%/(100%-Рецепты[[#This Row],[Потери, %]])+Рецепты[[#This Row],[Маржа]]*(Рецепты[[#This Row],[р]]*100%)/(100%-Рецепты[[#This Row],[Потери, %]])</f>
        <v>4.4984999999999999</v>
      </c>
      <c r="O467" s="43">
        <f>Рецепты[[#This Row],[Цена за 1 кг]]-(Рецепты[[#This Row],[р]]*100%/(100%-Рецепты[[#This Row],[Потери, %]]))</f>
        <v>1.4994999999999998</v>
      </c>
      <c r="P467" s="29" t="s">
        <v>604</v>
      </c>
      <c r="Q467" s="40"/>
      <c r="R467" s="44" t="str">
        <f>VLOOKUP(Рецепты[[#This Row],[Состав]],Ингредиенты[],9,0)</f>
        <v>Да</v>
      </c>
      <c r="S467" s="52"/>
    </row>
    <row r="468" spans="1:19" x14ac:dyDescent="0.25">
      <c r="A468" s="40" t="s">
        <v>603</v>
      </c>
      <c r="B468" s="40" t="str">
        <f t="shared" si="78"/>
        <v>Еда</v>
      </c>
      <c r="C468" s="40" t="str">
        <f t="shared" si="79"/>
        <v>Еда</v>
      </c>
      <c r="D468" s="40" t="s">
        <v>191</v>
      </c>
      <c r="E468" s="41" t="str">
        <f>VLOOKUP(Рецепты[[#This Row],[Состав]],Ингредиенты[],2,0)</f>
        <v>Специи</v>
      </c>
      <c r="F468" s="62">
        <v>0.04</v>
      </c>
      <c r="G468" s="42">
        <f>IF(Рецепты[[#This Row],[%]]*1000&gt;0,Рецепты[[#This Row],[%]]*1000,"")</f>
        <v>40</v>
      </c>
      <c r="H468" s="43">
        <f>IFERROR(VLOOKUP(Рецепты[[#This Row],[Состав]],Ингредиенты!A:I,3,0)*Рецепты[[#This Row],[г]],"")</f>
        <v>1.9996</v>
      </c>
      <c r="I468" s="42">
        <f>СводРецепт!$A$1</f>
        <v>1000</v>
      </c>
      <c r="J468" s="42">
        <f>Рецепты[[#This Row],[%]]*Рецепты[[#This Row],[Масса]]</f>
        <v>40</v>
      </c>
      <c r="K468" s="43">
        <f>Рецепты[[#This Row],[Вес ингр-тов]]*VLOOKUP(Рецепты[[#This Row],[Состав]],Ингредиенты[],3,FALSE)</f>
        <v>1.9996</v>
      </c>
      <c r="L468" s="41">
        <f>IF(VLOOKUP(Рецепты[[#This Row],[Состав]],Ингредиенты[],4,0)="Основа",VLOOKUP(Рецепты[[#This Row],[Способ]],Способ[],2,0),0%)</f>
        <v>0</v>
      </c>
      <c r="M468" s="41">
        <f>VLOOKUP(Рецепты[[#This Row],[Способ]],Способ[],3,0)</f>
        <v>0.5</v>
      </c>
      <c r="N468" s="43">
        <f>Рецепты[[#This Row],[р]]*100%/(100%-Рецепты[[#This Row],[Потери, %]])+Рецепты[[#This Row],[Маржа]]*(Рецепты[[#This Row],[р]]*100%)/(100%-Рецепты[[#This Row],[Потери, %]])</f>
        <v>2.9994000000000001</v>
      </c>
      <c r="O468" s="43">
        <f>Рецепты[[#This Row],[Цена за 1 кг]]-(Рецепты[[#This Row],[р]]*100%/(100%-Рецепты[[#This Row],[Потери, %]]))</f>
        <v>0.99980000000000002</v>
      </c>
      <c r="P468" s="29" t="s">
        <v>604</v>
      </c>
      <c r="Q468" s="40"/>
      <c r="R468" s="44" t="str">
        <f>VLOOKUP(Рецепты[[#This Row],[Состав]],Ингредиенты[],9,0)</f>
        <v>Да</v>
      </c>
      <c r="S468" s="52"/>
    </row>
    <row r="469" spans="1:19" x14ac:dyDescent="0.25">
      <c r="A469" s="40" t="s">
        <v>603</v>
      </c>
      <c r="B469" s="40" t="str">
        <f t="shared" si="78"/>
        <v>Еда</v>
      </c>
      <c r="C469" s="40" t="str">
        <f t="shared" si="79"/>
        <v>Еда</v>
      </c>
      <c r="D469" s="40" t="s">
        <v>151</v>
      </c>
      <c r="E469" s="41" t="str">
        <f>VLOOKUP(Рецепты[[#This Row],[Состав]],Ингредиенты[],2,0)</f>
        <v>Специи</v>
      </c>
      <c r="F469" s="62">
        <v>0.01</v>
      </c>
      <c r="G469" s="42">
        <f>IF(Рецепты[[#This Row],[%]]*1000&gt;0,Рецепты[[#This Row],[%]]*1000,"")</f>
        <v>10</v>
      </c>
      <c r="H469" s="43">
        <f>IFERROR(VLOOKUP(Рецепты[[#This Row],[Состав]],Ингредиенты!A:I,3,0)*Рецепты[[#This Row],[г]],"")</f>
        <v>8.7833333333333332</v>
      </c>
      <c r="I469" s="42">
        <f>СводРецепт!$A$1</f>
        <v>1000</v>
      </c>
      <c r="J469" s="42">
        <f>Рецепты[[#This Row],[%]]*Рецепты[[#This Row],[Масса]]</f>
        <v>10</v>
      </c>
      <c r="K469" s="43">
        <f>Рецепты[[#This Row],[Вес ингр-тов]]*VLOOKUP(Рецепты[[#This Row],[Состав]],Ингредиенты[],3,FALSE)</f>
        <v>8.7833333333333332</v>
      </c>
      <c r="L469" s="41">
        <f>IF(VLOOKUP(Рецепты[[#This Row],[Состав]],Ингредиенты[],4,0)="Основа",VLOOKUP(Рецепты[[#This Row],[Способ]],Способ[],2,0),0%)</f>
        <v>0</v>
      </c>
      <c r="M469" s="41">
        <f>VLOOKUP(Рецепты[[#This Row],[Способ]],Способ[],3,0)</f>
        <v>0.5</v>
      </c>
      <c r="N469" s="43">
        <f>Рецепты[[#This Row],[р]]*100%/(100%-Рецепты[[#This Row],[Потери, %]])+Рецепты[[#This Row],[Маржа]]*(Рецепты[[#This Row],[р]]*100%)/(100%-Рецепты[[#This Row],[Потери, %]])</f>
        <v>13.175000000000001</v>
      </c>
      <c r="O469" s="43">
        <f>Рецепты[[#This Row],[Цена за 1 кг]]-(Рецепты[[#This Row],[р]]*100%/(100%-Рецепты[[#This Row],[Потери, %]]))</f>
        <v>4.3916666666666675</v>
      </c>
      <c r="P469" s="29" t="s">
        <v>604</v>
      </c>
      <c r="Q469" s="40"/>
      <c r="R469" s="44" t="str">
        <f>VLOOKUP(Рецепты[[#This Row],[Состав]],Ингредиенты[],9,0)</f>
        <v>Да</v>
      </c>
      <c r="S469" s="52"/>
    </row>
    <row r="470" spans="1:19" x14ac:dyDescent="0.25">
      <c r="A470" s="40" t="s">
        <v>603</v>
      </c>
      <c r="B470" s="40" t="str">
        <f t="shared" si="78"/>
        <v>Еда</v>
      </c>
      <c r="C470" s="40" t="str">
        <f t="shared" si="79"/>
        <v>Еда</v>
      </c>
      <c r="D470" s="40" t="s">
        <v>128</v>
      </c>
      <c r="E470" s="41" t="str">
        <f>VLOOKUP(Рецепты[[#This Row],[Состав]],Ингредиенты[],2,0)</f>
        <v>Специи</v>
      </c>
      <c r="F470" s="62">
        <v>7.0000000000000001E-3</v>
      </c>
      <c r="G470" s="42">
        <f>IF(Рецепты[[#This Row],[%]]*1000&gt;0,Рецепты[[#This Row],[%]]*1000,"")</f>
        <v>7</v>
      </c>
      <c r="H470" s="43">
        <f>IFERROR(VLOOKUP(Рецепты[[#This Row],[Состав]],Ингредиенты!A:I,3,0)*Рецепты[[#This Row],[г]],"")</f>
        <v>0.26950000000000002</v>
      </c>
      <c r="I470" s="42">
        <f>СводРецепт!$A$1</f>
        <v>1000</v>
      </c>
      <c r="J470" s="42">
        <f>Рецепты[[#This Row],[%]]*Рецепты[[#This Row],[Масса]]</f>
        <v>7</v>
      </c>
      <c r="K470" s="43">
        <f>Рецепты[[#This Row],[Вес ингр-тов]]*VLOOKUP(Рецепты[[#This Row],[Состав]],Ингредиенты[],3,FALSE)</f>
        <v>0.26950000000000002</v>
      </c>
      <c r="L470" s="41">
        <f>IF(VLOOKUP(Рецепты[[#This Row],[Состав]],Ингредиенты[],4,0)="Основа",VLOOKUP(Рецепты[[#This Row],[Способ]],Способ[],2,0),0%)</f>
        <v>0</v>
      </c>
      <c r="M470" s="41">
        <f>VLOOKUP(Рецепты[[#This Row],[Способ]],Способ[],3,0)</f>
        <v>0.5</v>
      </c>
      <c r="N470" s="43">
        <f>Рецепты[[#This Row],[р]]*100%/(100%-Рецепты[[#This Row],[Потери, %]])+Рецепты[[#This Row],[Маржа]]*(Рецепты[[#This Row],[р]]*100%)/(100%-Рецепты[[#This Row],[Потери, %]])</f>
        <v>0.40425</v>
      </c>
      <c r="O470" s="43">
        <f>Рецепты[[#This Row],[Цена за 1 кг]]-(Рецепты[[#This Row],[р]]*100%/(100%-Рецепты[[#This Row],[Потери, %]]))</f>
        <v>0.13474999999999998</v>
      </c>
      <c r="P470" s="29" t="s">
        <v>604</v>
      </c>
      <c r="Q470" s="40"/>
      <c r="R470" s="44" t="str">
        <f>VLOOKUP(Рецепты[[#This Row],[Состав]],Ингредиенты[],9,0)</f>
        <v>Да</v>
      </c>
      <c r="S470" s="52"/>
    </row>
    <row r="471" spans="1:19" x14ac:dyDescent="0.25">
      <c r="A471" s="40" t="s">
        <v>603</v>
      </c>
      <c r="B471" s="40" t="str">
        <f t="shared" si="78"/>
        <v>Еда</v>
      </c>
      <c r="C471" s="40" t="str">
        <f t="shared" si="79"/>
        <v>Еда</v>
      </c>
      <c r="D471" s="40" t="s">
        <v>189</v>
      </c>
      <c r="E471" s="41" t="str">
        <f>VLOOKUP(Рецепты[[#This Row],[Состав]],Ингредиенты[],2,0)</f>
        <v>Специи</v>
      </c>
      <c r="F471" s="62">
        <v>2E-3</v>
      </c>
      <c r="G471" s="42">
        <f>IF(Рецепты[[#This Row],[%]]*1000&gt;0,Рецепты[[#This Row],[%]]*1000,"")</f>
        <v>2</v>
      </c>
      <c r="H471" s="43">
        <f>IFERROR(VLOOKUP(Рецепты[[#This Row],[Состав]],Ингредиенты!A:I,3,0)*Рецепты[[#This Row],[г]],"")</f>
        <v>9.36</v>
      </c>
      <c r="I471" s="42">
        <f>СводРецепт!$A$1</f>
        <v>1000</v>
      </c>
      <c r="J471" s="42">
        <f>Рецепты[[#This Row],[%]]*Рецепты[[#This Row],[Масса]]</f>
        <v>2</v>
      </c>
      <c r="K471" s="43">
        <f>Рецепты[[#This Row],[Вес ингр-тов]]*VLOOKUP(Рецепты[[#This Row],[Состав]],Ингредиенты[],3,FALSE)</f>
        <v>9.36</v>
      </c>
      <c r="L471" s="41">
        <f>IF(VLOOKUP(Рецепты[[#This Row],[Состав]],Ингредиенты[],4,0)="Основа",VLOOKUP(Рецепты[[#This Row],[Способ]],Способ[],2,0),0%)</f>
        <v>0</v>
      </c>
      <c r="M471" s="41">
        <f>VLOOKUP(Рецепты[[#This Row],[Способ]],Способ[],3,0)</f>
        <v>0.5</v>
      </c>
      <c r="N471" s="43">
        <f>Рецепты[[#This Row],[р]]*100%/(100%-Рецепты[[#This Row],[Потери, %]])+Рецепты[[#This Row],[Маржа]]*(Рецепты[[#This Row],[р]]*100%)/(100%-Рецепты[[#This Row],[Потери, %]])</f>
        <v>14.04</v>
      </c>
      <c r="O471" s="43">
        <f>Рецепты[[#This Row],[Цена за 1 кг]]-(Рецепты[[#This Row],[р]]*100%/(100%-Рецепты[[#This Row],[Потери, %]]))</f>
        <v>4.68</v>
      </c>
      <c r="P471" s="29" t="s">
        <v>604</v>
      </c>
      <c r="Q471" s="40"/>
      <c r="R471" s="44" t="str">
        <f>VLOOKUP(Рецепты[[#This Row],[Состав]],Ингредиенты[],9,0)</f>
        <v>Да</v>
      </c>
      <c r="S471" s="52"/>
    </row>
    <row r="472" spans="1:19" x14ac:dyDescent="0.25">
      <c r="A472" s="40" t="s">
        <v>603</v>
      </c>
      <c r="B472" s="40" t="str">
        <f t="shared" si="78"/>
        <v>Еда</v>
      </c>
      <c r="C472" s="40" t="str">
        <f t="shared" si="79"/>
        <v>Еда</v>
      </c>
      <c r="D472" s="40" t="s">
        <v>141</v>
      </c>
      <c r="E472" s="41" t="str">
        <f>VLOOKUP(Рецепты[[#This Row],[Состав]],Ингредиенты[],2,0)</f>
        <v>Специи</v>
      </c>
      <c r="F472" s="62">
        <v>5.0000000000000001E-3</v>
      </c>
      <c r="G472" s="42">
        <f>IF(Рецепты[[#This Row],[%]]*1000&gt;0,Рецепты[[#This Row],[%]]*1000,"")</f>
        <v>5</v>
      </c>
      <c r="H472" s="43">
        <f>IFERROR(VLOOKUP(Рецепты[[#This Row],[Состав]],Ингредиенты!A:I,3,0)*Рецепты[[#This Row],[г]],"")</f>
        <v>5.6999999999999993</v>
      </c>
      <c r="I472" s="42">
        <f>СводРецепт!$A$1</f>
        <v>1000</v>
      </c>
      <c r="J472" s="42">
        <f>Рецепты[[#This Row],[%]]*Рецепты[[#This Row],[Масса]]</f>
        <v>5</v>
      </c>
      <c r="K472" s="43">
        <f>Рецепты[[#This Row],[Вес ингр-тов]]*VLOOKUP(Рецепты[[#This Row],[Состав]],Ингредиенты[],3,FALSE)</f>
        <v>5.6999999999999993</v>
      </c>
      <c r="L472" s="41">
        <f>IF(VLOOKUP(Рецепты[[#This Row],[Состав]],Ингредиенты[],4,0)="Основа",VLOOKUP(Рецепты[[#This Row],[Способ]],Способ[],2,0),0%)</f>
        <v>0</v>
      </c>
      <c r="M472" s="41">
        <f>VLOOKUP(Рецепты[[#This Row],[Способ]],Способ[],3,0)</f>
        <v>0.5</v>
      </c>
      <c r="N472" s="43">
        <f>Рецепты[[#This Row],[р]]*100%/(100%-Рецепты[[#This Row],[Потери, %]])+Рецепты[[#This Row],[Маржа]]*(Рецепты[[#This Row],[р]]*100%)/(100%-Рецепты[[#This Row],[Потери, %]])</f>
        <v>8.5499999999999989</v>
      </c>
      <c r="O472" s="43">
        <f>Рецепты[[#This Row],[Цена за 1 кг]]-(Рецепты[[#This Row],[р]]*100%/(100%-Рецепты[[#This Row],[Потери, %]]))</f>
        <v>2.8499999999999996</v>
      </c>
      <c r="P472" s="29" t="s">
        <v>604</v>
      </c>
      <c r="Q472" s="40"/>
      <c r="R472" s="44" t="str">
        <f>VLOOKUP(Рецепты[[#This Row],[Состав]],Ингредиенты[],9,0)</f>
        <v>Да</v>
      </c>
      <c r="S472" s="52"/>
    </row>
    <row r="473" spans="1:19" x14ac:dyDescent="0.25">
      <c r="A473" s="40" t="s">
        <v>603</v>
      </c>
      <c r="B473" s="40" t="str">
        <f t="shared" si="78"/>
        <v>Еда</v>
      </c>
      <c r="C473" s="40" t="str">
        <f t="shared" si="79"/>
        <v>Еда</v>
      </c>
      <c r="D473" s="40" t="s">
        <v>133</v>
      </c>
      <c r="E473" s="41" t="str">
        <f>VLOOKUP(Рецепты[[#This Row],[Состав]],Ингредиенты[],2,0)</f>
        <v>Специи</v>
      </c>
      <c r="F473" s="62">
        <v>1.5E-3</v>
      </c>
      <c r="G473" s="42">
        <f>IF(Рецепты[[#This Row],[%]]*1000&gt;0,Рецепты[[#This Row],[%]]*1000,"")</f>
        <v>1.5</v>
      </c>
      <c r="H473" s="43">
        <f>IFERROR(VLOOKUP(Рецепты[[#This Row],[Состав]],Ингредиенты!A:I,3,0)*Рецепты[[#This Row],[г]],"")</f>
        <v>1.6418181818181816</v>
      </c>
      <c r="I473" s="42">
        <f>СводРецепт!$A$1</f>
        <v>1000</v>
      </c>
      <c r="J473" s="42">
        <f>Рецепты[[#This Row],[%]]*Рецепты[[#This Row],[Масса]]</f>
        <v>1.5</v>
      </c>
      <c r="K473" s="43">
        <f>Рецепты[[#This Row],[Вес ингр-тов]]*VLOOKUP(Рецепты[[#This Row],[Состав]],Ингредиенты[],3,FALSE)</f>
        <v>1.6418181818181816</v>
      </c>
      <c r="L473" s="41">
        <f>IF(VLOOKUP(Рецепты[[#This Row],[Состав]],Ингредиенты[],4,0)="Основа",VLOOKUP(Рецепты[[#This Row],[Способ]],Способ[],2,0),0%)</f>
        <v>0</v>
      </c>
      <c r="M473" s="41">
        <f>VLOOKUP(Рецепты[[#This Row],[Способ]],Способ[],3,0)</f>
        <v>0.5</v>
      </c>
      <c r="N473" s="43">
        <f>Рецепты[[#This Row],[р]]*100%/(100%-Рецепты[[#This Row],[Потери, %]])+Рецепты[[#This Row],[Маржа]]*(Рецепты[[#This Row],[р]]*100%)/(100%-Рецепты[[#This Row],[Потери, %]])</f>
        <v>2.4627272727272724</v>
      </c>
      <c r="O473" s="43">
        <f>Рецепты[[#This Row],[Цена за 1 кг]]-(Рецепты[[#This Row],[р]]*100%/(100%-Рецепты[[#This Row],[Потери, %]]))</f>
        <v>0.82090909090909081</v>
      </c>
      <c r="P473" s="29" t="s">
        <v>604</v>
      </c>
      <c r="Q473" s="40"/>
      <c r="R473" s="44" t="str">
        <f>VLOOKUP(Рецепты[[#This Row],[Состав]],Ингредиенты[],9,0)</f>
        <v>Да</v>
      </c>
      <c r="S473" s="52"/>
    </row>
    <row r="474" spans="1:19" x14ac:dyDescent="0.25">
      <c r="A474" t="s">
        <v>605</v>
      </c>
      <c r="B474" s="40" t="s">
        <v>13</v>
      </c>
      <c r="C474" s="40" t="s">
        <v>18</v>
      </c>
      <c r="D474" s="40" t="s">
        <v>79</v>
      </c>
      <c r="E474" s="41" t="str">
        <f>VLOOKUP(Рецепты[[#This Row],[Состав]],Ингредиенты[],2,0)</f>
        <v>Рыба</v>
      </c>
      <c r="F474" s="62">
        <v>1</v>
      </c>
      <c r="G474" s="42">
        <f>IF(Рецепты[[#This Row],[%]]*1000&gt;0,Рецепты[[#This Row],[%]]*1000,"")</f>
        <v>1000</v>
      </c>
      <c r="H474" s="43">
        <f>IFERROR(VLOOKUP(Рецепты[[#This Row],[Состав]],Ингредиенты!A:I,3,0)*Рецепты[[#This Row],[г]],"")</f>
        <v>1373.7499999999998</v>
      </c>
      <c r="I474" s="42">
        <f>СводРецепт!$A$1</f>
        <v>1000</v>
      </c>
      <c r="J474" s="42">
        <f>Рецепты[[#This Row],[%]]*Рецепты[[#This Row],[Масса]]</f>
        <v>1000</v>
      </c>
      <c r="K474" s="43">
        <f>Рецепты[[#This Row],[Вес ингр-тов]]*VLOOKUP(Рецепты[[#This Row],[Состав]],Ингредиенты[],3,FALSE)</f>
        <v>1373.7499999999998</v>
      </c>
      <c r="L474" s="41">
        <f>IF(VLOOKUP(Рецепты[[#This Row],[Состав]],Ингредиенты[],4,0)="Основа",VLOOKUP(Рецепты[[#This Row],[Способ]],Способ[],2,0),0%)</f>
        <v>0.05</v>
      </c>
      <c r="M474" s="41">
        <f>VLOOKUP(Рецепты[[#This Row],[Способ]],Способ[],3,0)</f>
        <v>0.5</v>
      </c>
      <c r="N474" s="43">
        <f>Рецепты[[#This Row],[р]]*100%/(100%-Рецепты[[#This Row],[Потери, %]])+Рецепты[[#This Row],[Маржа]]*(Рецепты[[#This Row],[р]]*100%)/(100%-Рецепты[[#This Row],[Потери, %]])</f>
        <v>2169.0789473684208</v>
      </c>
      <c r="O474" s="43">
        <f>Рецепты[[#This Row],[Цена за 1 кг]]-(Рецепты[[#This Row],[р]]*100%/(100%-Рецепты[[#This Row],[Потери, %]]))</f>
        <v>723.02631578947353</v>
      </c>
      <c r="P474" s="30"/>
      <c r="Q474" s="40"/>
      <c r="R474" s="44" t="str">
        <f>VLOOKUP(Рецепты[[#This Row],[Состав]],Ингредиенты[],9,0)</f>
        <v>Нет</v>
      </c>
      <c r="S474" s="52"/>
    </row>
    <row r="475" spans="1:19" x14ac:dyDescent="0.25">
      <c r="A475" t="s">
        <v>605</v>
      </c>
      <c r="B475" s="40" t="str">
        <f t="shared" si="78"/>
        <v>Рыба</v>
      </c>
      <c r="C475" s="40" t="str">
        <f t="shared" ref="C475:C477" si="80">C474</f>
        <v>Соленое</v>
      </c>
      <c r="D475" s="40" t="s">
        <v>128</v>
      </c>
      <c r="E475" s="41" t="str">
        <f>VLOOKUP(Рецепты[[#This Row],[Состав]],Ингредиенты[],2,0)</f>
        <v>Специи</v>
      </c>
      <c r="F475" s="62">
        <v>0.06</v>
      </c>
      <c r="G475" s="42">
        <f>IF(Рецепты[[#This Row],[%]]*1000&gt;0,Рецепты[[#This Row],[%]]*1000,"")</f>
        <v>60</v>
      </c>
      <c r="H475" s="43">
        <f>IFERROR(VLOOKUP(Рецепты[[#This Row],[Состав]],Ингредиенты!A:I,3,0)*Рецепты[[#This Row],[г]],"")</f>
        <v>2.31</v>
      </c>
      <c r="I475" s="42">
        <f>СводРецепт!$A$1</f>
        <v>1000</v>
      </c>
      <c r="J475" s="42">
        <f>Рецепты[[#This Row],[%]]*Рецепты[[#This Row],[Масса]]</f>
        <v>60</v>
      </c>
      <c r="K475" s="43">
        <f>Рецепты[[#This Row],[Вес ингр-тов]]*VLOOKUP(Рецепты[[#This Row],[Состав]],Ингредиенты[],3,FALSE)</f>
        <v>2.31</v>
      </c>
      <c r="L475" s="41">
        <f>IF(VLOOKUP(Рецепты[[#This Row],[Состав]],Ингредиенты[],4,0)="Основа",VLOOKUP(Рецепты[[#This Row],[Способ]],Способ[],2,0),0%)</f>
        <v>0</v>
      </c>
      <c r="M475" s="41">
        <f>VLOOKUP(Рецепты[[#This Row],[Способ]],Способ[],3,0)</f>
        <v>0.5</v>
      </c>
      <c r="N475" s="43">
        <f>Рецепты[[#This Row],[р]]*100%/(100%-Рецепты[[#This Row],[Потери, %]])+Рецепты[[#This Row],[Маржа]]*(Рецепты[[#This Row],[р]]*100%)/(100%-Рецепты[[#This Row],[Потери, %]])</f>
        <v>3.4649999999999999</v>
      </c>
      <c r="O475" s="43">
        <f>Рецепты[[#This Row],[Цена за 1 кг]]-(Рецепты[[#This Row],[р]]*100%/(100%-Рецепты[[#This Row],[Потери, %]]))</f>
        <v>1.1549999999999998</v>
      </c>
      <c r="P475" s="30"/>
      <c r="Q475" s="40"/>
      <c r="R475" s="44" t="str">
        <f>VLOOKUP(Рецепты[[#This Row],[Состав]],Ингредиенты[],9,0)</f>
        <v>Да</v>
      </c>
      <c r="S475" s="52"/>
    </row>
    <row r="476" spans="1:19" x14ac:dyDescent="0.25">
      <c r="A476" t="s">
        <v>605</v>
      </c>
      <c r="B476" s="40" t="str">
        <f t="shared" si="78"/>
        <v>Рыба</v>
      </c>
      <c r="C476" s="40" t="str">
        <f t="shared" si="80"/>
        <v>Соленое</v>
      </c>
      <c r="D476" s="40" t="s">
        <v>131</v>
      </c>
      <c r="E476" s="41" t="str">
        <f>VLOOKUP(Рецепты[[#This Row],[Состав]],Ингредиенты[],2,0)</f>
        <v>Специи</v>
      </c>
      <c r="F476" s="62">
        <v>0.02</v>
      </c>
      <c r="G476" s="42">
        <f>IF(Рецепты[[#This Row],[%]]*1000&gt;0,Рецепты[[#This Row],[%]]*1000,"")</f>
        <v>20</v>
      </c>
      <c r="H476" s="43">
        <f>IFERROR(VLOOKUP(Рецепты[[#This Row],[Состав]],Ингредиенты!A:I,3,0)*Рецепты[[#This Row],[г]],"")</f>
        <v>1.6176470588235294</v>
      </c>
      <c r="I476" s="42">
        <f>СводРецепт!$A$1</f>
        <v>1000</v>
      </c>
      <c r="J476" s="42">
        <f>Рецепты[[#This Row],[%]]*Рецепты[[#This Row],[Масса]]</f>
        <v>20</v>
      </c>
      <c r="K476" s="43">
        <f>Рецепты[[#This Row],[Вес ингр-тов]]*VLOOKUP(Рецепты[[#This Row],[Состав]],Ингредиенты[],3,FALSE)</f>
        <v>1.6176470588235294</v>
      </c>
      <c r="L476" s="41">
        <f>IF(VLOOKUP(Рецепты[[#This Row],[Состав]],Ингредиенты[],4,0)="Основа",VLOOKUP(Рецепты[[#This Row],[Способ]],Способ[],2,0),0%)</f>
        <v>0</v>
      </c>
      <c r="M476" s="41">
        <f>VLOOKUP(Рецепты[[#This Row],[Способ]],Способ[],3,0)</f>
        <v>0.5</v>
      </c>
      <c r="N476" s="43">
        <f>Рецепты[[#This Row],[р]]*100%/(100%-Рецепты[[#This Row],[Потери, %]])+Рецепты[[#This Row],[Маржа]]*(Рецепты[[#This Row],[р]]*100%)/(100%-Рецепты[[#This Row],[Потери, %]])</f>
        <v>2.4264705882352944</v>
      </c>
      <c r="O476" s="43">
        <f>Рецепты[[#This Row],[Цена за 1 кг]]-(Рецепты[[#This Row],[р]]*100%/(100%-Рецепты[[#This Row],[Потери, %]]))</f>
        <v>0.80882352941176494</v>
      </c>
      <c r="P476" s="30"/>
      <c r="Q476" s="40"/>
      <c r="R476" s="44" t="str">
        <f>VLOOKUP(Рецепты[[#This Row],[Состав]],Ингредиенты[],9,0)</f>
        <v>Да</v>
      </c>
      <c r="S476" s="52"/>
    </row>
    <row r="477" spans="1:19" x14ac:dyDescent="0.25">
      <c r="A477" t="s">
        <v>605</v>
      </c>
      <c r="B477" s="40" t="str">
        <f t="shared" si="78"/>
        <v>Рыба</v>
      </c>
      <c r="C477" s="40" t="str">
        <f t="shared" si="80"/>
        <v>Соленое</v>
      </c>
      <c r="D477" s="40" t="s">
        <v>143</v>
      </c>
      <c r="E477" s="41" t="str">
        <f>VLOOKUP(Рецепты[[#This Row],[Состав]],Ингредиенты[],2,0)</f>
        <v>Специи</v>
      </c>
      <c r="F477" s="62">
        <v>5.0000000000000001E-4</v>
      </c>
      <c r="G477" s="42">
        <f>IF(Рецепты[[#This Row],[%]]*1000&gt;0,Рецепты[[#This Row],[%]]*1000,"")</f>
        <v>0.5</v>
      </c>
      <c r="H477" s="43">
        <f>IFERROR(VLOOKUP(Рецепты[[#This Row],[Состав]],Ингредиенты!A:I,3,0)*Рецепты[[#This Row],[г]],"")</f>
        <v>0.56599999999999995</v>
      </c>
      <c r="I477" s="42">
        <f>СводРецепт!$A$1</f>
        <v>1000</v>
      </c>
      <c r="J477" s="42">
        <f>Рецепты[[#This Row],[%]]*Рецепты[[#This Row],[Масса]]</f>
        <v>0.5</v>
      </c>
      <c r="K477" s="43">
        <f>Рецепты[[#This Row],[Вес ингр-тов]]*VLOOKUP(Рецепты[[#This Row],[Состав]],Ингредиенты[],3,FALSE)</f>
        <v>0.56599999999999995</v>
      </c>
      <c r="L477" s="41">
        <f>IF(VLOOKUP(Рецепты[[#This Row],[Состав]],Ингредиенты[],4,0)="Основа",VLOOKUP(Рецепты[[#This Row],[Способ]],Способ[],2,0),0%)</f>
        <v>0</v>
      </c>
      <c r="M477" s="41">
        <f>VLOOKUP(Рецепты[[#This Row],[Способ]],Способ[],3,0)</f>
        <v>0.5</v>
      </c>
      <c r="N477" s="43">
        <f>Рецепты[[#This Row],[р]]*100%/(100%-Рецепты[[#This Row],[Потери, %]])+Рецепты[[#This Row],[Маржа]]*(Рецепты[[#This Row],[р]]*100%)/(100%-Рецепты[[#This Row],[Потери, %]])</f>
        <v>0.84899999999999998</v>
      </c>
      <c r="O477" s="43">
        <f>Рецепты[[#This Row],[Цена за 1 кг]]-(Рецепты[[#This Row],[р]]*100%/(100%-Рецепты[[#This Row],[Потери, %]]))</f>
        <v>0.28300000000000003</v>
      </c>
      <c r="P477" s="30"/>
      <c r="Q477" s="40"/>
      <c r="R477" s="44" t="str">
        <f>VLOOKUP(Рецепты[[#This Row],[Состав]],Ингредиенты[],9,0)</f>
        <v>Да</v>
      </c>
      <c r="S477" s="52"/>
    </row>
    <row r="478" spans="1:19" x14ac:dyDescent="0.25">
      <c r="A478" t="s">
        <v>605</v>
      </c>
      <c r="B478" s="40" t="str">
        <f t="shared" si="78"/>
        <v>Рыба</v>
      </c>
      <c r="C478" s="40" t="str">
        <f>C477</f>
        <v>Соленое</v>
      </c>
      <c r="D478" s="40" t="s">
        <v>155</v>
      </c>
      <c r="E478" s="41" t="str">
        <f>VLOOKUP(Рецепты[[#This Row],[Состав]],Ингредиенты[],2,0)</f>
        <v>Специи</v>
      </c>
      <c r="F478" s="62">
        <v>1E-3</v>
      </c>
      <c r="G478" s="42">
        <f>IF(Рецепты[[#This Row],[%]]*1000&gt;0,Рецепты[[#This Row],[%]]*1000,"")</f>
        <v>1</v>
      </c>
      <c r="H478" s="43">
        <f>IFERROR(VLOOKUP(Рецепты[[#This Row],[Состав]],Ингредиенты!A:I,3,0)*Рецепты[[#This Row],[г]],"")</f>
        <v>0.50222222222222224</v>
      </c>
      <c r="I478" s="42">
        <f>СводРецепт!$A$1</f>
        <v>1000</v>
      </c>
      <c r="J478" s="42">
        <f>Рецепты[[#This Row],[%]]*Рецепты[[#This Row],[Масса]]</f>
        <v>1</v>
      </c>
      <c r="K478" s="43">
        <f>Рецепты[[#This Row],[Вес ингр-тов]]*VLOOKUP(Рецепты[[#This Row],[Состав]],Ингредиенты[],3,FALSE)</f>
        <v>0.50222222222222224</v>
      </c>
      <c r="L478" s="41">
        <f>IF(VLOOKUP(Рецепты[[#This Row],[Состав]],Ингредиенты[],4,0)="Основа",VLOOKUP(Рецепты[[#This Row],[Способ]],Способ[],2,0),0%)</f>
        <v>0</v>
      </c>
      <c r="M478" s="41">
        <f>VLOOKUP(Рецепты[[#This Row],[Способ]],Способ[],3,0)</f>
        <v>0.5</v>
      </c>
      <c r="N478" s="43">
        <f>Рецепты[[#This Row],[р]]*100%/(100%-Рецепты[[#This Row],[Потери, %]])+Рецепты[[#This Row],[Маржа]]*(Рецепты[[#This Row],[р]]*100%)/(100%-Рецепты[[#This Row],[Потери, %]])</f>
        <v>0.75333333333333341</v>
      </c>
      <c r="O478" s="43">
        <f>Рецепты[[#This Row],[Цена за 1 кг]]-(Рецепты[[#This Row],[р]]*100%/(100%-Рецепты[[#This Row],[Потери, %]]))</f>
        <v>0.25111111111111117</v>
      </c>
      <c r="P478" s="30"/>
      <c r="Q478" s="40"/>
      <c r="R478" s="44" t="str">
        <f>VLOOKUP(Рецепты[[#This Row],[Состав]],Ингредиенты[],9,0)</f>
        <v>Да</v>
      </c>
      <c r="S478" s="52"/>
    </row>
    <row r="479" spans="1:19" x14ac:dyDescent="0.25">
      <c r="A479" s="40" t="s">
        <v>606</v>
      </c>
      <c r="B479" s="40" t="s">
        <v>30</v>
      </c>
      <c r="C479" s="40" t="s">
        <v>30</v>
      </c>
      <c r="D479" s="40" t="s">
        <v>85</v>
      </c>
      <c r="E479" s="41" t="str">
        <f>VLOOKUP(Рецепты[[#This Row],[Состав]],Ингредиенты[],2,0)</f>
        <v>Добавки</v>
      </c>
      <c r="F479" s="62">
        <v>0.7</v>
      </c>
      <c r="G479" s="42">
        <f>IF(Рецепты[[#This Row],[%]]*1000&gt;0,Рецепты[[#This Row],[%]]*1000,"")</f>
        <v>700</v>
      </c>
      <c r="H479" s="43">
        <f>IFERROR(VLOOKUP(Рецепты[[#This Row],[Состав]],Ингредиенты!A:I,3,0)*Рецепты[[#This Row],[г]],"")</f>
        <v>46.661999999999999</v>
      </c>
      <c r="I479" s="42">
        <f>СводРецепт!$A$1</f>
        <v>1000</v>
      </c>
      <c r="J479" s="42">
        <f>Рецепты[[#This Row],[%]]*Рецепты[[#This Row],[Масса]]</f>
        <v>700</v>
      </c>
      <c r="K479" s="43">
        <f>Рецепты[[#This Row],[Вес ингр-тов]]*VLOOKUP(Рецепты[[#This Row],[Состав]],Ингредиенты[],3,FALSE)</f>
        <v>46.661999999999999</v>
      </c>
      <c r="L479" s="41">
        <f>IF(VLOOKUP(Рецепты[[#This Row],[Состав]],Ингредиенты[],4,0)="Основа",VLOOKUP(Рецепты[[#This Row],[Способ]],Способ[],2,0),0%)</f>
        <v>0.05</v>
      </c>
      <c r="M479" s="41">
        <f>VLOOKUP(Рецепты[[#This Row],[Способ]],Способ[],3,0)</f>
        <v>0.5</v>
      </c>
      <c r="N479" s="43">
        <f>Рецепты[[#This Row],[р]]*100%/(100%-Рецепты[[#This Row],[Потери, %]])+Рецепты[[#This Row],[Маржа]]*(Рецепты[[#This Row],[р]]*100%)/(100%-Рецепты[[#This Row],[Потери, %]])</f>
        <v>73.676842105263148</v>
      </c>
      <c r="O479" s="43">
        <f>Рецепты[[#This Row],[Цена за 1 кг]]-(Рецепты[[#This Row],[р]]*100%/(100%-Рецепты[[#This Row],[Потери, %]]))</f>
        <v>24.558947368421045</v>
      </c>
      <c r="P479" s="40"/>
      <c r="Q479" s="40"/>
      <c r="R479" s="44" t="str">
        <f>VLOOKUP(Рецепты[[#This Row],[Состав]],Ингредиенты[],9,0)</f>
        <v>Да</v>
      </c>
      <c r="S479" s="52"/>
    </row>
    <row r="480" spans="1:19" x14ac:dyDescent="0.25">
      <c r="A480" s="40" t="s">
        <v>606</v>
      </c>
      <c r="B480" s="40" t="str">
        <f t="shared" ref="B480:C484" si="81">B479</f>
        <v>Еда</v>
      </c>
      <c r="C480" s="40" t="str">
        <f t="shared" si="81"/>
        <v>Еда</v>
      </c>
      <c r="D480" s="40" t="s">
        <v>94</v>
      </c>
      <c r="E480" s="41" t="str">
        <f>VLOOKUP(Рецепты[[#This Row],[Состав]],Ингредиенты[],2,0)</f>
        <v>Добавки</v>
      </c>
      <c r="F480" s="62">
        <v>0.3</v>
      </c>
      <c r="G480" s="42">
        <f>IF(Рецепты[[#This Row],[%]]*1000&gt;0,Рецепты[[#This Row],[%]]*1000,"")</f>
        <v>300</v>
      </c>
      <c r="H480" s="43">
        <f>IFERROR(VLOOKUP(Рецепты[[#This Row],[Состав]],Ингредиенты!A:I,3,0)*Рецепты[[#This Row],[г]],"")</f>
        <v>14.52</v>
      </c>
      <c r="I480" s="42">
        <f>СводРецепт!$A$1</f>
        <v>1000</v>
      </c>
      <c r="J480" s="42">
        <f>Рецепты[[#This Row],[%]]*Рецепты[[#This Row],[Масса]]</f>
        <v>300</v>
      </c>
      <c r="K480" s="43">
        <f>Рецепты[[#This Row],[Вес ингр-тов]]*VLOOKUP(Рецепты[[#This Row],[Состав]],Ингредиенты[],3,FALSE)</f>
        <v>14.52</v>
      </c>
      <c r="L480" s="41">
        <f>IF(VLOOKUP(Рецепты[[#This Row],[Состав]],Ингредиенты[],4,0)="Основа",VLOOKUP(Рецепты[[#This Row],[Способ]],Способ[],2,0),0%)</f>
        <v>0</v>
      </c>
      <c r="M480" s="41">
        <f>VLOOKUP(Рецепты[[#This Row],[Способ]],Способ[],3,0)</f>
        <v>0.5</v>
      </c>
      <c r="N480" s="43">
        <f>Рецепты[[#This Row],[р]]*100%/(100%-Рецепты[[#This Row],[Потери, %]])+Рецепты[[#This Row],[Маржа]]*(Рецепты[[#This Row],[р]]*100%)/(100%-Рецепты[[#This Row],[Потери, %]])</f>
        <v>21.78</v>
      </c>
      <c r="O480" s="43">
        <f>Рецепты[[#This Row],[Цена за 1 кг]]-(Рецепты[[#This Row],[р]]*100%/(100%-Рецепты[[#This Row],[Потери, %]]))</f>
        <v>7.2600000000000016</v>
      </c>
      <c r="P480" s="40"/>
      <c r="Q480" s="40"/>
      <c r="R480" s="44" t="str">
        <f>VLOOKUP(Рецепты[[#This Row],[Состав]],Ингредиенты[],9,0)</f>
        <v>Да</v>
      </c>
      <c r="S480" s="52"/>
    </row>
    <row r="481" spans="1:19" x14ac:dyDescent="0.25">
      <c r="A481" s="40" t="s">
        <v>606</v>
      </c>
      <c r="B481" s="40" t="str">
        <f t="shared" si="81"/>
        <v>Еда</v>
      </c>
      <c r="C481" s="40" t="str">
        <f t="shared" si="81"/>
        <v>Еда</v>
      </c>
      <c r="D481" s="40" t="s">
        <v>92</v>
      </c>
      <c r="E481" s="41" t="str">
        <f>VLOOKUP(Рецепты[[#This Row],[Состав]],Ингредиенты[],2,0)</f>
        <v>Добавки</v>
      </c>
      <c r="F481" s="62">
        <v>0.12</v>
      </c>
      <c r="G481" s="42">
        <f>IF(Рецепты[[#This Row],[%]]*1000&gt;0,Рецепты[[#This Row],[%]]*1000,"")</f>
        <v>120</v>
      </c>
      <c r="H481" s="43">
        <f>IFERROR(VLOOKUP(Рецепты[[#This Row],[Состав]],Ингредиенты!A:I,3,0)*Рецепты[[#This Row],[г]],"")</f>
        <v>13.333333333333332</v>
      </c>
      <c r="I481" s="42">
        <f>СводРецепт!$A$1</f>
        <v>1000</v>
      </c>
      <c r="J481" s="42">
        <f>Рецепты[[#This Row],[%]]*Рецепты[[#This Row],[Масса]]</f>
        <v>120</v>
      </c>
      <c r="K481" s="43">
        <f>Рецепты[[#This Row],[Вес ингр-тов]]*VLOOKUP(Рецепты[[#This Row],[Состав]],Ингредиенты[],3,FALSE)</f>
        <v>13.333333333333332</v>
      </c>
      <c r="L481" s="41">
        <f>IF(VLOOKUP(Рецепты[[#This Row],[Состав]],Ингредиенты[],4,0)="Основа",VLOOKUP(Рецепты[[#This Row],[Способ]],Способ[],2,0),0%)</f>
        <v>0</v>
      </c>
      <c r="M481" s="41">
        <f>VLOOKUP(Рецепты[[#This Row],[Способ]],Способ[],3,0)</f>
        <v>0.5</v>
      </c>
      <c r="N481" s="43">
        <f>Рецепты[[#This Row],[р]]*100%/(100%-Рецепты[[#This Row],[Потери, %]])+Рецепты[[#This Row],[Маржа]]*(Рецепты[[#This Row],[р]]*100%)/(100%-Рецепты[[#This Row],[Потери, %]])</f>
        <v>20</v>
      </c>
      <c r="O481" s="43">
        <f>Рецепты[[#This Row],[Цена за 1 кг]]-(Рецепты[[#This Row],[р]]*100%/(100%-Рецепты[[#This Row],[Потери, %]]))</f>
        <v>6.6666666666666679</v>
      </c>
      <c r="P481" s="40"/>
      <c r="Q481" s="40"/>
      <c r="R481" s="44" t="str">
        <f>VLOOKUP(Рецепты[[#This Row],[Состав]],Ингредиенты[],9,0)</f>
        <v>Да</v>
      </c>
      <c r="S481" s="52"/>
    </row>
    <row r="482" spans="1:19" x14ac:dyDescent="0.25">
      <c r="A482" s="40" t="s">
        <v>606</v>
      </c>
      <c r="B482" s="40" t="str">
        <f t="shared" si="81"/>
        <v>Еда</v>
      </c>
      <c r="C482" s="40" t="str">
        <f t="shared" si="81"/>
        <v>Еда</v>
      </c>
      <c r="D482" s="40" t="s">
        <v>101</v>
      </c>
      <c r="E482" s="41" t="str">
        <f>VLOOKUP(Рецепты[[#This Row],[Состав]],Ингредиенты[],2,0)</f>
        <v>Добавки</v>
      </c>
      <c r="F482" s="62">
        <v>0.01</v>
      </c>
      <c r="G482" s="42">
        <f>IF(Рецепты[[#This Row],[%]]*1000&gt;0,Рецепты[[#This Row],[%]]*1000,"")</f>
        <v>10</v>
      </c>
      <c r="H482" s="43">
        <f>IFERROR(VLOOKUP(Рецепты[[#This Row],[Состав]],Ингредиенты!A:I,3,0)*Рецепты[[#This Row],[г]],"")</f>
        <v>1.6500000000000001</v>
      </c>
      <c r="I482" s="42">
        <f>СводРецепт!$A$1</f>
        <v>1000</v>
      </c>
      <c r="J482" s="42">
        <f>Рецепты[[#This Row],[%]]*Рецепты[[#This Row],[Масса]]</f>
        <v>10</v>
      </c>
      <c r="K482" s="43">
        <f>Рецепты[[#This Row],[Вес ингр-тов]]*VLOOKUP(Рецепты[[#This Row],[Состав]],Ингредиенты[],3,FALSE)</f>
        <v>1.6500000000000001</v>
      </c>
      <c r="L482" s="41">
        <f>IF(VLOOKUP(Рецепты[[#This Row],[Состав]],Ингредиенты[],4,0)="Основа",VLOOKUP(Рецепты[[#This Row],[Способ]],Способ[],2,0),0%)</f>
        <v>0</v>
      </c>
      <c r="M482" s="41">
        <f>VLOOKUP(Рецепты[[#This Row],[Способ]],Способ[],3,0)</f>
        <v>0.5</v>
      </c>
      <c r="N482" s="43">
        <f>Рецепты[[#This Row],[р]]*100%/(100%-Рецепты[[#This Row],[Потери, %]])+Рецепты[[#This Row],[Маржа]]*(Рецепты[[#This Row],[р]]*100%)/(100%-Рецепты[[#This Row],[Потери, %]])</f>
        <v>2.4750000000000001</v>
      </c>
      <c r="O482" s="43">
        <f>Рецепты[[#This Row],[Цена за 1 кг]]-(Рецепты[[#This Row],[р]]*100%/(100%-Рецепты[[#This Row],[Потери, %]]))</f>
        <v>0.82499999999999996</v>
      </c>
      <c r="P482" s="40"/>
      <c r="Q482" s="40"/>
      <c r="R482" s="44" t="str">
        <f>VLOOKUP(Рецепты[[#This Row],[Состав]],Ингредиенты[],9,0)</f>
        <v>Да</v>
      </c>
      <c r="S482" s="52"/>
    </row>
    <row r="483" spans="1:19" x14ac:dyDescent="0.25">
      <c r="A483" s="40" t="s">
        <v>606</v>
      </c>
      <c r="B483" s="40" t="str">
        <f t="shared" si="81"/>
        <v>Еда</v>
      </c>
      <c r="C483" s="40" t="str">
        <f t="shared" si="81"/>
        <v>Еда</v>
      </c>
      <c r="D483" s="40" t="s">
        <v>131</v>
      </c>
      <c r="E483" s="41" t="str">
        <f>VLOOKUP(Рецепты[[#This Row],[Состав]],Ингредиенты[],2,0)</f>
        <v>Специи</v>
      </c>
      <c r="F483" s="62">
        <v>4.3999999999999997E-2</v>
      </c>
      <c r="G483" s="42">
        <f>IF(Рецепты[[#This Row],[%]]*1000&gt;0,Рецепты[[#This Row],[%]]*1000,"")</f>
        <v>44</v>
      </c>
      <c r="H483" s="43">
        <f>IFERROR(VLOOKUP(Рецепты[[#This Row],[Состав]],Ингредиенты!A:I,3,0)*Рецепты[[#This Row],[г]],"")</f>
        <v>3.5588235294117649</v>
      </c>
      <c r="I483" s="42">
        <f>СводРецепт!$A$1</f>
        <v>1000</v>
      </c>
      <c r="J483" s="42">
        <f>Рецепты[[#This Row],[%]]*Рецепты[[#This Row],[Масса]]</f>
        <v>44</v>
      </c>
      <c r="K483" s="43">
        <f>Рецепты[[#This Row],[Вес ингр-тов]]*VLOOKUP(Рецепты[[#This Row],[Состав]],Ингредиенты[],3,FALSE)</f>
        <v>3.5588235294117649</v>
      </c>
      <c r="L483" s="41">
        <f>IF(VLOOKUP(Рецепты[[#This Row],[Состав]],Ингредиенты[],4,0)="Основа",VLOOKUP(Рецепты[[#This Row],[Способ]],Способ[],2,0),0%)</f>
        <v>0</v>
      </c>
      <c r="M483" s="41">
        <f>VLOOKUP(Рецепты[[#This Row],[Способ]],Способ[],3,0)</f>
        <v>0.5</v>
      </c>
      <c r="N483" s="43">
        <f>Рецепты[[#This Row],[р]]*100%/(100%-Рецепты[[#This Row],[Потери, %]])+Рецепты[[#This Row],[Маржа]]*(Рецепты[[#This Row],[р]]*100%)/(100%-Рецепты[[#This Row],[Потери, %]])</f>
        <v>5.3382352941176476</v>
      </c>
      <c r="O483" s="43">
        <f>Рецепты[[#This Row],[Цена за 1 кг]]-(Рецепты[[#This Row],[р]]*100%/(100%-Рецепты[[#This Row],[Потери, %]]))</f>
        <v>1.7794117647058827</v>
      </c>
      <c r="P483" s="40"/>
      <c r="Q483" s="40"/>
      <c r="R483" s="44" t="str">
        <f>VLOOKUP(Рецепты[[#This Row],[Состав]],Ингредиенты[],9,0)</f>
        <v>Да</v>
      </c>
      <c r="S483" s="52"/>
    </row>
    <row r="484" spans="1:19" x14ac:dyDescent="0.25">
      <c r="A484" s="40" t="s">
        <v>606</v>
      </c>
      <c r="B484" s="40" t="str">
        <f t="shared" si="81"/>
        <v>Еда</v>
      </c>
      <c r="C484" s="40" t="str">
        <f t="shared" si="81"/>
        <v>Еда</v>
      </c>
      <c r="D484" s="40" t="s">
        <v>128</v>
      </c>
      <c r="E484" s="41" t="str">
        <f>VLOOKUP(Рецепты[[#This Row],[Состав]],Ингредиенты[],2,0)</f>
        <v>Специи</v>
      </c>
      <c r="F484" s="62">
        <v>5.0000000000000001E-3</v>
      </c>
      <c r="G484" s="42">
        <f>IF(Рецепты[[#This Row],[%]]*1000&gt;0,Рецепты[[#This Row],[%]]*1000,"")</f>
        <v>5</v>
      </c>
      <c r="H484" s="43">
        <f>IFERROR(VLOOKUP(Рецепты[[#This Row],[Состав]],Ингредиенты!A:I,3,0)*Рецепты[[#This Row],[г]],"")</f>
        <v>0.1925</v>
      </c>
      <c r="I484" s="42">
        <f>СводРецепт!$A$1</f>
        <v>1000</v>
      </c>
      <c r="J484" s="42">
        <f>Рецепты[[#This Row],[%]]*Рецепты[[#This Row],[Масса]]</f>
        <v>5</v>
      </c>
      <c r="K484" s="43">
        <f>Рецепты[[#This Row],[Вес ингр-тов]]*VLOOKUP(Рецепты[[#This Row],[Состав]],Ингредиенты[],3,FALSE)</f>
        <v>0.1925</v>
      </c>
      <c r="L484" s="41">
        <f>IF(VLOOKUP(Рецепты[[#This Row],[Состав]],Ингредиенты[],4,0)="Основа",VLOOKUP(Рецепты[[#This Row],[Способ]],Способ[],2,0),0%)</f>
        <v>0</v>
      </c>
      <c r="M484" s="41">
        <f>VLOOKUP(Рецепты[[#This Row],[Способ]],Способ[],3,0)</f>
        <v>0.5</v>
      </c>
      <c r="N484" s="43">
        <f>Рецепты[[#This Row],[р]]*100%/(100%-Рецепты[[#This Row],[Потери, %]])+Рецепты[[#This Row],[Маржа]]*(Рецепты[[#This Row],[р]]*100%)/(100%-Рецепты[[#This Row],[Потери, %]])</f>
        <v>0.28875000000000001</v>
      </c>
      <c r="O484" s="43">
        <f>Рецепты[[#This Row],[Цена за 1 кг]]-(Рецепты[[#This Row],[р]]*100%/(100%-Рецепты[[#This Row],[Потери, %]]))</f>
        <v>9.6250000000000002E-2</v>
      </c>
      <c r="P484" s="40"/>
      <c r="Q484" s="40"/>
      <c r="R484" s="44" t="str">
        <f>VLOOKUP(Рецепты[[#This Row],[Состав]],Ингредиенты[],9,0)</f>
        <v>Да</v>
      </c>
      <c r="S484" s="52"/>
    </row>
    <row r="485" spans="1:19" x14ac:dyDescent="0.25">
      <c r="A485" s="40" t="s">
        <v>607</v>
      </c>
      <c r="B485" s="40" t="s">
        <v>8</v>
      </c>
      <c r="C485" s="40" t="s">
        <v>22</v>
      </c>
      <c r="D485" s="40" t="s">
        <v>12</v>
      </c>
      <c r="E485" s="41" t="str">
        <f>VLOOKUP(Рецепты[[#This Row],[Состав]],Ингредиенты[],2,0)</f>
        <v>Говядина</v>
      </c>
      <c r="F485" s="62">
        <v>0.45</v>
      </c>
      <c r="G485" s="42">
        <f>IF(Рецепты[[#This Row],[%]]*1000&gt;0,Рецепты[[#This Row],[%]]*1000,"")</f>
        <v>450</v>
      </c>
      <c r="H485" s="43">
        <f>IFERROR(VLOOKUP(Рецепты[[#This Row],[Состав]],Ингредиенты!A:I,3,0)*Рецепты[[#This Row],[г]],"")</f>
        <v>319.49549999999999</v>
      </c>
      <c r="I485" s="42">
        <f>СводРецепт!$A$1</f>
        <v>1000</v>
      </c>
      <c r="J485" s="42">
        <f>Рецепты[[#This Row],[%]]*Рецепты[[#This Row],[Масса]]</f>
        <v>450</v>
      </c>
      <c r="K485" s="43">
        <f>Рецепты[[#This Row],[Вес ингр-тов]]*VLOOKUP(Рецепты[[#This Row],[Состав]],Ингредиенты[],3,FALSE)</f>
        <v>319.49549999999999</v>
      </c>
      <c r="L485" s="41">
        <f>IF(VLOOKUP(Рецепты[[#This Row],[Состав]],Ингредиенты[],4,0)="Основа",VLOOKUP(Рецепты[[#This Row],[Способ]],Способ[],2,0),0%)</f>
        <v>0.35</v>
      </c>
      <c r="M485" s="41">
        <f>VLOOKUP(Рецепты[[#This Row],[Способ]],Способ[],3,0)</f>
        <v>2</v>
      </c>
      <c r="N485" s="43">
        <f>Рецепты[[#This Row],[р]]*100%/(100%-Рецепты[[#This Row],[Потери, %]])+Рецепты[[#This Row],[Маржа]]*(Рецепты[[#This Row],[р]]*100%)/(100%-Рецепты[[#This Row],[Потери, %]])</f>
        <v>1474.5946153846153</v>
      </c>
      <c r="O485" s="43">
        <f>Рецепты[[#This Row],[Цена за 1 кг]]-(Рецепты[[#This Row],[р]]*100%/(100%-Рецепты[[#This Row],[Потери, %]]))</f>
        <v>983.06307692307678</v>
      </c>
      <c r="P485" s="28" t="s">
        <v>608</v>
      </c>
      <c r="Q485" s="40"/>
      <c r="R485" s="44" t="str">
        <f>VLOOKUP(Рецепты[[#This Row],[Состав]],Ингредиенты[],9,0)</f>
        <v>Да</v>
      </c>
      <c r="S485" s="52"/>
    </row>
    <row r="486" spans="1:19" x14ac:dyDescent="0.25">
      <c r="A486" s="40" t="s">
        <v>607</v>
      </c>
      <c r="B486" s="40" t="str">
        <f t="shared" ref="B486:B494" si="82">B485</f>
        <v>Колбаса</v>
      </c>
      <c r="C486" s="40" t="str">
        <f t="shared" ref="C486:C494" si="83">C485</f>
        <v>Сырокопченое</v>
      </c>
      <c r="D486" s="40" t="s">
        <v>49</v>
      </c>
      <c r="E486" s="41" t="str">
        <f>VLOOKUP(Рецепты[[#This Row],[Состав]],Ингредиенты[],2,0)</f>
        <v>Свинина</v>
      </c>
      <c r="F486" s="62">
        <v>0.3</v>
      </c>
      <c r="G486" s="42">
        <f>IF(Рецепты[[#This Row],[%]]*1000&gt;0,Рецепты[[#This Row],[%]]*1000,"")</f>
        <v>300</v>
      </c>
      <c r="H486" s="43">
        <f>IFERROR(VLOOKUP(Рецепты[[#This Row],[Состав]],Ингредиенты!A:I,3,0)*Рецепты[[#This Row],[г]],"")</f>
        <v>110.7</v>
      </c>
      <c r="I486" s="42">
        <f>СводРецепт!$A$1</f>
        <v>1000</v>
      </c>
      <c r="J486" s="42">
        <f>Рецепты[[#This Row],[%]]*Рецепты[[#This Row],[Масса]]</f>
        <v>300</v>
      </c>
      <c r="K486" s="43">
        <f>Рецепты[[#This Row],[Вес ингр-тов]]*VLOOKUP(Рецепты[[#This Row],[Состав]],Ингредиенты[],3,FALSE)</f>
        <v>110.7</v>
      </c>
      <c r="L486" s="41">
        <f>IF(VLOOKUP(Рецепты[[#This Row],[Состав]],Ингредиенты[],4,0)="Основа",VLOOKUP(Рецепты[[#This Row],[Способ]],Способ[],2,0),0%)</f>
        <v>0.35</v>
      </c>
      <c r="M486" s="41">
        <f>VLOOKUP(Рецепты[[#This Row],[Способ]],Способ[],3,0)</f>
        <v>2</v>
      </c>
      <c r="N486" s="43">
        <f>Рецепты[[#This Row],[р]]*100%/(100%-Рецепты[[#This Row],[Потери, %]])+Рецепты[[#This Row],[Маржа]]*(Рецепты[[#This Row],[р]]*100%)/(100%-Рецепты[[#This Row],[Потери, %]])</f>
        <v>510.92307692307691</v>
      </c>
      <c r="O486" s="43">
        <f>Рецепты[[#This Row],[Цена за 1 кг]]-(Рецепты[[#This Row],[р]]*100%/(100%-Рецепты[[#This Row],[Потери, %]]))</f>
        <v>340.61538461538464</v>
      </c>
      <c r="P486" s="28" t="s">
        <v>608</v>
      </c>
      <c r="Q486" s="40"/>
      <c r="R486" s="44" t="str">
        <f>VLOOKUP(Рецепты[[#This Row],[Состав]],Ингредиенты[],9,0)</f>
        <v>Да</v>
      </c>
      <c r="S486" s="52"/>
    </row>
    <row r="487" spans="1:19" x14ac:dyDescent="0.25">
      <c r="A487" s="40" t="s">
        <v>607</v>
      </c>
      <c r="B487" s="40" t="str">
        <f t="shared" si="82"/>
        <v>Колбаса</v>
      </c>
      <c r="C487" s="40" t="str">
        <f t="shared" si="83"/>
        <v>Сырокопченое</v>
      </c>
      <c r="D487" s="40" t="s">
        <v>60</v>
      </c>
      <c r="E487" s="41" t="str">
        <f>VLOOKUP(Рецепты[[#This Row],[Состав]],Ингредиенты[],2,0)</f>
        <v>Свинина</v>
      </c>
      <c r="F487" s="62">
        <v>0.25</v>
      </c>
      <c r="G487" s="42">
        <f>IF(Рецепты[[#This Row],[%]]*1000&gt;0,Рецепты[[#This Row],[%]]*1000,"")</f>
        <v>250</v>
      </c>
      <c r="H487" s="43">
        <f>IFERROR(VLOOKUP(Рецепты[[#This Row],[Состав]],Ингредиенты!A:I,3,0)*Рецепты[[#This Row],[г]],"")</f>
        <v>75</v>
      </c>
      <c r="I487" s="42">
        <f>СводРецепт!$A$1</f>
        <v>1000</v>
      </c>
      <c r="J487" s="42">
        <f>Рецепты[[#This Row],[%]]*Рецепты[[#This Row],[Масса]]</f>
        <v>250</v>
      </c>
      <c r="K487" s="43">
        <f>Рецепты[[#This Row],[Вес ингр-тов]]*VLOOKUP(Рецепты[[#This Row],[Состав]],Ингредиенты[],3,FALSE)</f>
        <v>75</v>
      </c>
      <c r="L487" s="41">
        <f>IF(VLOOKUP(Рецепты[[#This Row],[Состав]],Ингредиенты[],4,0)="Основа",VLOOKUP(Рецепты[[#This Row],[Способ]],Способ[],2,0),0%)</f>
        <v>0.35</v>
      </c>
      <c r="M487" s="41">
        <f>VLOOKUP(Рецепты[[#This Row],[Способ]],Способ[],3,0)</f>
        <v>2</v>
      </c>
      <c r="N487" s="43">
        <f>Рецепты[[#This Row],[р]]*100%/(100%-Рецепты[[#This Row],[Потери, %]])+Рецепты[[#This Row],[Маржа]]*(Рецепты[[#This Row],[р]]*100%)/(100%-Рецепты[[#This Row],[Потери, %]])</f>
        <v>346.15384615384619</v>
      </c>
      <c r="O487" s="43">
        <f>Рецепты[[#This Row],[Цена за 1 кг]]-(Рецепты[[#This Row],[р]]*100%/(100%-Рецепты[[#This Row],[Потери, %]]))</f>
        <v>230.7692307692308</v>
      </c>
      <c r="P487" s="28" t="s">
        <v>608</v>
      </c>
      <c r="Q487" s="40"/>
      <c r="R487" s="44" t="str">
        <f>VLOOKUP(Рецепты[[#This Row],[Состав]],Ингредиенты[],9,0)</f>
        <v>Нет</v>
      </c>
      <c r="S487" s="52"/>
    </row>
    <row r="488" spans="1:19" x14ac:dyDescent="0.25">
      <c r="A488" s="40" t="s">
        <v>607</v>
      </c>
      <c r="B488" s="40" t="str">
        <f t="shared" si="82"/>
        <v>Колбаса</v>
      </c>
      <c r="C488" s="40" t="str">
        <f t="shared" si="83"/>
        <v>Сырокопченое</v>
      </c>
      <c r="D488" s="40" t="s">
        <v>125</v>
      </c>
      <c r="E488" s="41" t="str">
        <f>VLOOKUP(Рецепты[[#This Row],[Состав]],Ингредиенты[],2,0)</f>
        <v>Специи</v>
      </c>
      <c r="F488" s="62">
        <v>2.8000000000000001E-2</v>
      </c>
      <c r="G488" s="42">
        <f>IF(Рецепты[[#This Row],[%]]*1000&gt;0,Рецепты[[#This Row],[%]]*1000,"")</f>
        <v>28</v>
      </c>
      <c r="H488" s="43">
        <f>IFERROR(VLOOKUP(Рецепты[[#This Row],[Состав]],Ингредиенты!A:I,3,0)*Рецепты[[#This Row],[г]],"")</f>
        <v>3.5840000000000001</v>
      </c>
      <c r="I488" s="42">
        <f>СводРецепт!$A$1</f>
        <v>1000</v>
      </c>
      <c r="J488" s="42">
        <f>Рецепты[[#This Row],[%]]*Рецепты[[#This Row],[Масса]]</f>
        <v>28</v>
      </c>
      <c r="K488" s="43">
        <f>Рецепты[[#This Row],[Вес ингр-тов]]*VLOOKUP(Рецепты[[#This Row],[Состав]],Ингредиенты[],3,FALSE)</f>
        <v>3.5840000000000001</v>
      </c>
      <c r="L488" s="41">
        <f>IF(VLOOKUP(Рецепты[[#This Row],[Состав]],Ингредиенты[],4,0)="Основа",VLOOKUP(Рецепты[[#This Row],[Способ]],Способ[],2,0),0%)</f>
        <v>0</v>
      </c>
      <c r="M488" s="41">
        <f>VLOOKUP(Рецепты[[#This Row],[Способ]],Способ[],3,0)</f>
        <v>2</v>
      </c>
      <c r="N488" s="43">
        <f>Рецепты[[#This Row],[р]]*100%/(100%-Рецепты[[#This Row],[Потери, %]])+Рецепты[[#This Row],[Маржа]]*(Рецепты[[#This Row],[р]]*100%)/(100%-Рецепты[[#This Row],[Потери, %]])</f>
        <v>10.752000000000001</v>
      </c>
      <c r="O488" s="43">
        <f>Рецепты[[#This Row],[Цена за 1 кг]]-(Рецепты[[#This Row],[р]]*100%/(100%-Рецепты[[#This Row],[Потери, %]]))</f>
        <v>7.168000000000001</v>
      </c>
      <c r="P488" s="28" t="s">
        <v>608</v>
      </c>
      <c r="Q488" s="40"/>
      <c r="R488" s="44" t="str">
        <f>VLOOKUP(Рецепты[[#This Row],[Состав]],Ингредиенты[],9,0)</f>
        <v>Да</v>
      </c>
      <c r="S488" s="52"/>
    </row>
    <row r="489" spans="1:19" x14ac:dyDescent="0.25">
      <c r="A489" s="40" t="s">
        <v>607</v>
      </c>
      <c r="B489" s="40" t="str">
        <f t="shared" si="82"/>
        <v>Колбаса</v>
      </c>
      <c r="C489" s="40" t="str">
        <f t="shared" si="83"/>
        <v>Сырокопченое</v>
      </c>
      <c r="D489" s="40" t="s">
        <v>133</v>
      </c>
      <c r="E489" s="41" t="str">
        <f>VLOOKUP(Рецепты[[#This Row],[Состав]],Ингредиенты[],2,0)</f>
        <v>Специи</v>
      </c>
      <c r="F489" s="62">
        <v>3.0000000000000001E-3</v>
      </c>
      <c r="G489" s="42">
        <f>IF(Рецепты[[#This Row],[%]]*1000&gt;0,Рецепты[[#This Row],[%]]*1000,"")</f>
        <v>3</v>
      </c>
      <c r="H489" s="43">
        <f>IFERROR(VLOOKUP(Рецепты[[#This Row],[Состав]],Ингредиенты!A:I,3,0)*Рецепты[[#This Row],[г]],"")</f>
        <v>3.2836363636363632</v>
      </c>
      <c r="I489" s="42">
        <f>СводРецепт!$A$1</f>
        <v>1000</v>
      </c>
      <c r="J489" s="42">
        <f>Рецепты[[#This Row],[%]]*Рецепты[[#This Row],[Масса]]</f>
        <v>3</v>
      </c>
      <c r="K489" s="43">
        <f>Рецепты[[#This Row],[Вес ингр-тов]]*VLOOKUP(Рецепты[[#This Row],[Состав]],Ингредиенты[],3,FALSE)</f>
        <v>3.2836363636363632</v>
      </c>
      <c r="L489" s="41">
        <f>IF(VLOOKUP(Рецепты[[#This Row],[Состав]],Ингредиенты[],4,0)="Основа",VLOOKUP(Рецепты[[#This Row],[Способ]],Способ[],2,0),0%)</f>
        <v>0</v>
      </c>
      <c r="M489" s="41">
        <f>VLOOKUP(Рецепты[[#This Row],[Способ]],Способ[],3,0)</f>
        <v>2</v>
      </c>
      <c r="N489" s="43">
        <f>Рецепты[[#This Row],[р]]*100%/(100%-Рецепты[[#This Row],[Потери, %]])+Рецепты[[#This Row],[Маржа]]*(Рецепты[[#This Row],[р]]*100%)/(100%-Рецепты[[#This Row],[Потери, %]])</f>
        <v>9.8509090909090897</v>
      </c>
      <c r="O489" s="43">
        <f>Рецепты[[#This Row],[Цена за 1 кг]]-(Рецепты[[#This Row],[р]]*100%/(100%-Рецепты[[#This Row],[Потери, %]]))</f>
        <v>6.5672727272727265</v>
      </c>
      <c r="P489" s="28" t="s">
        <v>608</v>
      </c>
      <c r="Q489" s="40"/>
      <c r="R489" s="44" t="str">
        <f>VLOOKUP(Рецепты[[#This Row],[Состав]],Ингредиенты[],9,0)</f>
        <v>Да</v>
      </c>
      <c r="S489" s="52"/>
    </row>
    <row r="490" spans="1:19" x14ac:dyDescent="0.25">
      <c r="A490" s="40" t="s">
        <v>607</v>
      </c>
      <c r="B490" s="40" t="str">
        <f t="shared" si="82"/>
        <v>Колбаса</v>
      </c>
      <c r="C490" s="40" t="str">
        <f t="shared" si="83"/>
        <v>Сырокопченое</v>
      </c>
      <c r="D490" s="40" t="s">
        <v>147</v>
      </c>
      <c r="E490" s="41" t="str">
        <f>VLOOKUP(Рецепты[[#This Row],[Состав]],Ингредиенты[],2,0)</f>
        <v>Специи</v>
      </c>
      <c r="F490" s="62">
        <v>2E-3</v>
      </c>
      <c r="G490" s="42">
        <f>IF(Рецепты[[#This Row],[%]]*1000&gt;0,Рецепты[[#This Row],[%]]*1000,"")</f>
        <v>2</v>
      </c>
      <c r="H490" s="43">
        <f>IFERROR(VLOOKUP(Рецепты[[#This Row],[Состав]],Ингредиенты!A:I,3,0)*Рецепты[[#This Row],[г]],"")</f>
        <v>1.792</v>
      </c>
      <c r="I490" s="42">
        <f>СводРецепт!$A$1</f>
        <v>1000</v>
      </c>
      <c r="J490" s="42">
        <f>Рецепты[[#This Row],[%]]*Рецепты[[#This Row],[Масса]]</f>
        <v>2</v>
      </c>
      <c r="K490" s="43">
        <f>Рецепты[[#This Row],[Вес ингр-тов]]*VLOOKUP(Рецепты[[#This Row],[Состав]],Ингредиенты[],3,FALSE)</f>
        <v>1.792</v>
      </c>
      <c r="L490" s="41">
        <f>IF(VLOOKUP(Рецепты[[#This Row],[Состав]],Ингредиенты[],4,0)="Основа",VLOOKUP(Рецепты[[#This Row],[Способ]],Способ[],2,0),0%)</f>
        <v>0</v>
      </c>
      <c r="M490" s="41">
        <f>VLOOKUP(Рецепты[[#This Row],[Способ]],Способ[],3,0)</f>
        <v>2</v>
      </c>
      <c r="N490" s="43">
        <f>Рецепты[[#This Row],[р]]*100%/(100%-Рецепты[[#This Row],[Потери, %]])+Рецепты[[#This Row],[Маржа]]*(Рецепты[[#This Row],[р]]*100%)/(100%-Рецепты[[#This Row],[Потери, %]])</f>
        <v>5.3760000000000003</v>
      </c>
      <c r="O490" s="43">
        <f>Рецепты[[#This Row],[Цена за 1 кг]]-(Рецепты[[#This Row],[р]]*100%/(100%-Рецепты[[#This Row],[Потери, %]]))</f>
        <v>3.5840000000000005</v>
      </c>
      <c r="P490" s="28" t="s">
        <v>608</v>
      </c>
      <c r="Q490" s="40"/>
      <c r="R490" s="44" t="str">
        <f>VLOOKUP(Рецепты[[#This Row],[Состав]],Ингредиенты[],9,0)</f>
        <v>Да</v>
      </c>
      <c r="S490" s="52"/>
    </row>
    <row r="491" spans="1:19" x14ac:dyDescent="0.25">
      <c r="A491" s="40" t="s">
        <v>607</v>
      </c>
      <c r="B491" s="40" t="str">
        <f t="shared" si="82"/>
        <v>Колбаса</v>
      </c>
      <c r="C491" s="40" t="str">
        <f t="shared" si="83"/>
        <v>Сырокопченое</v>
      </c>
      <c r="D491" s="40" t="s">
        <v>201</v>
      </c>
      <c r="E491" s="41" t="str">
        <f>VLOOKUP(Рецепты[[#This Row],[Состав]],Ингредиенты[],2,0)</f>
        <v>Специи</v>
      </c>
      <c r="F491" s="62">
        <v>5.0000000000000001E-4</v>
      </c>
      <c r="G491" s="42">
        <f>IF(Рецепты[[#This Row],[%]]*1000&gt;0,Рецепты[[#This Row],[%]]*1000,"")</f>
        <v>0.5</v>
      </c>
      <c r="H491" s="43">
        <f>IFERROR(VLOOKUP(Рецепты[[#This Row],[Состав]],Ингредиенты!A:I,3,0)*Рецепты[[#This Row],[г]],"")</f>
        <v>0.29099999999999998</v>
      </c>
      <c r="I491" s="42">
        <f>СводРецепт!$A$1</f>
        <v>1000</v>
      </c>
      <c r="J491" s="42">
        <f>Рецепты[[#This Row],[%]]*Рецепты[[#This Row],[Масса]]</f>
        <v>0.5</v>
      </c>
      <c r="K491" s="43">
        <f>Рецепты[[#This Row],[Вес ингр-тов]]*VLOOKUP(Рецепты[[#This Row],[Состав]],Ингредиенты[],3,FALSE)</f>
        <v>0.29099999999999998</v>
      </c>
      <c r="L491" s="41">
        <f>IF(VLOOKUP(Рецепты[[#This Row],[Состав]],Ингредиенты[],4,0)="Основа",VLOOKUP(Рецепты[[#This Row],[Способ]],Способ[],2,0),0%)</f>
        <v>0</v>
      </c>
      <c r="M491" s="41">
        <f>VLOOKUP(Рецепты[[#This Row],[Способ]],Способ[],3,0)</f>
        <v>2</v>
      </c>
      <c r="N491" s="43">
        <f>Рецепты[[#This Row],[р]]*100%/(100%-Рецепты[[#This Row],[Потери, %]])+Рецепты[[#This Row],[Маржа]]*(Рецепты[[#This Row],[р]]*100%)/(100%-Рецепты[[#This Row],[Потери, %]])</f>
        <v>0.873</v>
      </c>
      <c r="O491" s="43">
        <f>Рецепты[[#This Row],[Цена за 1 кг]]-(Рецепты[[#This Row],[р]]*100%/(100%-Рецепты[[#This Row],[Потери, %]]))</f>
        <v>0.58200000000000007</v>
      </c>
      <c r="P491" s="28" t="s">
        <v>608</v>
      </c>
      <c r="Q491" s="40"/>
      <c r="R491" s="44" t="str">
        <f>VLOOKUP(Рецепты[[#This Row],[Состав]],Ингредиенты[],9,0)</f>
        <v>Нет</v>
      </c>
      <c r="S491" s="52"/>
    </row>
    <row r="492" spans="1:19" x14ac:dyDescent="0.25">
      <c r="A492" s="40" t="s">
        <v>607</v>
      </c>
      <c r="B492" s="40" t="str">
        <f t="shared" si="82"/>
        <v>Колбаса</v>
      </c>
      <c r="C492" s="40" t="str">
        <f t="shared" si="83"/>
        <v>Сырокопченое</v>
      </c>
      <c r="D492" s="40" t="s">
        <v>131</v>
      </c>
      <c r="E492" s="41" t="str">
        <f>VLOOKUP(Рецепты[[#This Row],[Состав]],Ингредиенты[],2,0)</f>
        <v>Специи</v>
      </c>
      <c r="F492" s="62">
        <v>2E-3</v>
      </c>
      <c r="G492" s="42">
        <f>IF(Рецепты[[#This Row],[%]]*1000&gt;0,Рецепты[[#This Row],[%]]*1000,"")</f>
        <v>2</v>
      </c>
      <c r="H492" s="43">
        <f>IFERROR(VLOOKUP(Рецепты[[#This Row],[Состав]],Ингредиенты!A:I,3,0)*Рецепты[[#This Row],[г]],"")</f>
        <v>0.16176470588235295</v>
      </c>
      <c r="I492" s="42">
        <f>СводРецепт!$A$1</f>
        <v>1000</v>
      </c>
      <c r="J492" s="42">
        <f>Рецепты[[#This Row],[%]]*Рецепты[[#This Row],[Масса]]</f>
        <v>2</v>
      </c>
      <c r="K492" s="43">
        <f>Рецепты[[#This Row],[Вес ингр-тов]]*VLOOKUP(Рецепты[[#This Row],[Состав]],Ингредиенты[],3,FALSE)</f>
        <v>0.16176470588235295</v>
      </c>
      <c r="L492" s="41">
        <f>IF(VLOOKUP(Рецепты[[#This Row],[Состав]],Ингредиенты[],4,0)="Основа",VLOOKUP(Рецепты[[#This Row],[Способ]],Способ[],2,0),0%)</f>
        <v>0</v>
      </c>
      <c r="M492" s="41">
        <f>VLOOKUP(Рецепты[[#This Row],[Способ]],Способ[],3,0)</f>
        <v>2</v>
      </c>
      <c r="N492" s="43">
        <f>Рецепты[[#This Row],[р]]*100%/(100%-Рецепты[[#This Row],[Потери, %]])+Рецепты[[#This Row],[Маржа]]*(Рецепты[[#This Row],[р]]*100%)/(100%-Рецепты[[#This Row],[Потери, %]])</f>
        <v>0.48529411764705888</v>
      </c>
      <c r="O492" s="43">
        <f>Рецепты[[#This Row],[Цена за 1 кг]]-(Рецепты[[#This Row],[р]]*100%/(100%-Рецепты[[#This Row],[Потери, %]]))</f>
        <v>0.32352941176470595</v>
      </c>
      <c r="P492" s="28" t="s">
        <v>608</v>
      </c>
      <c r="Q492" s="40"/>
      <c r="R492" s="44" t="str">
        <f>VLOOKUP(Рецепты[[#This Row],[Состав]],Ингредиенты[],9,0)</f>
        <v>Да</v>
      </c>
      <c r="S492" s="52"/>
    </row>
    <row r="493" spans="1:19" x14ac:dyDescent="0.25">
      <c r="A493" s="40" t="s">
        <v>607</v>
      </c>
      <c r="B493" s="40" t="str">
        <f t="shared" si="82"/>
        <v>Колбаса</v>
      </c>
      <c r="C493" s="40" t="str">
        <f t="shared" si="83"/>
        <v>Сырокопченое</v>
      </c>
      <c r="D493" s="40" t="s">
        <v>106</v>
      </c>
      <c r="E493" s="41" t="str">
        <f>VLOOKUP(Рецепты[[#This Row],[Состав]],Ингредиенты[],2,0)</f>
        <v>Добавки</v>
      </c>
      <c r="F493" s="62">
        <v>0.01</v>
      </c>
      <c r="G493" s="42">
        <f>IF(Рецепты[[#This Row],[%]]*1000&gt;0,Рецепты[[#This Row],[%]]*1000,"")</f>
        <v>10</v>
      </c>
      <c r="H493" s="43">
        <f>IFERROR(VLOOKUP(Рецепты[[#This Row],[Состав]],Ингредиенты!A:I,3,0)*Рецепты[[#This Row],[г]],"")</f>
        <v>10</v>
      </c>
      <c r="I493" s="42">
        <f>СводРецепт!$A$1</f>
        <v>1000</v>
      </c>
      <c r="J493" s="42">
        <f>Рецепты[[#This Row],[%]]*Рецепты[[#This Row],[Масса]]</f>
        <v>10</v>
      </c>
      <c r="K493" s="43">
        <f>Рецепты[[#This Row],[Вес ингр-тов]]*VLOOKUP(Рецепты[[#This Row],[Состав]],Ингредиенты[],3,FALSE)</f>
        <v>10</v>
      </c>
      <c r="L493" s="41">
        <f>IF(VLOOKUP(Рецепты[[#This Row],[Состав]],Ингредиенты[],4,0)="Основа",VLOOKUP(Рецепты[[#This Row],[Способ]],Способ[],2,0),0%)</f>
        <v>0</v>
      </c>
      <c r="M493" s="41">
        <f>VLOOKUP(Рецепты[[#This Row],[Способ]],Способ[],3,0)</f>
        <v>2</v>
      </c>
      <c r="N493" s="43">
        <f>Рецепты[[#This Row],[р]]*100%/(100%-Рецепты[[#This Row],[Потери, %]])+Рецепты[[#This Row],[Маржа]]*(Рецепты[[#This Row],[р]]*100%)/(100%-Рецепты[[#This Row],[Потери, %]])</f>
        <v>30</v>
      </c>
      <c r="O493" s="43">
        <f>Рецепты[[#This Row],[Цена за 1 кг]]-(Рецепты[[#This Row],[р]]*100%/(100%-Рецепты[[#This Row],[Потери, %]]))</f>
        <v>20</v>
      </c>
      <c r="P493" s="28" t="s">
        <v>608</v>
      </c>
      <c r="Q493" s="40"/>
      <c r="R493" s="44" t="str">
        <f>VLOOKUP(Рецепты[[#This Row],[Состав]],Ингредиенты[],9,0)</f>
        <v>Нет</v>
      </c>
      <c r="S493" s="52"/>
    </row>
    <row r="494" spans="1:19" x14ac:dyDescent="0.25">
      <c r="A494" s="40" t="s">
        <v>607</v>
      </c>
      <c r="B494" s="40" t="str">
        <f t="shared" si="82"/>
        <v>Колбаса</v>
      </c>
      <c r="C494" s="40" t="str">
        <f t="shared" si="83"/>
        <v>Сырокопченое</v>
      </c>
      <c r="D494" s="40" t="s">
        <v>225</v>
      </c>
      <c r="E494" s="41" t="str">
        <f>VLOOKUP(Рецепты[[#This Row],[Состав]],Ингредиенты[],2,0)</f>
        <v>Оболочка</v>
      </c>
      <c r="F494" s="62">
        <v>1E-3</v>
      </c>
      <c r="G494" s="42">
        <f>IF(Рецепты[[#This Row],[%]]*1000&gt;0,Рецепты[[#This Row],[%]]*1000,"")</f>
        <v>1</v>
      </c>
      <c r="H494" s="43">
        <f>IFERROR(VLOOKUP(Рецепты[[#This Row],[Состав]],Ингредиенты!A:I,3,0)*Рецепты[[#This Row],[г]],"")</f>
        <v>32.760032760032757</v>
      </c>
      <c r="I494" s="42">
        <f>СводРецепт!$A$1</f>
        <v>1000</v>
      </c>
      <c r="J494" s="42">
        <f>Рецепты[[#This Row],[%]]*Рецепты[[#This Row],[Масса]]</f>
        <v>1</v>
      </c>
      <c r="K494" s="43">
        <f>Рецепты[[#This Row],[Вес ингр-тов]]*VLOOKUP(Рецепты[[#This Row],[Состав]],Ингредиенты[],3,FALSE)</f>
        <v>32.760032760032757</v>
      </c>
      <c r="L494" s="41">
        <f>IF(VLOOKUP(Рецепты[[#This Row],[Состав]],Ингредиенты[],4,0)="Основа",VLOOKUP(Рецепты[[#This Row],[Способ]],Способ[],2,0),0%)</f>
        <v>0</v>
      </c>
      <c r="M494" s="41">
        <f>VLOOKUP(Рецепты[[#This Row],[Способ]],Способ[],3,0)</f>
        <v>2</v>
      </c>
      <c r="N494" s="43">
        <f>Рецепты[[#This Row],[р]]*100%/(100%-Рецепты[[#This Row],[Потери, %]])+Рецепты[[#This Row],[Маржа]]*(Рецепты[[#This Row],[р]]*100%)/(100%-Рецепты[[#This Row],[Потери, %]])</f>
        <v>98.280098280098272</v>
      </c>
      <c r="O494" s="43">
        <f>Рецепты[[#This Row],[Цена за 1 кг]]-(Рецепты[[#This Row],[р]]*100%/(100%-Рецепты[[#This Row],[Потери, %]]))</f>
        <v>65.520065520065515</v>
      </c>
      <c r="P494" s="28" t="s">
        <v>608</v>
      </c>
      <c r="Q494" s="40"/>
      <c r="R494" s="44" t="str">
        <f>VLOOKUP(Рецепты[[#This Row],[Состав]],Ингредиенты[],9,0)</f>
        <v>Да</v>
      </c>
      <c r="S494" s="52"/>
    </row>
    <row r="495" spans="1:19" x14ac:dyDescent="0.25">
      <c r="A495" s="55" t="s">
        <v>631</v>
      </c>
      <c r="B495" s="55" t="s">
        <v>21</v>
      </c>
      <c r="C495" s="55" t="s">
        <v>5</v>
      </c>
      <c r="D495" s="55" t="s">
        <v>54</v>
      </c>
      <c r="E495" s="56" t="str">
        <f>VLOOKUP(Рецепты[[#This Row],[Состав]],Ингредиенты[],2,0)</f>
        <v>Свинина</v>
      </c>
      <c r="F495" s="63">
        <v>0.4</v>
      </c>
      <c r="G495" s="57">
        <f>IF(Рецепты[[#This Row],[%]]*1000&gt;0,Рецепты[[#This Row],[%]]*1000,"")</f>
        <v>400</v>
      </c>
      <c r="H495" s="58">
        <f>IFERROR(VLOOKUP(Рецепты[[#This Row],[Состав]],Ингредиенты!A:I,3,0)*Рецепты[[#This Row],[г]],"")</f>
        <v>171.99599999999998</v>
      </c>
      <c r="I495" s="57">
        <f>СводРецепт!$A$1</f>
        <v>1000</v>
      </c>
      <c r="J495" s="57">
        <f>Рецепты[[#This Row],[%]]*Рецепты[[#This Row],[Масса]]</f>
        <v>400</v>
      </c>
      <c r="K495" s="58">
        <f>Рецепты[[#This Row],[Вес ингр-тов]]*VLOOKUP(Рецепты[[#This Row],[Состав]],Ингредиенты[],3,FALSE)</f>
        <v>171.99599999999998</v>
      </c>
      <c r="L495" s="56">
        <f>IF(VLOOKUP(Рецепты[[#This Row],[Состав]],Ингредиенты[],4,0)="Основа",VLOOKUP(Рецепты[[#This Row],[Способ]],Способ[],2,0),0%)</f>
        <v>0.15</v>
      </c>
      <c r="M495" s="56">
        <f>VLOOKUP(Рецепты[[#This Row],[Способ]],Способ[],3,0)</f>
        <v>0.9</v>
      </c>
      <c r="N495" s="58">
        <f>Рецепты[[#This Row],[р]]*100%/(100%-Рецепты[[#This Row],[Потери, %]])+Рецепты[[#This Row],[Маржа]]*(Рецепты[[#This Row],[р]]*100%)/(100%-Рецепты[[#This Row],[Потери, %]])</f>
        <v>384.46164705882347</v>
      </c>
      <c r="O495" s="58">
        <f>Рецепты[[#This Row],[Цена за 1 кг]]-(Рецепты[[#This Row],[р]]*100%/(100%-Рецепты[[#This Row],[Потери, %]]))</f>
        <v>182.11341176470583</v>
      </c>
      <c r="P495" s="28" t="s">
        <v>635</v>
      </c>
      <c r="Q495" s="55"/>
      <c r="R495" s="59" t="str">
        <f>VLOOKUP(Рецепты[[#This Row],[Состав]],Ингредиенты[],9,0)</f>
        <v>Нет</v>
      </c>
      <c r="S495" s="59"/>
    </row>
    <row r="496" spans="1:19" x14ac:dyDescent="0.25">
      <c r="A496" s="55" t="s">
        <v>631</v>
      </c>
      <c r="B496" s="55" t="str">
        <f t="shared" ref="B496:B509" si="84">B495</f>
        <v>Сосиски</v>
      </c>
      <c r="C496" s="55" t="str">
        <f t="shared" ref="C496:C509" si="85">C495</f>
        <v>ГК</v>
      </c>
      <c r="D496" s="55" t="s">
        <v>52</v>
      </c>
      <c r="E496" s="56" t="str">
        <f>VLOOKUP(Рецепты[[#This Row],[Состав]],Ингредиенты[],2,0)</f>
        <v>Свинина</v>
      </c>
      <c r="F496" s="63">
        <v>0.4</v>
      </c>
      <c r="G496" s="57">
        <f>IF(Рецепты[[#This Row],[%]]*1000&gt;0,Рецепты[[#This Row],[%]]*1000,"")</f>
        <v>400</v>
      </c>
      <c r="H496" s="58">
        <f>IFERROR(VLOOKUP(Рецепты[[#This Row],[Состав]],Ингредиенты!A:I,3,0)*Рецепты[[#This Row],[г]],"")</f>
        <v>147.6</v>
      </c>
      <c r="I496" s="57">
        <f>СводРецепт!$A$1</f>
        <v>1000</v>
      </c>
      <c r="J496" s="57">
        <f>Рецепты[[#This Row],[%]]*Рецепты[[#This Row],[Масса]]</f>
        <v>400</v>
      </c>
      <c r="K496" s="58">
        <f>Рецепты[[#This Row],[Вес ингр-тов]]*VLOOKUP(Рецепты[[#This Row],[Состав]],Ингредиенты[],3,FALSE)</f>
        <v>147.6</v>
      </c>
      <c r="L496" s="56">
        <f>IF(VLOOKUP(Рецепты[[#This Row],[Состав]],Ингредиенты[],4,0)="Основа",VLOOKUP(Рецепты[[#This Row],[Способ]],Способ[],2,0),0%)</f>
        <v>0.15</v>
      </c>
      <c r="M496" s="56">
        <f>VLOOKUP(Рецепты[[#This Row],[Способ]],Способ[],3,0)</f>
        <v>0.9</v>
      </c>
      <c r="N496" s="58">
        <f>Рецепты[[#This Row],[р]]*100%/(100%-Рецепты[[#This Row],[Потери, %]])+Рецепты[[#This Row],[Маржа]]*(Рецепты[[#This Row],[р]]*100%)/(100%-Рецепты[[#This Row],[Потери, %]])</f>
        <v>329.92941176470589</v>
      </c>
      <c r="O496" s="58">
        <f>Рецепты[[#This Row],[Цена за 1 кг]]-(Рецепты[[#This Row],[р]]*100%/(100%-Рецепты[[#This Row],[Потери, %]]))</f>
        <v>156.28235294117647</v>
      </c>
      <c r="P496" s="28" t="s">
        <v>635</v>
      </c>
      <c r="Q496" s="55"/>
      <c r="R496" s="59" t="str">
        <f>VLOOKUP(Рецепты[[#This Row],[Состав]],Ингредиенты[],9,0)</f>
        <v>Нет</v>
      </c>
      <c r="S496" s="59"/>
    </row>
    <row r="497" spans="1:19" x14ac:dyDescent="0.25">
      <c r="A497" s="55" t="s">
        <v>631</v>
      </c>
      <c r="B497" s="55" t="str">
        <f t="shared" si="84"/>
        <v>Сосиски</v>
      </c>
      <c r="C497" s="55" t="str">
        <f t="shared" si="85"/>
        <v>ГК</v>
      </c>
      <c r="D497" s="55" t="s">
        <v>60</v>
      </c>
      <c r="E497" s="56" t="str">
        <f>VLOOKUP(Рецепты[[#This Row],[Состав]],Ингредиенты[],2,0)</f>
        <v>Свинина</v>
      </c>
      <c r="F497" s="63">
        <v>0.2</v>
      </c>
      <c r="G497" s="57">
        <f>IF(Рецепты[[#This Row],[%]]*1000&gt;0,Рецепты[[#This Row],[%]]*1000,"")</f>
        <v>200</v>
      </c>
      <c r="H497" s="58">
        <f>IFERROR(VLOOKUP(Рецепты[[#This Row],[Состав]],Ингредиенты!A:I,3,0)*Рецепты[[#This Row],[г]],"")</f>
        <v>60</v>
      </c>
      <c r="I497" s="57">
        <f>СводРецепт!$A$1</f>
        <v>1000</v>
      </c>
      <c r="J497" s="57">
        <f>Рецепты[[#This Row],[%]]*Рецепты[[#This Row],[Масса]]</f>
        <v>200</v>
      </c>
      <c r="K497" s="58">
        <f>Рецепты[[#This Row],[Вес ингр-тов]]*VLOOKUP(Рецепты[[#This Row],[Состав]],Ингредиенты[],3,FALSE)</f>
        <v>60</v>
      </c>
      <c r="L497" s="56">
        <f>IF(VLOOKUP(Рецепты[[#This Row],[Состав]],Ингредиенты[],4,0)="Основа",VLOOKUP(Рецепты[[#This Row],[Способ]],Способ[],2,0),0%)</f>
        <v>0.15</v>
      </c>
      <c r="M497" s="56">
        <f>VLOOKUP(Рецепты[[#This Row],[Способ]],Способ[],3,0)</f>
        <v>0.9</v>
      </c>
      <c r="N497" s="58">
        <f>Рецепты[[#This Row],[р]]*100%/(100%-Рецепты[[#This Row],[Потери, %]])+Рецепты[[#This Row],[Маржа]]*(Рецепты[[#This Row],[р]]*100%)/(100%-Рецепты[[#This Row],[Потери, %]])</f>
        <v>134.11764705882354</v>
      </c>
      <c r="O497" s="58">
        <f>Рецепты[[#This Row],[Цена за 1 кг]]-(Рецепты[[#This Row],[р]]*100%/(100%-Рецепты[[#This Row],[Потери, %]]))</f>
        <v>63.529411764705884</v>
      </c>
      <c r="P497" s="28" t="s">
        <v>635</v>
      </c>
      <c r="Q497" s="55"/>
      <c r="R497" s="59" t="str">
        <f>VLOOKUP(Рецепты[[#This Row],[Состав]],Ингредиенты[],9,0)</f>
        <v>Нет</v>
      </c>
      <c r="S497" s="59"/>
    </row>
    <row r="498" spans="1:19" x14ac:dyDescent="0.25">
      <c r="A498" s="55" t="s">
        <v>631</v>
      </c>
      <c r="B498" s="55" t="str">
        <f t="shared" si="84"/>
        <v>Сосиски</v>
      </c>
      <c r="C498" s="55" t="str">
        <f t="shared" si="85"/>
        <v>ГК</v>
      </c>
      <c r="D498" s="55" t="s">
        <v>93</v>
      </c>
      <c r="E498" s="56" t="str">
        <f>VLOOKUP(Рецепты[[#This Row],[Состав]],Ингредиенты[],2,0)</f>
        <v>Добавки</v>
      </c>
      <c r="F498" s="63">
        <v>0.18</v>
      </c>
      <c r="G498" s="57">
        <f>IF(Рецепты[[#This Row],[%]]*1000&gt;0,Рецепты[[#This Row],[%]]*1000,"")</f>
        <v>180</v>
      </c>
      <c r="H498" s="58">
        <f>IFERROR(VLOOKUP(Рецепты[[#This Row],[Состав]],Ингредиенты!A:I,3,0)*Рецепты[[#This Row],[г]],"")</f>
        <v>0.18</v>
      </c>
      <c r="I498" s="57">
        <f>СводРецепт!$A$1</f>
        <v>1000</v>
      </c>
      <c r="J498" s="57">
        <f>Рецепты[[#This Row],[%]]*Рецепты[[#This Row],[Масса]]</f>
        <v>180</v>
      </c>
      <c r="K498" s="58">
        <f>Рецепты[[#This Row],[Вес ингр-тов]]*VLOOKUP(Рецепты[[#This Row],[Состав]],Ингредиенты[],3,FALSE)</f>
        <v>0.18</v>
      </c>
      <c r="L498" s="56">
        <f>IF(VLOOKUP(Рецепты[[#This Row],[Состав]],Ингредиенты[],4,0)="Основа",VLOOKUP(Рецепты[[#This Row],[Способ]],Способ[],2,0),0%)</f>
        <v>0</v>
      </c>
      <c r="M498" s="56">
        <f>VLOOKUP(Рецепты[[#This Row],[Способ]],Способ[],3,0)</f>
        <v>0.9</v>
      </c>
      <c r="N498" s="58">
        <f>Рецепты[[#This Row],[р]]*100%/(100%-Рецепты[[#This Row],[Потери, %]])+Рецепты[[#This Row],[Маржа]]*(Рецепты[[#This Row],[р]]*100%)/(100%-Рецепты[[#This Row],[Потери, %]])</f>
        <v>0.34199999999999997</v>
      </c>
      <c r="O498" s="58">
        <f>Рецепты[[#This Row],[Цена за 1 кг]]-(Рецепты[[#This Row],[р]]*100%/(100%-Рецепты[[#This Row],[Потери, %]]))</f>
        <v>0.16199999999999998</v>
      </c>
      <c r="P498" s="28" t="s">
        <v>635</v>
      </c>
      <c r="Q498" s="55"/>
      <c r="R498" s="59" t="str">
        <f>VLOOKUP(Рецепты[[#This Row],[Состав]],Ингредиенты[],9,0)</f>
        <v>Да</v>
      </c>
      <c r="S498" s="59"/>
    </row>
    <row r="499" spans="1:19" x14ac:dyDescent="0.25">
      <c r="A499" s="55" t="s">
        <v>631</v>
      </c>
      <c r="B499" s="55" t="str">
        <f t="shared" si="84"/>
        <v>Сосиски</v>
      </c>
      <c r="C499" s="55" t="str">
        <f t="shared" si="85"/>
        <v>ГК</v>
      </c>
      <c r="D499" s="55" t="s">
        <v>125</v>
      </c>
      <c r="E499" s="56" t="str">
        <f>VLOOKUP(Рецепты[[#This Row],[Состав]],Ингредиенты[],2,0)</f>
        <v>Специи</v>
      </c>
      <c r="F499" s="63">
        <v>1.7999999999999999E-2</v>
      </c>
      <c r="G499" s="57">
        <f>IF(Рецепты[[#This Row],[%]]*1000&gt;0,Рецепты[[#This Row],[%]]*1000,"")</f>
        <v>18</v>
      </c>
      <c r="H499" s="58">
        <f>IFERROR(VLOOKUP(Рецепты[[#This Row],[Состав]],Ингредиенты!A:I,3,0)*Рецепты[[#This Row],[г]],"")</f>
        <v>2.3040000000000003</v>
      </c>
      <c r="I499" s="57">
        <f>СводРецепт!$A$1</f>
        <v>1000</v>
      </c>
      <c r="J499" s="57">
        <f>Рецепты[[#This Row],[%]]*Рецепты[[#This Row],[Масса]]</f>
        <v>18</v>
      </c>
      <c r="K499" s="58">
        <f>Рецепты[[#This Row],[Вес ингр-тов]]*VLOOKUP(Рецепты[[#This Row],[Состав]],Ингредиенты[],3,FALSE)</f>
        <v>2.3040000000000003</v>
      </c>
      <c r="L499" s="56">
        <f>IF(VLOOKUP(Рецепты[[#This Row],[Состав]],Ингредиенты[],4,0)="Основа",VLOOKUP(Рецепты[[#This Row],[Способ]],Способ[],2,0),0%)</f>
        <v>0</v>
      </c>
      <c r="M499" s="56">
        <f>VLOOKUP(Рецепты[[#This Row],[Способ]],Способ[],3,0)</f>
        <v>0.9</v>
      </c>
      <c r="N499" s="58">
        <f>Рецепты[[#This Row],[р]]*100%/(100%-Рецепты[[#This Row],[Потери, %]])+Рецепты[[#This Row],[Маржа]]*(Рецепты[[#This Row],[р]]*100%)/(100%-Рецепты[[#This Row],[Потери, %]])</f>
        <v>4.377600000000001</v>
      </c>
      <c r="O499" s="58">
        <f>Рецепты[[#This Row],[Цена за 1 кг]]-(Рецепты[[#This Row],[р]]*100%/(100%-Рецепты[[#This Row],[Потери, %]]))</f>
        <v>2.0736000000000008</v>
      </c>
      <c r="P499" s="28" t="s">
        <v>635</v>
      </c>
      <c r="Q499" s="55"/>
      <c r="R499" s="59" t="str">
        <f>VLOOKUP(Рецепты[[#This Row],[Состав]],Ингредиенты[],9,0)</f>
        <v>Да</v>
      </c>
      <c r="S499" s="59"/>
    </row>
    <row r="500" spans="1:19" x14ac:dyDescent="0.25">
      <c r="A500" s="55" t="s">
        <v>631</v>
      </c>
      <c r="B500" s="55" t="str">
        <f t="shared" si="84"/>
        <v>Сосиски</v>
      </c>
      <c r="C500" s="55" t="str">
        <f t="shared" si="85"/>
        <v>ГК</v>
      </c>
      <c r="D500" s="55" t="s">
        <v>157</v>
      </c>
      <c r="E500" s="56" t="str">
        <f>VLOOKUP(Рецепты[[#This Row],[Состав]],Ингредиенты[],2,0)</f>
        <v>Специи</v>
      </c>
      <c r="F500" s="63">
        <v>3.0000000000000001E-3</v>
      </c>
      <c r="G500" s="57">
        <f>IF(Рецепты[[#This Row],[%]]*1000&gt;0,Рецепты[[#This Row],[%]]*1000,"")</f>
        <v>3</v>
      </c>
      <c r="H500" s="58">
        <f>IFERROR(VLOOKUP(Рецепты[[#This Row],[Состав]],Ингредиенты!A:I,3,0)*Рецепты[[#This Row],[г]],"")</f>
        <v>2.2439999999999998</v>
      </c>
      <c r="I500" s="57">
        <f>СводРецепт!$A$1</f>
        <v>1000</v>
      </c>
      <c r="J500" s="57">
        <f>Рецепты[[#This Row],[%]]*Рецепты[[#This Row],[Масса]]</f>
        <v>3</v>
      </c>
      <c r="K500" s="58">
        <f>Рецепты[[#This Row],[Вес ингр-тов]]*VLOOKUP(Рецепты[[#This Row],[Состав]],Ингредиенты[],3,FALSE)</f>
        <v>2.2439999999999998</v>
      </c>
      <c r="L500" s="56">
        <f>IF(VLOOKUP(Рецепты[[#This Row],[Состав]],Ингредиенты[],4,0)="Основа",VLOOKUP(Рецепты[[#This Row],[Способ]],Способ[],2,0),0%)</f>
        <v>0</v>
      </c>
      <c r="M500" s="56">
        <f>VLOOKUP(Рецепты[[#This Row],[Способ]],Способ[],3,0)</f>
        <v>0.9</v>
      </c>
      <c r="N500" s="58">
        <f>Рецепты[[#This Row],[р]]*100%/(100%-Рецепты[[#This Row],[Потери, %]])+Рецепты[[#This Row],[Маржа]]*(Рецепты[[#This Row],[р]]*100%)/(100%-Рецепты[[#This Row],[Потери, %]])</f>
        <v>4.2636000000000003</v>
      </c>
      <c r="O500" s="58">
        <f>Рецепты[[#This Row],[Цена за 1 кг]]-(Рецепты[[#This Row],[р]]*100%/(100%-Рецепты[[#This Row],[Потери, %]]))</f>
        <v>2.0196000000000005</v>
      </c>
      <c r="P500" s="28" t="s">
        <v>635</v>
      </c>
      <c r="Q500" s="55"/>
      <c r="R500" s="59" t="str">
        <f>VLOOKUP(Рецепты[[#This Row],[Состав]],Ингредиенты[],9,0)</f>
        <v>Да</v>
      </c>
      <c r="S500" s="59"/>
    </row>
    <row r="501" spans="1:19" x14ac:dyDescent="0.25">
      <c r="A501" s="55" t="s">
        <v>631</v>
      </c>
      <c r="B501" s="55" t="str">
        <f t="shared" si="84"/>
        <v>Сосиски</v>
      </c>
      <c r="C501" s="55" t="str">
        <f t="shared" si="85"/>
        <v>ГК</v>
      </c>
      <c r="D501" s="55" t="s">
        <v>133</v>
      </c>
      <c r="E501" s="56" t="str">
        <f>VLOOKUP(Рецепты[[#This Row],[Состав]],Ингредиенты[],2,0)</f>
        <v>Специи</v>
      </c>
      <c r="F501" s="63">
        <v>4.0000000000000001E-3</v>
      </c>
      <c r="G501" s="57">
        <f>IF(Рецепты[[#This Row],[%]]*1000&gt;0,Рецепты[[#This Row],[%]]*1000,"")</f>
        <v>4</v>
      </c>
      <c r="H501" s="58">
        <f>IFERROR(VLOOKUP(Рецепты[[#This Row],[Состав]],Ингредиенты!A:I,3,0)*Рецепты[[#This Row],[г]],"")</f>
        <v>4.378181818181818</v>
      </c>
      <c r="I501" s="57">
        <f>СводРецепт!$A$1</f>
        <v>1000</v>
      </c>
      <c r="J501" s="57">
        <f>Рецепты[[#This Row],[%]]*Рецепты[[#This Row],[Масса]]</f>
        <v>4</v>
      </c>
      <c r="K501" s="58">
        <f>Рецепты[[#This Row],[Вес ингр-тов]]*VLOOKUP(Рецепты[[#This Row],[Состав]],Ингредиенты[],3,FALSE)</f>
        <v>4.378181818181818</v>
      </c>
      <c r="L501" s="56">
        <f>IF(VLOOKUP(Рецепты[[#This Row],[Состав]],Ингредиенты[],4,0)="Основа",VLOOKUP(Рецепты[[#This Row],[Способ]],Способ[],2,0),0%)</f>
        <v>0</v>
      </c>
      <c r="M501" s="56">
        <f>VLOOKUP(Рецепты[[#This Row],[Способ]],Способ[],3,0)</f>
        <v>0.9</v>
      </c>
      <c r="N501" s="58">
        <f>Рецепты[[#This Row],[р]]*100%/(100%-Рецепты[[#This Row],[Потери, %]])+Рецепты[[#This Row],[Маржа]]*(Рецепты[[#This Row],[р]]*100%)/(100%-Рецепты[[#This Row],[Потери, %]])</f>
        <v>8.318545454545454</v>
      </c>
      <c r="O501" s="58">
        <f>Рецепты[[#This Row],[Цена за 1 кг]]-(Рецепты[[#This Row],[р]]*100%/(100%-Рецепты[[#This Row],[Потери, %]]))</f>
        <v>3.9403636363636361</v>
      </c>
      <c r="P501" s="28" t="s">
        <v>635</v>
      </c>
      <c r="Q501" s="55"/>
      <c r="R501" s="59" t="str">
        <f>VLOOKUP(Рецепты[[#This Row],[Состав]],Ингредиенты[],9,0)</f>
        <v>Да</v>
      </c>
      <c r="S501" s="59"/>
    </row>
    <row r="502" spans="1:19" x14ac:dyDescent="0.25">
      <c r="A502" s="55" t="s">
        <v>631</v>
      </c>
      <c r="B502" s="55" t="str">
        <f t="shared" si="84"/>
        <v>Сосиски</v>
      </c>
      <c r="C502" s="55" t="str">
        <f t="shared" si="85"/>
        <v>ГК</v>
      </c>
      <c r="D502" s="55" t="s">
        <v>151</v>
      </c>
      <c r="E502" s="56" t="str">
        <f>VLOOKUP(Рецепты[[#This Row],[Состав]],Ингредиенты[],2,0)</f>
        <v>Специи</v>
      </c>
      <c r="F502" s="63">
        <v>2E-3</v>
      </c>
      <c r="G502" s="57">
        <f>IF(Рецепты[[#This Row],[%]]*1000&gt;0,Рецепты[[#This Row],[%]]*1000,"")</f>
        <v>2</v>
      </c>
      <c r="H502" s="58">
        <f>IFERROR(VLOOKUP(Рецепты[[#This Row],[Состав]],Ингредиенты!A:I,3,0)*Рецепты[[#This Row],[г]],"")</f>
        <v>1.7566666666666666</v>
      </c>
      <c r="I502" s="57">
        <f>СводРецепт!$A$1</f>
        <v>1000</v>
      </c>
      <c r="J502" s="57">
        <f>Рецепты[[#This Row],[%]]*Рецепты[[#This Row],[Масса]]</f>
        <v>2</v>
      </c>
      <c r="K502" s="58">
        <f>Рецепты[[#This Row],[Вес ингр-тов]]*VLOOKUP(Рецепты[[#This Row],[Состав]],Ингредиенты[],3,FALSE)</f>
        <v>1.7566666666666666</v>
      </c>
      <c r="L502" s="56">
        <f>IF(VLOOKUP(Рецепты[[#This Row],[Состав]],Ингредиенты[],4,0)="Основа",VLOOKUP(Рецепты[[#This Row],[Способ]],Способ[],2,0),0%)</f>
        <v>0</v>
      </c>
      <c r="M502" s="56">
        <f>VLOOKUP(Рецепты[[#This Row],[Способ]],Способ[],3,0)</f>
        <v>0.9</v>
      </c>
      <c r="N502" s="58">
        <f>Рецепты[[#This Row],[р]]*100%/(100%-Рецепты[[#This Row],[Потери, %]])+Рецепты[[#This Row],[Маржа]]*(Рецепты[[#This Row],[р]]*100%)/(100%-Рецепты[[#This Row],[Потери, %]])</f>
        <v>3.3376666666666663</v>
      </c>
      <c r="O502" s="58">
        <f>Рецепты[[#This Row],[Цена за 1 кг]]-(Рецепты[[#This Row],[р]]*100%/(100%-Рецепты[[#This Row],[Потери, %]]))</f>
        <v>1.5809999999999997</v>
      </c>
      <c r="P502" s="28" t="s">
        <v>635</v>
      </c>
      <c r="Q502" s="55"/>
      <c r="R502" s="59" t="str">
        <f>VLOOKUP(Рецепты[[#This Row],[Состав]],Ингредиенты[],9,0)</f>
        <v>Да</v>
      </c>
      <c r="S502" s="59"/>
    </row>
    <row r="503" spans="1:19" x14ac:dyDescent="0.25">
      <c r="A503" s="55" t="s">
        <v>631</v>
      </c>
      <c r="B503" s="55" t="str">
        <f t="shared" si="84"/>
        <v>Сосиски</v>
      </c>
      <c r="C503" s="55" t="str">
        <f t="shared" si="85"/>
        <v>ГК</v>
      </c>
      <c r="D503" s="55" t="s">
        <v>149</v>
      </c>
      <c r="E503" s="56" t="str">
        <f>VLOOKUP(Рецепты[[#This Row],[Состав]],Ингредиенты[],2,0)</f>
        <v>Специи</v>
      </c>
      <c r="F503" s="63">
        <v>2E-3</v>
      </c>
      <c r="G503" s="57">
        <f>IF(Рецепты[[#This Row],[%]]*1000&gt;0,Рецепты[[#This Row],[%]]*1000,"")</f>
        <v>2</v>
      </c>
      <c r="H503" s="58">
        <f>IFERROR(VLOOKUP(Рецепты[[#This Row],[Состав]],Ингредиенты!A:I,3,0)*Рецепты[[#This Row],[г]],"")</f>
        <v>4.1545454545454543</v>
      </c>
      <c r="I503" s="57">
        <f>СводРецепт!$A$1</f>
        <v>1000</v>
      </c>
      <c r="J503" s="57">
        <f>Рецепты[[#This Row],[%]]*Рецепты[[#This Row],[Масса]]</f>
        <v>2</v>
      </c>
      <c r="K503" s="58">
        <f>Рецепты[[#This Row],[Вес ингр-тов]]*VLOOKUP(Рецепты[[#This Row],[Состав]],Ингредиенты[],3,FALSE)</f>
        <v>4.1545454545454543</v>
      </c>
      <c r="L503" s="56">
        <f>IF(VLOOKUP(Рецепты[[#This Row],[Состав]],Ингредиенты[],4,0)="Основа",VLOOKUP(Рецепты[[#This Row],[Способ]],Способ[],2,0),0%)</f>
        <v>0</v>
      </c>
      <c r="M503" s="56">
        <f>VLOOKUP(Рецепты[[#This Row],[Способ]],Способ[],3,0)</f>
        <v>0.9</v>
      </c>
      <c r="N503" s="58">
        <f>Рецепты[[#This Row],[р]]*100%/(100%-Рецепты[[#This Row],[Потери, %]])+Рецепты[[#This Row],[Маржа]]*(Рецепты[[#This Row],[р]]*100%)/(100%-Рецепты[[#This Row],[Потери, %]])</f>
        <v>7.8936363636363627</v>
      </c>
      <c r="O503" s="58">
        <f>Рецепты[[#This Row],[Цена за 1 кг]]-(Рецепты[[#This Row],[р]]*100%/(100%-Рецепты[[#This Row],[Потери, %]]))</f>
        <v>3.7390909090909084</v>
      </c>
      <c r="P503" s="28" t="s">
        <v>635</v>
      </c>
      <c r="Q503" s="55"/>
      <c r="R503" s="59" t="str">
        <f>VLOOKUP(Рецепты[[#This Row],[Состав]],Ингредиенты[],9,0)</f>
        <v>Да</v>
      </c>
      <c r="S503" s="59"/>
    </row>
    <row r="504" spans="1:19" x14ac:dyDescent="0.25">
      <c r="A504" s="55" t="s">
        <v>631</v>
      </c>
      <c r="B504" s="55" t="str">
        <f t="shared" si="84"/>
        <v>Сосиски</v>
      </c>
      <c r="C504" s="55" t="str">
        <f t="shared" si="85"/>
        <v>ГК</v>
      </c>
      <c r="D504" s="55" t="s">
        <v>145</v>
      </c>
      <c r="E504" s="56" t="str">
        <f>VLOOKUP(Рецепты[[#This Row],[Состав]],Ингредиенты[],2,0)</f>
        <v>Специи</v>
      </c>
      <c r="F504" s="63">
        <v>2E-3</v>
      </c>
      <c r="G504" s="57">
        <f>IF(Рецепты[[#This Row],[%]]*1000&gt;0,Рецепты[[#This Row],[%]]*1000,"")</f>
        <v>2</v>
      </c>
      <c r="H504" s="58">
        <f>IFERROR(VLOOKUP(Рецепты[[#This Row],[Состав]],Ингредиенты!A:I,3,0)*Рецепты[[#This Row],[г]],"")</f>
        <v>1.5636363636363637</v>
      </c>
      <c r="I504" s="57">
        <f>СводРецепт!$A$1</f>
        <v>1000</v>
      </c>
      <c r="J504" s="57">
        <f>Рецепты[[#This Row],[%]]*Рецепты[[#This Row],[Масса]]</f>
        <v>2</v>
      </c>
      <c r="K504" s="58">
        <f>Рецепты[[#This Row],[Вес ингр-тов]]*VLOOKUP(Рецепты[[#This Row],[Состав]],Ингредиенты[],3,FALSE)</f>
        <v>1.5636363636363637</v>
      </c>
      <c r="L504" s="56">
        <f>IF(VLOOKUP(Рецепты[[#This Row],[Состав]],Ингредиенты[],4,0)="Основа",VLOOKUP(Рецепты[[#This Row],[Способ]],Способ[],2,0),0%)</f>
        <v>0</v>
      </c>
      <c r="M504" s="56">
        <f>VLOOKUP(Рецепты[[#This Row],[Способ]],Способ[],3,0)</f>
        <v>0.9</v>
      </c>
      <c r="N504" s="58">
        <f>Рецепты[[#This Row],[р]]*100%/(100%-Рецепты[[#This Row],[Потери, %]])+Рецепты[[#This Row],[Маржа]]*(Рецепты[[#This Row],[р]]*100%)/(100%-Рецепты[[#This Row],[Потери, %]])</f>
        <v>2.9709090909090912</v>
      </c>
      <c r="O504" s="58">
        <f>Рецепты[[#This Row],[Цена за 1 кг]]-(Рецепты[[#This Row],[р]]*100%/(100%-Рецепты[[#This Row],[Потери, %]]))</f>
        <v>1.4072727272727275</v>
      </c>
      <c r="P504" s="28" t="s">
        <v>635</v>
      </c>
      <c r="Q504" s="55"/>
      <c r="R504" s="59" t="str">
        <f>VLOOKUP(Рецепты[[#This Row],[Состав]],Ингредиенты[],9,0)</f>
        <v>Нет</v>
      </c>
      <c r="S504" s="59"/>
    </row>
    <row r="505" spans="1:19" x14ac:dyDescent="0.25">
      <c r="A505" s="55" t="s">
        <v>631</v>
      </c>
      <c r="B505" s="55" t="str">
        <f t="shared" si="84"/>
        <v>Сосиски</v>
      </c>
      <c r="C505" s="55" t="str">
        <f t="shared" si="85"/>
        <v>ГК</v>
      </c>
      <c r="D505" s="55" t="s">
        <v>201</v>
      </c>
      <c r="E505" s="56" t="str">
        <f>VLOOKUP(Рецепты[[#This Row],[Состав]],Ингредиенты[],2,0)</f>
        <v>Специи</v>
      </c>
      <c r="F505" s="63">
        <v>1E-3</v>
      </c>
      <c r="G505" s="57">
        <f>IF(Рецепты[[#This Row],[%]]*1000&gt;0,Рецепты[[#This Row],[%]]*1000,"")</f>
        <v>1</v>
      </c>
      <c r="H505" s="58">
        <f>IFERROR(VLOOKUP(Рецепты[[#This Row],[Состав]],Ингредиенты!A:I,3,0)*Рецепты[[#This Row],[г]],"")</f>
        <v>0.58199999999999996</v>
      </c>
      <c r="I505" s="57">
        <f>СводРецепт!$A$1</f>
        <v>1000</v>
      </c>
      <c r="J505" s="57">
        <f>Рецепты[[#This Row],[%]]*Рецепты[[#This Row],[Масса]]</f>
        <v>1</v>
      </c>
      <c r="K505" s="58">
        <f>Рецепты[[#This Row],[Вес ингр-тов]]*VLOOKUP(Рецепты[[#This Row],[Состав]],Ингредиенты[],3,FALSE)</f>
        <v>0.58199999999999996</v>
      </c>
      <c r="L505" s="56">
        <f>IF(VLOOKUP(Рецепты[[#This Row],[Состав]],Ингредиенты[],4,0)="Основа",VLOOKUP(Рецепты[[#This Row],[Способ]],Способ[],2,0),0%)</f>
        <v>0</v>
      </c>
      <c r="M505" s="56">
        <f>VLOOKUP(Рецепты[[#This Row],[Способ]],Способ[],3,0)</f>
        <v>0.9</v>
      </c>
      <c r="N505" s="58">
        <f>Рецепты[[#This Row],[р]]*100%/(100%-Рецепты[[#This Row],[Потери, %]])+Рецепты[[#This Row],[Маржа]]*(Рецепты[[#This Row],[р]]*100%)/(100%-Рецепты[[#This Row],[Потери, %]])</f>
        <v>1.1057999999999999</v>
      </c>
      <c r="O505" s="58">
        <f>Рецепты[[#This Row],[Цена за 1 кг]]-(Рецепты[[#This Row],[р]]*100%/(100%-Рецепты[[#This Row],[Потери, %]]))</f>
        <v>0.52379999999999993</v>
      </c>
      <c r="P505" s="28" t="s">
        <v>635</v>
      </c>
      <c r="Q505" s="55"/>
      <c r="R505" s="59" t="str">
        <f>VLOOKUP(Рецепты[[#This Row],[Состав]],Ингредиенты[],9,0)</f>
        <v>Нет</v>
      </c>
      <c r="S505" s="59"/>
    </row>
    <row r="506" spans="1:19" x14ac:dyDescent="0.25">
      <c r="A506" s="55" t="s">
        <v>631</v>
      </c>
      <c r="B506" s="55" t="str">
        <f t="shared" si="84"/>
        <v>Сосиски</v>
      </c>
      <c r="C506" s="55" t="str">
        <f t="shared" si="85"/>
        <v>ГК</v>
      </c>
      <c r="D506" s="55" t="s">
        <v>632</v>
      </c>
      <c r="E506" s="56" t="str">
        <f>VLOOKUP(Рецепты[[#This Row],[Состав]],Ингредиенты[],2,0)</f>
        <v>Специи</v>
      </c>
      <c r="F506" s="63">
        <v>1E-3</v>
      </c>
      <c r="G506" s="57">
        <f>IF(Рецепты[[#This Row],[%]]*1000&gt;0,Рецепты[[#This Row],[%]]*1000,"")</f>
        <v>1</v>
      </c>
      <c r="H506" s="58">
        <f>IFERROR(VLOOKUP(Рецепты[[#This Row],[Состав]],Ингредиенты!A:I,3,0)*Рецепты[[#This Row],[г]],"")</f>
        <v>0.88800000000000001</v>
      </c>
      <c r="I506" s="57">
        <f>СводРецепт!$A$1</f>
        <v>1000</v>
      </c>
      <c r="J506" s="57">
        <f>Рецепты[[#This Row],[%]]*Рецепты[[#This Row],[Масса]]</f>
        <v>1</v>
      </c>
      <c r="K506" s="58">
        <f>Рецепты[[#This Row],[Вес ингр-тов]]*VLOOKUP(Рецепты[[#This Row],[Состав]],Ингредиенты[],3,FALSE)</f>
        <v>0.88800000000000001</v>
      </c>
      <c r="L506" s="56">
        <f>IF(VLOOKUP(Рецепты[[#This Row],[Состав]],Ингредиенты[],4,0)="Основа",VLOOKUP(Рецепты[[#This Row],[Способ]],Способ[],2,0),0%)</f>
        <v>0</v>
      </c>
      <c r="M506" s="56">
        <f>VLOOKUP(Рецепты[[#This Row],[Способ]],Способ[],3,0)</f>
        <v>0.9</v>
      </c>
      <c r="N506" s="58">
        <f>Рецепты[[#This Row],[р]]*100%/(100%-Рецепты[[#This Row],[Потери, %]])+Рецепты[[#This Row],[Маржа]]*(Рецепты[[#This Row],[р]]*100%)/(100%-Рецепты[[#This Row],[Потери, %]])</f>
        <v>1.6872</v>
      </c>
      <c r="O506" s="58">
        <f>Рецепты[[#This Row],[Цена за 1 кг]]-(Рецепты[[#This Row],[р]]*100%/(100%-Рецепты[[#This Row],[Потери, %]]))</f>
        <v>0.79920000000000002</v>
      </c>
      <c r="P506" s="28" t="s">
        <v>635</v>
      </c>
      <c r="Q506" s="55"/>
      <c r="R506" s="59" t="str">
        <f>VLOOKUP(Рецепты[[#This Row],[Состав]],Ингредиенты[],9,0)</f>
        <v>Нет</v>
      </c>
      <c r="S506" s="59"/>
    </row>
    <row r="507" spans="1:19" x14ac:dyDescent="0.25">
      <c r="A507" s="55" t="s">
        <v>631</v>
      </c>
      <c r="B507" s="55" t="str">
        <f t="shared" si="84"/>
        <v>Сосиски</v>
      </c>
      <c r="C507" s="55" t="str">
        <f t="shared" si="85"/>
        <v>ГК</v>
      </c>
      <c r="D507" s="55" t="s">
        <v>143</v>
      </c>
      <c r="E507" s="56" t="str">
        <f>VLOOKUP(Рецепты[[#This Row],[Состав]],Ингредиенты[],2,0)</f>
        <v>Специи</v>
      </c>
      <c r="F507" s="63">
        <v>1E-3</v>
      </c>
      <c r="G507" s="57">
        <f>IF(Рецепты[[#This Row],[%]]*1000&gt;0,Рецепты[[#This Row],[%]]*1000,"")</f>
        <v>1</v>
      </c>
      <c r="H507" s="58">
        <f>IFERROR(VLOOKUP(Рецепты[[#This Row],[Состав]],Ингредиенты!A:I,3,0)*Рецепты[[#This Row],[г]],"")</f>
        <v>1.1319999999999999</v>
      </c>
      <c r="I507" s="57">
        <f>СводРецепт!$A$1</f>
        <v>1000</v>
      </c>
      <c r="J507" s="57">
        <f>Рецепты[[#This Row],[%]]*Рецепты[[#This Row],[Масса]]</f>
        <v>1</v>
      </c>
      <c r="K507" s="58">
        <f>Рецепты[[#This Row],[Вес ингр-тов]]*VLOOKUP(Рецепты[[#This Row],[Состав]],Ингредиенты[],3,FALSE)</f>
        <v>1.1319999999999999</v>
      </c>
      <c r="L507" s="56">
        <f>IF(VLOOKUP(Рецепты[[#This Row],[Состав]],Ингредиенты[],4,0)="Основа",VLOOKUP(Рецепты[[#This Row],[Способ]],Способ[],2,0),0%)</f>
        <v>0</v>
      </c>
      <c r="M507" s="56">
        <f>VLOOKUP(Рецепты[[#This Row],[Способ]],Способ[],3,0)</f>
        <v>0.9</v>
      </c>
      <c r="N507" s="58">
        <f>Рецепты[[#This Row],[р]]*100%/(100%-Рецепты[[#This Row],[Потери, %]])+Рецепты[[#This Row],[Маржа]]*(Рецепты[[#This Row],[р]]*100%)/(100%-Рецепты[[#This Row],[Потери, %]])</f>
        <v>2.1507999999999998</v>
      </c>
      <c r="O507" s="58">
        <f>Рецепты[[#This Row],[Цена за 1 кг]]-(Рецепты[[#This Row],[р]]*100%/(100%-Рецепты[[#This Row],[Потери, %]]))</f>
        <v>1.0187999999999999</v>
      </c>
      <c r="P507" s="28" t="s">
        <v>635</v>
      </c>
      <c r="Q507" s="55"/>
      <c r="R507" s="59" t="str">
        <f>VLOOKUP(Рецепты[[#This Row],[Состав]],Ингредиенты[],9,0)</f>
        <v>Да</v>
      </c>
      <c r="S507" s="59"/>
    </row>
    <row r="508" spans="1:19" x14ac:dyDescent="0.25">
      <c r="A508" s="55" t="s">
        <v>631</v>
      </c>
      <c r="B508" s="55" t="str">
        <f t="shared" si="84"/>
        <v>Сосиски</v>
      </c>
      <c r="C508" s="55" t="str">
        <f t="shared" si="85"/>
        <v>ГК</v>
      </c>
      <c r="D508" s="55" t="s">
        <v>159</v>
      </c>
      <c r="E508" s="56" t="str">
        <f>VLOOKUP(Рецепты[[#This Row],[Состав]],Ингредиенты[],2,0)</f>
        <v>Специи</v>
      </c>
      <c r="F508" s="63">
        <v>5.0000000000000001E-4</v>
      </c>
      <c r="G508" s="57">
        <f>IF(Рецепты[[#This Row],[%]]*1000&gt;0,Рецепты[[#This Row],[%]]*1000,"")</f>
        <v>0.5</v>
      </c>
      <c r="H508" s="58">
        <f>IFERROR(VLOOKUP(Рецепты[[#This Row],[Состав]],Ингредиенты!A:I,3,0)*Рецепты[[#This Row],[г]],"")</f>
        <v>0.85099999999999998</v>
      </c>
      <c r="I508" s="57">
        <f>СводРецепт!$A$1</f>
        <v>1000</v>
      </c>
      <c r="J508" s="57">
        <f>Рецепты[[#This Row],[%]]*Рецепты[[#This Row],[Масса]]</f>
        <v>0.5</v>
      </c>
      <c r="K508" s="58">
        <f>Рецепты[[#This Row],[Вес ингр-тов]]*VLOOKUP(Рецепты[[#This Row],[Состав]],Ингредиенты[],3,FALSE)</f>
        <v>0.85099999999999998</v>
      </c>
      <c r="L508" s="56">
        <f>IF(VLOOKUP(Рецепты[[#This Row],[Состав]],Ингредиенты[],4,0)="Основа",VLOOKUP(Рецепты[[#This Row],[Способ]],Способ[],2,0),0%)</f>
        <v>0</v>
      </c>
      <c r="M508" s="56">
        <f>VLOOKUP(Рецепты[[#This Row],[Способ]],Способ[],3,0)</f>
        <v>0.9</v>
      </c>
      <c r="N508" s="58">
        <f>Рецепты[[#This Row],[р]]*100%/(100%-Рецепты[[#This Row],[Потери, %]])+Рецепты[[#This Row],[Маржа]]*(Рецепты[[#This Row],[р]]*100%)/(100%-Рецепты[[#This Row],[Потери, %]])</f>
        <v>1.6169</v>
      </c>
      <c r="O508" s="58">
        <f>Рецепты[[#This Row],[Цена за 1 кг]]-(Рецепты[[#This Row],[р]]*100%/(100%-Рецепты[[#This Row],[Потери, %]]))</f>
        <v>0.76590000000000003</v>
      </c>
      <c r="P508" s="28" t="s">
        <v>635</v>
      </c>
      <c r="Q508" s="55"/>
      <c r="R508" s="59" t="str">
        <f>VLOOKUP(Рецепты[[#This Row],[Состав]],Ингредиенты[],9,0)</f>
        <v>Да</v>
      </c>
      <c r="S508" s="59"/>
    </row>
    <row r="509" spans="1:19" x14ac:dyDescent="0.25">
      <c r="A509" s="55" t="s">
        <v>631</v>
      </c>
      <c r="B509" s="55" t="str">
        <f t="shared" si="84"/>
        <v>Сосиски</v>
      </c>
      <c r="C509" s="55" t="str">
        <f t="shared" si="85"/>
        <v>ГК</v>
      </c>
      <c r="D509" s="55" t="s">
        <v>637</v>
      </c>
      <c r="E509" s="56" t="str">
        <f>VLOOKUP(Рецепты[[#This Row],[Состав]],Ингредиенты[],2,0)</f>
        <v>Оболочка</v>
      </c>
      <c r="F509" s="63">
        <v>1E-3</v>
      </c>
      <c r="G509" s="57">
        <f>IF(Рецепты[[#This Row],[%]]*1000&gt;0,Рецепты[[#This Row],[%]]*1000,"")</f>
        <v>1</v>
      </c>
      <c r="H509" s="58">
        <f>IFERROR(VLOOKUP(Рецепты[[#This Row],[Состав]],Ингредиенты!A:I,3,0)*Рецепты[[#This Row],[г]],"")</f>
        <v>45.688733352775351</v>
      </c>
      <c r="I509" s="57">
        <f>СводРецепт!$A$1</f>
        <v>1000</v>
      </c>
      <c r="J509" s="57">
        <f>Рецепты[[#This Row],[%]]*Рецепты[[#This Row],[Масса]]</f>
        <v>1</v>
      </c>
      <c r="K509" s="58">
        <f>Рецепты[[#This Row],[Вес ингр-тов]]*VLOOKUP(Рецепты[[#This Row],[Состав]],Ингредиенты[],3,FALSE)</f>
        <v>45.688733352775351</v>
      </c>
      <c r="L509" s="56">
        <f>IF(VLOOKUP(Рецепты[[#This Row],[Состав]],Ингредиенты[],4,0)="Основа",VLOOKUP(Рецепты[[#This Row],[Способ]],Способ[],2,0),0%)</f>
        <v>0</v>
      </c>
      <c r="M509" s="56">
        <f>VLOOKUP(Рецепты[[#This Row],[Способ]],Способ[],3,0)</f>
        <v>0.9</v>
      </c>
      <c r="N509" s="58">
        <f>Рецепты[[#This Row],[р]]*100%/(100%-Рецепты[[#This Row],[Потери, %]])+Рецепты[[#This Row],[Маржа]]*(Рецепты[[#This Row],[р]]*100%)/(100%-Рецепты[[#This Row],[Потери, %]])</f>
        <v>86.808593370273172</v>
      </c>
      <c r="O509" s="58">
        <f>Рецепты[[#This Row],[Цена за 1 кг]]-(Рецепты[[#This Row],[р]]*100%/(100%-Рецепты[[#This Row],[Потери, %]]))</f>
        <v>41.119860017497821</v>
      </c>
      <c r="P509" s="28" t="s">
        <v>635</v>
      </c>
      <c r="Q509" s="55"/>
      <c r="R509" s="59" t="str">
        <f>VLOOKUP(Рецепты[[#This Row],[Состав]],Ингредиенты[],9,0)</f>
        <v>Да</v>
      </c>
      <c r="S509" s="59"/>
    </row>
    <row r="510" spans="1:19" x14ac:dyDescent="0.25">
      <c r="A510" s="64" t="s">
        <v>643</v>
      </c>
      <c r="B510" s="64" t="s">
        <v>30</v>
      </c>
      <c r="C510" s="64" t="s">
        <v>9</v>
      </c>
      <c r="D510" s="64" t="s">
        <v>645</v>
      </c>
      <c r="E510" s="65" t="str">
        <f>VLOOKUP(Рецепты[[#This Row],[Состав]],Ингредиенты[],2,0)</f>
        <v>Птица</v>
      </c>
      <c r="F510" s="66">
        <v>0.35099999999999998</v>
      </c>
      <c r="G510" s="67">
        <f>IF(Рецепты[[#This Row],[%]]*1000&gt;0,Рецепты[[#This Row],[%]]*1000,"")</f>
        <v>351</v>
      </c>
      <c r="H510" s="68">
        <f>IFERROR(VLOOKUP(Рецепты[[#This Row],[Состав]],Ингредиенты!A:I,3,0)*Рецепты[[#This Row],[г]],"")</f>
        <v>315.90000000000003</v>
      </c>
      <c r="I510" s="67">
        <f>СводРецепт!$A$1</f>
        <v>1000</v>
      </c>
      <c r="J510" s="67">
        <f>Рецепты[[#This Row],[%]]*Рецепты[[#This Row],[Масса]]</f>
        <v>351</v>
      </c>
      <c r="K510" s="68">
        <f>Рецепты[[#This Row],[Вес ингр-тов]]*VLOOKUP(Рецепты[[#This Row],[Состав]],Ингредиенты[],3,FALSE)</f>
        <v>315.90000000000003</v>
      </c>
      <c r="L510" s="65">
        <f>IF(VLOOKUP(Рецепты[[#This Row],[Состав]],Ингредиенты[],4,0)="Основа",VLOOKUP(Рецепты[[#This Row],[Способ]],Способ[],2,0),0%)</f>
        <v>0.15</v>
      </c>
      <c r="M510" s="65">
        <f>VLOOKUP(Рецепты[[#This Row],[Способ]],Способ[],3,0)</f>
        <v>0.7</v>
      </c>
      <c r="N510" s="68">
        <f>Рецепты[[#This Row],[р]]*100%/(100%-Рецепты[[#This Row],[Потери, %]])+Рецепты[[#This Row],[Маржа]]*(Рецепты[[#This Row],[р]]*100%)/(100%-Рецепты[[#This Row],[Потери, %]])</f>
        <v>631.80000000000007</v>
      </c>
      <c r="O510" s="68">
        <f>Рецепты[[#This Row],[Цена за 1 кг]]-(Рецепты[[#This Row],[р]]*100%/(100%-Рецепты[[#This Row],[Потери, %]]))</f>
        <v>260.15294117647062</v>
      </c>
      <c r="P510" s="64"/>
      <c r="Q510" s="64"/>
      <c r="R510" s="69">
        <f>VLOOKUP(Рецепты[[#This Row],[Состав]],Ингредиенты[],9,0)</f>
        <v>0</v>
      </c>
      <c r="S510" s="69"/>
    </row>
    <row r="511" spans="1:19" x14ac:dyDescent="0.25">
      <c r="A511" s="64" t="s">
        <v>643</v>
      </c>
      <c r="B511" s="64" t="str">
        <f t="shared" ref="B511:B526" si="86">B510</f>
        <v>Еда</v>
      </c>
      <c r="C511" s="64" t="str">
        <f t="shared" ref="C511:C526" si="87">C510</f>
        <v>Вареное</v>
      </c>
      <c r="D511" s="64" t="s">
        <v>644</v>
      </c>
      <c r="E511" s="65" t="str">
        <f>VLOOKUP(Рецепты[[#This Row],[Состав]],Ингредиенты[],2,0)</f>
        <v>Добавки</v>
      </c>
      <c r="F511" s="66">
        <v>0.24299999999999999</v>
      </c>
      <c r="G511" s="67">
        <f>IF(Рецепты[[#This Row],[%]]*1000&gt;0,Рецепты[[#This Row],[%]]*1000,"")</f>
        <v>243</v>
      </c>
      <c r="H511" s="68">
        <f>IFERROR(VLOOKUP(Рецепты[[#This Row],[Состав]],Ингредиенты!A:I,3,0)*Рецепты[[#This Row],[г]],"")</f>
        <v>59.4</v>
      </c>
      <c r="I511" s="67">
        <f>СводРецепт!$A$1</f>
        <v>1000</v>
      </c>
      <c r="J511" s="67">
        <f>Рецепты[[#This Row],[%]]*Рецепты[[#This Row],[Масса]]</f>
        <v>243</v>
      </c>
      <c r="K511" s="68">
        <f>Рецепты[[#This Row],[Вес ингр-тов]]*VLOOKUP(Рецепты[[#This Row],[Состав]],Ингредиенты[],3,FALSE)</f>
        <v>59.4</v>
      </c>
      <c r="L511" s="65">
        <f>IF(VLOOKUP(Рецепты[[#This Row],[Состав]],Ингредиенты[],4,0)="Основа",VLOOKUP(Рецепты[[#This Row],[Способ]],Способ[],2,0),0%)</f>
        <v>0.15</v>
      </c>
      <c r="M511" s="65">
        <f>VLOOKUP(Рецепты[[#This Row],[Способ]],Способ[],3,0)</f>
        <v>0.7</v>
      </c>
      <c r="N511" s="68">
        <f>Рецепты[[#This Row],[р]]*100%/(100%-Рецепты[[#This Row],[Потери, %]])+Рецепты[[#This Row],[Маржа]]*(Рецепты[[#This Row],[р]]*100%)/(100%-Рецепты[[#This Row],[Потери, %]])</f>
        <v>118.79999999999998</v>
      </c>
      <c r="O511" s="68">
        <f>Рецепты[[#This Row],[Цена за 1 кг]]-(Рецепты[[#This Row],[р]]*100%/(100%-Рецепты[[#This Row],[Потери, %]]))</f>
        <v>48.917647058823519</v>
      </c>
      <c r="P511" s="64"/>
      <c r="Q511" s="64"/>
      <c r="R511" s="69">
        <f>VLOOKUP(Рецепты[[#This Row],[Состав]],Ингредиенты[],9,0)</f>
        <v>0</v>
      </c>
      <c r="S511" s="69"/>
    </row>
    <row r="512" spans="1:19" x14ac:dyDescent="0.25">
      <c r="A512" s="64" t="s">
        <v>643</v>
      </c>
      <c r="B512" s="64" t="str">
        <f t="shared" si="86"/>
        <v>Еда</v>
      </c>
      <c r="C512" s="64" t="str">
        <f t="shared" si="87"/>
        <v>Вареное</v>
      </c>
      <c r="D512" s="64" t="s">
        <v>93</v>
      </c>
      <c r="E512" s="65" t="str">
        <f>VLOOKUP(Рецепты[[#This Row],[Состав]],Ингредиенты[],2,0)</f>
        <v>Добавки</v>
      </c>
      <c r="F512" s="66">
        <v>0.16200000000000001</v>
      </c>
      <c r="G512" s="67">
        <f>IF(Рецепты[[#This Row],[%]]*1000&gt;0,Рецепты[[#This Row],[%]]*1000,"")</f>
        <v>162</v>
      </c>
      <c r="H512" s="68">
        <f>IFERROR(VLOOKUP(Рецепты[[#This Row],[Состав]],Ингредиенты!A:I,3,0)*Рецепты[[#This Row],[г]],"")</f>
        <v>0.16200000000000001</v>
      </c>
      <c r="I512" s="67">
        <f>СводРецепт!$A$1</f>
        <v>1000</v>
      </c>
      <c r="J512" s="67">
        <f>Рецепты[[#This Row],[%]]*Рецепты[[#This Row],[Масса]]</f>
        <v>162</v>
      </c>
      <c r="K512" s="68">
        <f>Рецепты[[#This Row],[Вес ингр-тов]]*VLOOKUP(Рецепты[[#This Row],[Состав]],Ингредиенты[],3,FALSE)</f>
        <v>0.16200000000000001</v>
      </c>
      <c r="L512" s="65">
        <f>IF(VLOOKUP(Рецепты[[#This Row],[Состав]],Ингредиенты[],4,0)="Основа",VLOOKUP(Рецепты[[#This Row],[Способ]],Способ[],2,0),0%)</f>
        <v>0</v>
      </c>
      <c r="M512" s="65">
        <f>VLOOKUP(Рецепты[[#This Row],[Способ]],Способ[],3,0)</f>
        <v>0.7</v>
      </c>
      <c r="N512" s="68">
        <f>Рецепты[[#This Row],[р]]*100%/(100%-Рецепты[[#This Row],[Потери, %]])+Рецепты[[#This Row],[Маржа]]*(Рецепты[[#This Row],[р]]*100%)/(100%-Рецепты[[#This Row],[Потери, %]])</f>
        <v>0.27539999999999998</v>
      </c>
      <c r="O512" s="68">
        <f>Рецепты[[#This Row],[Цена за 1 кг]]-(Рецепты[[#This Row],[р]]*100%/(100%-Рецепты[[#This Row],[Потери, %]]))</f>
        <v>0.11339999999999997</v>
      </c>
      <c r="P512" s="64"/>
      <c r="Q512" s="64"/>
      <c r="R512" s="69" t="str">
        <f>VLOOKUP(Рецепты[[#This Row],[Состав]],Ингредиенты[],9,0)</f>
        <v>Да</v>
      </c>
      <c r="S512" s="69"/>
    </row>
    <row r="513" spans="1:19" x14ac:dyDescent="0.25">
      <c r="A513" s="64" t="s">
        <v>643</v>
      </c>
      <c r="B513" s="64" t="str">
        <f t="shared" si="86"/>
        <v>Еда</v>
      </c>
      <c r="C513" s="64" t="str">
        <f t="shared" si="87"/>
        <v>Вареное</v>
      </c>
      <c r="D513" s="64" t="s">
        <v>87</v>
      </c>
      <c r="E513" s="65" t="str">
        <f>VLOOKUP(Рецепты[[#This Row],[Состав]],Ингредиенты[],2,0)</f>
        <v>Специи</v>
      </c>
      <c r="F513" s="66">
        <v>0.27</v>
      </c>
      <c r="G513" s="67">
        <f>IF(Рецепты[[#This Row],[%]]*1000&gt;0,Рецепты[[#This Row],[%]]*1000,"")</f>
        <v>270</v>
      </c>
      <c r="H513" s="68">
        <f>IFERROR(VLOOKUP(Рецепты[[#This Row],[Состав]],Ингредиенты!A:I,3,0)*Рецепты[[#This Row],[г]],"")</f>
        <v>8.0973000000000006</v>
      </c>
      <c r="I513" s="67">
        <f>СводРецепт!$A$1</f>
        <v>1000</v>
      </c>
      <c r="J513" s="67">
        <f>Рецепты[[#This Row],[%]]*Рецепты[[#This Row],[Масса]]</f>
        <v>270</v>
      </c>
      <c r="K513" s="68">
        <f>Рецепты[[#This Row],[Вес ингр-тов]]*VLOOKUP(Рецепты[[#This Row],[Состав]],Ингредиенты[],3,FALSE)</f>
        <v>8.0973000000000006</v>
      </c>
      <c r="L513" s="65">
        <f>IF(VLOOKUP(Рецепты[[#This Row],[Состав]],Ингредиенты[],4,0)="Основа",VLOOKUP(Рецепты[[#This Row],[Способ]],Способ[],2,0),0%)</f>
        <v>0</v>
      </c>
      <c r="M513" s="65">
        <f>VLOOKUP(Рецепты[[#This Row],[Способ]],Способ[],3,0)</f>
        <v>0.7</v>
      </c>
      <c r="N513" s="68">
        <f>Рецепты[[#This Row],[р]]*100%/(100%-Рецепты[[#This Row],[Потери, %]])+Рецепты[[#This Row],[Маржа]]*(Рецепты[[#This Row],[р]]*100%)/(100%-Рецепты[[#This Row],[Потери, %]])</f>
        <v>13.765410000000001</v>
      </c>
      <c r="O513" s="68">
        <f>Рецепты[[#This Row],[Цена за 1 кг]]-(Рецепты[[#This Row],[р]]*100%/(100%-Рецепты[[#This Row],[Потери, %]]))</f>
        <v>5.6681100000000004</v>
      </c>
      <c r="P513" s="64"/>
      <c r="Q513" s="64"/>
      <c r="R513" s="69" t="str">
        <f>VLOOKUP(Рецепты[[#This Row],[Состав]],Ингредиенты[],9,0)</f>
        <v>Да</v>
      </c>
      <c r="S513" s="69"/>
    </row>
    <row r="514" spans="1:19" x14ac:dyDescent="0.25">
      <c r="A514" s="64" t="s">
        <v>643</v>
      </c>
      <c r="B514" s="64" t="str">
        <f t="shared" si="86"/>
        <v>Еда</v>
      </c>
      <c r="C514" s="64" t="str">
        <f t="shared" si="87"/>
        <v>Вареное</v>
      </c>
      <c r="D514" s="64" t="s">
        <v>191</v>
      </c>
      <c r="E514" s="65" t="str">
        <f>VLOOKUP(Рецепты[[#This Row],[Состав]],Ингредиенты[],2,0)</f>
        <v>Специи</v>
      </c>
      <c r="F514" s="66">
        <v>8.1000000000000003E-2</v>
      </c>
      <c r="G514" s="67">
        <f>IF(Рецепты[[#This Row],[%]]*1000&gt;0,Рецепты[[#This Row],[%]]*1000,"")</f>
        <v>81</v>
      </c>
      <c r="H514" s="68">
        <f>IFERROR(VLOOKUP(Рецепты[[#This Row],[Состав]],Ингредиенты!A:I,3,0)*Рецепты[[#This Row],[г]],"")</f>
        <v>4.0491900000000003</v>
      </c>
      <c r="I514" s="67">
        <f>СводРецепт!$A$1</f>
        <v>1000</v>
      </c>
      <c r="J514" s="67">
        <f>Рецепты[[#This Row],[%]]*Рецепты[[#This Row],[Масса]]</f>
        <v>81</v>
      </c>
      <c r="K514" s="68">
        <f>Рецепты[[#This Row],[Вес ингр-тов]]*VLOOKUP(Рецепты[[#This Row],[Состав]],Ингредиенты[],3,FALSE)</f>
        <v>4.0491900000000003</v>
      </c>
      <c r="L514" s="65">
        <f>IF(VLOOKUP(Рецепты[[#This Row],[Состав]],Ингредиенты[],4,0)="Основа",VLOOKUP(Рецепты[[#This Row],[Способ]],Способ[],2,0),0%)</f>
        <v>0</v>
      </c>
      <c r="M514" s="65">
        <f>VLOOKUP(Рецепты[[#This Row],[Способ]],Способ[],3,0)</f>
        <v>0.7</v>
      </c>
      <c r="N514" s="68">
        <f>Рецепты[[#This Row],[р]]*100%/(100%-Рецепты[[#This Row],[Потери, %]])+Рецепты[[#This Row],[Маржа]]*(Рецепты[[#This Row],[р]]*100%)/(100%-Рецепты[[#This Row],[Потери, %]])</f>
        <v>6.883623</v>
      </c>
      <c r="O514" s="68">
        <f>Рецепты[[#This Row],[Цена за 1 кг]]-(Рецепты[[#This Row],[р]]*100%/(100%-Рецепты[[#This Row],[Потери, %]]))</f>
        <v>2.8344329999999998</v>
      </c>
      <c r="P514" s="64"/>
      <c r="Q514" s="64"/>
      <c r="R514" s="69" t="str">
        <f>VLOOKUP(Рецепты[[#This Row],[Состав]],Ингредиенты[],9,0)</f>
        <v>Да</v>
      </c>
      <c r="S514" s="69"/>
    </row>
    <row r="515" spans="1:19" x14ac:dyDescent="0.25">
      <c r="A515" s="64" t="s">
        <v>643</v>
      </c>
      <c r="B515" s="64" t="str">
        <f t="shared" si="86"/>
        <v>Еда</v>
      </c>
      <c r="C515" s="64" t="str">
        <f t="shared" si="87"/>
        <v>Вареное</v>
      </c>
      <c r="D515" s="64" t="s">
        <v>101</v>
      </c>
      <c r="E515" s="65" t="str">
        <f>VLOOKUP(Рецепты[[#This Row],[Состав]],Ингредиенты[],2,0)</f>
        <v>Добавки</v>
      </c>
      <c r="F515" s="66">
        <v>8.1000000000000003E-2</v>
      </c>
      <c r="G515" s="67">
        <f>IF(Рецепты[[#This Row],[%]]*1000&gt;0,Рецепты[[#This Row],[%]]*1000,"")</f>
        <v>81</v>
      </c>
      <c r="H515" s="68">
        <f>IFERROR(VLOOKUP(Рецепты[[#This Row],[Состав]],Ингредиенты!A:I,3,0)*Рецепты[[#This Row],[г]],"")</f>
        <v>13.365</v>
      </c>
      <c r="I515" s="67">
        <f>СводРецепт!$A$1</f>
        <v>1000</v>
      </c>
      <c r="J515" s="67">
        <f>Рецепты[[#This Row],[%]]*Рецепты[[#This Row],[Масса]]</f>
        <v>81</v>
      </c>
      <c r="K515" s="68">
        <f>Рецепты[[#This Row],[Вес ингр-тов]]*VLOOKUP(Рецепты[[#This Row],[Состав]],Ингредиенты[],3,FALSE)</f>
        <v>13.365</v>
      </c>
      <c r="L515" s="65">
        <f>IF(VLOOKUP(Рецепты[[#This Row],[Состав]],Ингредиенты[],4,0)="Основа",VLOOKUP(Рецепты[[#This Row],[Способ]],Способ[],2,0),0%)</f>
        <v>0</v>
      </c>
      <c r="M515" s="65">
        <f>VLOOKUP(Рецепты[[#This Row],[Способ]],Способ[],3,0)</f>
        <v>0.7</v>
      </c>
      <c r="N515" s="68">
        <f>Рецепты[[#This Row],[р]]*100%/(100%-Рецепты[[#This Row],[Потери, %]])+Рецепты[[#This Row],[Маржа]]*(Рецепты[[#This Row],[р]]*100%)/(100%-Рецепты[[#This Row],[Потери, %]])</f>
        <v>22.720500000000001</v>
      </c>
      <c r="O515" s="68">
        <f>Рецепты[[#This Row],[Цена за 1 кг]]-(Рецепты[[#This Row],[р]]*100%/(100%-Рецепты[[#This Row],[Потери, %]]))</f>
        <v>9.355500000000001</v>
      </c>
      <c r="P515" s="64"/>
      <c r="Q515" s="64"/>
      <c r="R515" s="69" t="str">
        <f>VLOOKUP(Рецепты[[#This Row],[Состав]],Ингредиенты[],9,0)</f>
        <v>Да</v>
      </c>
      <c r="S515" s="69"/>
    </row>
    <row r="516" spans="1:19" x14ac:dyDescent="0.25">
      <c r="A516" s="64" t="s">
        <v>643</v>
      </c>
      <c r="B516" s="64" t="str">
        <f t="shared" si="86"/>
        <v>Еда</v>
      </c>
      <c r="C516" s="64" t="str">
        <f t="shared" si="87"/>
        <v>Вареное</v>
      </c>
      <c r="D516" s="64" t="s">
        <v>646</v>
      </c>
      <c r="E516" s="65" t="str">
        <f>VLOOKUP(Рецепты[[#This Row],[Состав]],Ингредиенты[],2,0)</f>
        <v>Специи</v>
      </c>
      <c r="F516" s="66">
        <v>2.7E-2</v>
      </c>
      <c r="G516" s="67">
        <f>IF(Рецепты[[#This Row],[%]]*1000&gt;0,Рецепты[[#This Row],[%]]*1000,"")</f>
        <v>27</v>
      </c>
      <c r="H516" s="68">
        <f>IFERROR(VLOOKUP(Рецепты[[#This Row],[Состав]],Ингредиенты!A:I,3,0)*Рецепты[[#This Row],[г]],"")</f>
        <v>13.49973</v>
      </c>
      <c r="I516" s="67">
        <f>СводРецепт!$A$1</f>
        <v>1000</v>
      </c>
      <c r="J516" s="67">
        <f>Рецепты[[#This Row],[%]]*Рецепты[[#This Row],[Масса]]</f>
        <v>27</v>
      </c>
      <c r="K516" s="68">
        <f>Рецепты[[#This Row],[Вес ингр-тов]]*VLOOKUP(Рецепты[[#This Row],[Состав]],Ингредиенты[],3,FALSE)</f>
        <v>13.49973</v>
      </c>
      <c r="L516" s="65">
        <f>IF(VLOOKUP(Рецепты[[#This Row],[Состав]],Ингредиенты[],4,0)="Основа",VLOOKUP(Рецепты[[#This Row],[Способ]],Способ[],2,0),0%)</f>
        <v>0</v>
      </c>
      <c r="M516" s="65">
        <f>VLOOKUP(Рецепты[[#This Row],[Способ]],Способ[],3,0)</f>
        <v>0.7</v>
      </c>
      <c r="N516" s="68">
        <f>Рецепты[[#This Row],[р]]*100%/(100%-Рецепты[[#This Row],[Потери, %]])+Рецепты[[#This Row],[Маржа]]*(Рецепты[[#This Row],[р]]*100%)/(100%-Рецепты[[#This Row],[Потери, %]])</f>
        <v>22.949540999999996</v>
      </c>
      <c r="O516" s="68">
        <f>Рецепты[[#This Row],[Цена за 1 кг]]-(Рецепты[[#This Row],[р]]*100%/(100%-Рецепты[[#This Row],[Потери, %]]))</f>
        <v>9.4498109999999969</v>
      </c>
      <c r="P516" s="64"/>
      <c r="Q516" s="64"/>
      <c r="R516" s="69">
        <f>VLOOKUP(Рецепты[[#This Row],[Состав]],Ингредиенты[],9,0)</f>
        <v>0</v>
      </c>
      <c r="S516" s="69"/>
    </row>
    <row r="517" spans="1:19" x14ac:dyDescent="0.25">
      <c r="A517" s="64" t="s">
        <v>643</v>
      </c>
      <c r="B517" s="64" t="str">
        <f t="shared" si="86"/>
        <v>Еда</v>
      </c>
      <c r="C517" s="64" t="str">
        <f t="shared" si="87"/>
        <v>Вареное</v>
      </c>
      <c r="D517" s="64" t="s">
        <v>139</v>
      </c>
      <c r="E517" s="65" t="str">
        <f>VLOOKUP(Рецепты[[#This Row],[Состав]],Ингредиенты[],2,0)</f>
        <v>Специи</v>
      </c>
      <c r="F517" s="66">
        <v>8.0000000000000002E-3</v>
      </c>
      <c r="G517" s="67">
        <f>IF(Рецепты[[#This Row],[%]]*1000&gt;0,Рецепты[[#This Row],[%]]*1000,"")</f>
        <v>8</v>
      </c>
      <c r="H517" s="68">
        <f>IFERROR(VLOOKUP(Рецепты[[#This Row],[Состав]],Ингредиенты!A:I,3,0)*Рецепты[[#This Row],[г]],"")</f>
        <v>6.2109090909090909</v>
      </c>
      <c r="I517" s="67">
        <f>СводРецепт!$A$1</f>
        <v>1000</v>
      </c>
      <c r="J517" s="67">
        <f>Рецепты[[#This Row],[%]]*Рецепты[[#This Row],[Масса]]</f>
        <v>8</v>
      </c>
      <c r="K517" s="68">
        <f>Рецепты[[#This Row],[Вес ингр-тов]]*VLOOKUP(Рецепты[[#This Row],[Состав]],Ингредиенты[],3,FALSE)</f>
        <v>6.2109090909090909</v>
      </c>
      <c r="L517" s="65">
        <f>IF(VLOOKUP(Рецепты[[#This Row],[Состав]],Ингредиенты[],4,0)="Основа",VLOOKUP(Рецепты[[#This Row],[Способ]],Способ[],2,0),0%)</f>
        <v>0</v>
      </c>
      <c r="M517" s="65">
        <f>VLOOKUP(Рецепты[[#This Row],[Способ]],Способ[],3,0)</f>
        <v>0.7</v>
      </c>
      <c r="N517" s="68">
        <f>Рецепты[[#This Row],[р]]*100%/(100%-Рецепты[[#This Row],[Потери, %]])+Рецепты[[#This Row],[Маржа]]*(Рецепты[[#This Row],[р]]*100%)/(100%-Рецепты[[#This Row],[Потери, %]])</f>
        <v>10.558545454545454</v>
      </c>
      <c r="O517" s="68">
        <f>Рецепты[[#This Row],[Цена за 1 кг]]-(Рецепты[[#This Row],[р]]*100%/(100%-Рецепты[[#This Row],[Потери, %]]))</f>
        <v>4.3476363636363633</v>
      </c>
      <c r="P517" s="64"/>
      <c r="Q517" s="64"/>
      <c r="R517" s="69" t="str">
        <f>VLOOKUP(Рецепты[[#This Row],[Состав]],Ингредиенты[],9,0)</f>
        <v>Нет</v>
      </c>
      <c r="S517" s="69"/>
    </row>
    <row r="518" spans="1:19" x14ac:dyDescent="0.25">
      <c r="A518" s="64" t="s">
        <v>643</v>
      </c>
      <c r="B518" s="64" t="str">
        <f t="shared" si="86"/>
        <v>Еда</v>
      </c>
      <c r="C518" s="64" t="str">
        <f t="shared" si="87"/>
        <v>Вареное</v>
      </c>
      <c r="D518" s="64" t="s">
        <v>128</v>
      </c>
      <c r="E518" s="65" t="str">
        <f>VLOOKUP(Рецепты[[#This Row],[Состав]],Ингредиенты[],2,0)</f>
        <v>Специи</v>
      </c>
      <c r="F518" s="66">
        <v>7.0000000000000001E-3</v>
      </c>
      <c r="G518" s="67">
        <f>IF(Рецепты[[#This Row],[%]]*1000&gt;0,Рецепты[[#This Row],[%]]*1000,"")</f>
        <v>7</v>
      </c>
      <c r="H518" s="68">
        <f>IFERROR(VLOOKUP(Рецепты[[#This Row],[Состав]],Ингредиенты!A:I,3,0)*Рецепты[[#This Row],[г]],"")</f>
        <v>0.26950000000000002</v>
      </c>
      <c r="I518" s="67">
        <f>СводРецепт!$A$1</f>
        <v>1000</v>
      </c>
      <c r="J518" s="67">
        <f>Рецепты[[#This Row],[%]]*Рецепты[[#This Row],[Масса]]</f>
        <v>7</v>
      </c>
      <c r="K518" s="68">
        <f>Рецепты[[#This Row],[Вес ингр-тов]]*VLOOKUP(Рецепты[[#This Row],[Состав]],Ингредиенты[],3,FALSE)</f>
        <v>0.26950000000000002</v>
      </c>
      <c r="L518" s="65">
        <f>IF(VLOOKUP(Рецепты[[#This Row],[Состав]],Ингредиенты[],4,0)="Основа",VLOOKUP(Рецепты[[#This Row],[Способ]],Способ[],2,0),0%)</f>
        <v>0</v>
      </c>
      <c r="M518" s="65">
        <f>VLOOKUP(Рецепты[[#This Row],[Способ]],Способ[],3,0)</f>
        <v>0.7</v>
      </c>
      <c r="N518" s="68">
        <f>Рецепты[[#This Row],[р]]*100%/(100%-Рецепты[[#This Row],[Потери, %]])+Рецепты[[#This Row],[Маржа]]*(Рецепты[[#This Row],[р]]*100%)/(100%-Рецепты[[#This Row],[Потери, %]])</f>
        <v>0.45815000000000006</v>
      </c>
      <c r="O518" s="68">
        <f>Рецепты[[#This Row],[Цена за 1 кг]]-(Рецепты[[#This Row],[р]]*100%/(100%-Рецепты[[#This Row],[Потери, %]]))</f>
        <v>0.18865000000000004</v>
      </c>
      <c r="P518" s="64"/>
      <c r="Q518" s="64"/>
      <c r="R518" s="69" t="str">
        <f>VLOOKUP(Рецепты[[#This Row],[Состав]],Ингредиенты[],9,0)</f>
        <v>Да</v>
      </c>
      <c r="S518" s="69"/>
    </row>
    <row r="519" spans="1:19" x14ac:dyDescent="0.25">
      <c r="A519" s="64" t="s">
        <v>643</v>
      </c>
      <c r="B519" s="64" t="str">
        <f t="shared" si="86"/>
        <v>Еда</v>
      </c>
      <c r="C519" s="64" t="str">
        <f t="shared" si="87"/>
        <v>Вареное</v>
      </c>
      <c r="D519" s="64" t="s">
        <v>155</v>
      </c>
      <c r="E519" s="65" t="str">
        <f>VLOOKUP(Рецепты[[#This Row],[Состав]],Ингредиенты[],2,0)</f>
        <v>Специи</v>
      </c>
      <c r="F519" s="66">
        <v>8.0000000000000004E-4</v>
      </c>
      <c r="G519" s="67">
        <f>IF(Рецепты[[#This Row],[%]]*1000&gt;0,Рецепты[[#This Row],[%]]*1000,"")</f>
        <v>0.8</v>
      </c>
      <c r="H519" s="68">
        <f>IFERROR(VLOOKUP(Рецепты[[#This Row],[Состав]],Ингредиенты!A:I,3,0)*Рецепты[[#This Row],[г]],"")</f>
        <v>0.40177777777777779</v>
      </c>
      <c r="I519" s="67">
        <f>СводРецепт!$A$1</f>
        <v>1000</v>
      </c>
      <c r="J519" s="67">
        <f>Рецепты[[#This Row],[%]]*Рецепты[[#This Row],[Масса]]</f>
        <v>0.8</v>
      </c>
      <c r="K519" s="68">
        <f>Рецепты[[#This Row],[Вес ингр-тов]]*VLOOKUP(Рецепты[[#This Row],[Состав]],Ингредиенты[],3,FALSE)</f>
        <v>0.40177777777777779</v>
      </c>
      <c r="L519" s="65">
        <f>IF(VLOOKUP(Рецепты[[#This Row],[Состав]],Ингредиенты[],4,0)="Основа",VLOOKUP(Рецепты[[#This Row],[Способ]],Способ[],2,0),0%)</f>
        <v>0</v>
      </c>
      <c r="M519" s="65">
        <f>VLOOKUP(Рецепты[[#This Row],[Способ]],Способ[],3,0)</f>
        <v>0.7</v>
      </c>
      <c r="N519" s="68">
        <f>Рецепты[[#This Row],[р]]*100%/(100%-Рецепты[[#This Row],[Потери, %]])+Рецепты[[#This Row],[Маржа]]*(Рецепты[[#This Row],[р]]*100%)/(100%-Рецепты[[#This Row],[Потери, %]])</f>
        <v>0.6830222222222222</v>
      </c>
      <c r="O519" s="68">
        <f>Рецепты[[#This Row],[Цена за 1 кг]]-(Рецепты[[#This Row],[р]]*100%/(100%-Рецепты[[#This Row],[Потери, %]]))</f>
        <v>0.28124444444444441</v>
      </c>
      <c r="P519" s="64"/>
      <c r="Q519" s="64"/>
      <c r="R519" s="69" t="str">
        <f>VLOOKUP(Рецепты[[#This Row],[Состав]],Ингредиенты[],9,0)</f>
        <v>Да</v>
      </c>
      <c r="S519" s="69"/>
    </row>
    <row r="520" spans="1:19" x14ac:dyDescent="0.25">
      <c r="A520" s="64" t="s">
        <v>643</v>
      </c>
      <c r="B520" s="64" t="str">
        <f t="shared" si="86"/>
        <v>Еда</v>
      </c>
      <c r="C520" s="64" t="str">
        <f t="shared" si="87"/>
        <v>Вареное</v>
      </c>
      <c r="D520" s="64" t="s">
        <v>183</v>
      </c>
      <c r="E520" s="65" t="str">
        <f>VLOOKUP(Рецепты[[#This Row],[Состав]],Ингредиенты[],2,0)</f>
        <v>Специи</v>
      </c>
      <c r="F520" s="66">
        <v>1.6000000000000001E-3</v>
      </c>
      <c r="G520" s="67">
        <f>IF(Рецепты[[#This Row],[%]]*1000&gt;0,Рецепты[[#This Row],[%]]*1000,"")</f>
        <v>1.6</v>
      </c>
      <c r="H520" s="68">
        <f>IFERROR(VLOOKUP(Рецепты[[#This Row],[Состав]],Ингредиенты!A:I,3,0)*Рецепты[[#This Row],[г]],"")</f>
        <v>2.4608000000000003</v>
      </c>
      <c r="I520" s="67">
        <f>СводРецепт!$A$1</f>
        <v>1000</v>
      </c>
      <c r="J520" s="67">
        <f>Рецепты[[#This Row],[%]]*Рецепты[[#This Row],[Масса]]</f>
        <v>1.6</v>
      </c>
      <c r="K520" s="68">
        <f>Рецепты[[#This Row],[Вес ингр-тов]]*VLOOKUP(Рецепты[[#This Row],[Состав]],Ингредиенты[],3,FALSE)</f>
        <v>2.4608000000000003</v>
      </c>
      <c r="L520" s="65">
        <f>IF(VLOOKUP(Рецепты[[#This Row],[Состав]],Ингредиенты[],4,0)="Основа",VLOOKUP(Рецепты[[#This Row],[Способ]],Способ[],2,0),0%)</f>
        <v>0</v>
      </c>
      <c r="M520" s="65">
        <f>VLOOKUP(Рецепты[[#This Row],[Способ]],Способ[],3,0)</f>
        <v>0.7</v>
      </c>
      <c r="N520" s="68">
        <f>Рецепты[[#This Row],[р]]*100%/(100%-Рецепты[[#This Row],[Потери, %]])+Рецепты[[#This Row],[Маржа]]*(Рецепты[[#This Row],[р]]*100%)/(100%-Рецепты[[#This Row],[Потери, %]])</f>
        <v>4.1833600000000004</v>
      </c>
      <c r="O520" s="68">
        <f>Рецепты[[#This Row],[Цена за 1 кг]]-(Рецепты[[#This Row],[р]]*100%/(100%-Рецепты[[#This Row],[Потери, %]]))</f>
        <v>1.7225600000000001</v>
      </c>
      <c r="P520" s="64"/>
      <c r="Q520" s="64"/>
      <c r="R520" s="69" t="str">
        <f>VLOOKUP(Рецепты[[#This Row],[Состав]],Ингредиенты[],9,0)</f>
        <v>Да</v>
      </c>
      <c r="S520" s="69"/>
    </row>
    <row r="521" spans="1:19" x14ac:dyDescent="0.25">
      <c r="A521" s="64" t="s">
        <v>643</v>
      </c>
      <c r="B521" s="64" t="str">
        <f t="shared" si="86"/>
        <v>Еда</v>
      </c>
      <c r="C521" s="64" t="str">
        <f t="shared" si="87"/>
        <v>Вареное</v>
      </c>
      <c r="D521" s="64" t="s">
        <v>145</v>
      </c>
      <c r="E521" s="65" t="str">
        <f>VLOOKUP(Рецепты[[#This Row],[Состав]],Ингредиенты[],2,0)</f>
        <v>Специи</v>
      </c>
      <c r="F521" s="66">
        <v>8.0000000000000004E-4</v>
      </c>
      <c r="G521" s="67">
        <f>IF(Рецепты[[#This Row],[%]]*1000&gt;0,Рецепты[[#This Row],[%]]*1000,"")</f>
        <v>0.8</v>
      </c>
      <c r="H521" s="68">
        <f>IFERROR(VLOOKUP(Рецепты[[#This Row],[Состав]],Ингредиенты!A:I,3,0)*Рецепты[[#This Row],[г]],"")</f>
        <v>0.62545454545454549</v>
      </c>
      <c r="I521" s="67">
        <f>СводРецепт!$A$1</f>
        <v>1000</v>
      </c>
      <c r="J521" s="67">
        <f>Рецепты[[#This Row],[%]]*Рецепты[[#This Row],[Масса]]</f>
        <v>0.8</v>
      </c>
      <c r="K521" s="68">
        <f>Рецепты[[#This Row],[Вес ингр-тов]]*VLOOKUP(Рецепты[[#This Row],[Состав]],Ингредиенты[],3,FALSE)</f>
        <v>0.62545454545454549</v>
      </c>
      <c r="L521" s="65">
        <f>IF(VLOOKUP(Рецепты[[#This Row],[Состав]],Ингредиенты[],4,0)="Основа",VLOOKUP(Рецепты[[#This Row],[Способ]],Способ[],2,0),0%)</f>
        <v>0</v>
      </c>
      <c r="M521" s="65">
        <f>VLOOKUP(Рецепты[[#This Row],[Способ]],Способ[],3,0)</f>
        <v>0.7</v>
      </c>
      <c r="N521" s="68">
        <f>Рецепты[[#This Row],[р]]*100%/(100%-Рецепты[[#This Row],[Потери, %]])+Рецепты[[#This Row],[Маржа]]*(Рецепты[[#This Row],[р]]*100%)/(100%-Рецепты[[#This Row],[Потери, %]])</f>
        <v>1.0632727272727274</v>
      </c>
      <c r="O521" s="68">
        <f>Рецепты[[#This Row],[Цена за 1 кг]]-(Рецепты[[#This Row],[р]]*100%/(100%-Рецепты[[#This Row],[Потери, %]]))</f>
        <v>0.43781818181818188</v>
      </c>
      <c r="P521" s="64"/>
      <c r="Q521" s="64"/>
      <c r="R521" s="69" t="str">
        <f>VLOOKUP(Рецепты[[#This Row],[Состав]],Ингредиенты[],9,0)</f>
        <v>Нет</v>
      </c>
      <c r="S521" s="69"/>
    </row>
    <row r="522" spans="1:19" x14ac:dyDescent="0.25">
      <c r="A522" s="64" t="s">
        <v>643</v>
      </c>
      <c r="B522" s="64" t="str">
        <f t="shared" si="86"/>
        <v>Еда</v>
      </c>
      <c r="C522" s="64" t="str">
        <f t="shared" si="87"/>
        <v>Вареное</v>
      </c>
      <c r="D522" s="64" t="s">
        <v>147</v>
      </c>
      <c r="E522" s="65" t="str">
        <f>VLOOKUP(Рецепты[[#This Row],[Состав]],Ингредиенты[],2,0)</f>
        <v>Специи</v>
      </c>
      <c r="F522" s="66">
        <v>1.4E-3</v>
      </c>
      <c r="G522" s="67">
        <f>IF(Рецепты[[#This Row],[%]]*1000&gt;0,Рецепты[[#This Row],[%]]*1000,"")</f>
        <v>1.4</v>
      </c>
      <c r="H522" s="68">
        <f>IFERROR(VLOOKUP(Рецепты[[#This Row],[Состав]],Ингредиенты!A:I,3,0)*Рецепты[[#This Row],[г]],"")</f>
        <v>1.2544</v>
      </c>
      <c r="I522" s="67">
        <f>СводРецепт!$A$1</f>
        <v>1000</v>
      </c>
      <c r="J522" s="67">
        <f>Рецепты[[#This Row],[%]]*Рецепты[[#This Row],[Масса]]</f>
        <v>1.4</v>
      </c>
      <c r="K522" s="68">
        <f>Рецепты[[#This Row],[Вес ингр-тов]]*VLOOKUP(Рецепты[[#This Row],[Состав]],Ингредиенты[],3,FALSE)</f>
        <v>1.2544</v>
      </c>
      <c r="L522" s="65">
        <f>IF(VLOOKUP(Рецепты[[#This Row],[Состав]],Ингредиенты[],4,0)="Основа",VLOOKUP(Рецепты[[#This Row],[Способ]],Способ[],2,0),0%)</f>
        <v>0</v>
      </c>
      <c r="M522" s="65">
        <f>VLOOKUP(Рецепты[[#This Row],[Способ]],Способ[],3,0)</f>
        <v>0.7</v>
      </c>
      <c r="N522" s="68">
        <f>Рецепты[[#This Row],[р]]*100%/(100%-Рецепты[[#This Row],[Потери, %]])+Рецепты[[#This Row],[Маржа]]*(Рецепты[[#This Row],[р]]*100%)/(100%-Рецепты[[#This Row],[Потери, %]])</f>
        <v>2.1324799999999997</v>
      </c>
      <c r="O522" s="68">
        <f>Рецепты[[#This Row],[Цена за 1 кг]]-(Рецепты[[#This Row],[р]]*100%/(100%-Рецепты[[#This Row],[Потери, %]]))</f>
        <v>0.87807999999999975</v>
      </c>
      <c r="P522" s="64"/>
      <c r="Q522" s="64"/>
      <c r="R522" s="69" t="str">
        <f>VLOOKUP(Рецепты[[#This Row],[Состав]],Ингредиенты[],9,0)</f>
        <v>Да</v>
      </c>
      <c r="S522" s="69"/>
    </row>
    <row r="523" spans="1:19" x14ac:dyDescent="0.25">
      <c r="A523" s="64" t="s">
        <v>643</v>
      </c>
      <c r="B523" s="64" t="str">
        <f t="shared" si="86"/>
        <v>Еда</v>
      </c>
      <c r="C523" s="64" t="str">
        <f t="shared" si="87"/>
        <v>Вареное</v>
      </c>
      <c r="D523" s="64" t="s">
        <v>647</v>
      </c>
      <c r="E523" s="65" t="str">
        <f>VLOOKUP(Рецепты[[#This Row],[Состав]],Ингредиенты[],2,0)</f>
        <v>Специи</v>
      </c>
      <c r="F523" s="66">
        <v>8.0000000000000002E-3</v>
      </c>
      <c r="G523" s="67">
        <f>IF(Рецепты[[#This Row],[%]]*1000&gt;0,Рецепты[[#This Row],[%]]*1000,"")</f>
        <v>8</v>
      </c>
      <c r="H523" s="68">
        <f>IFERROR(VLOOKUP(Рецепты[[#This Row],[Состав]],Ингредиенты!A:I,3,0)*Рецепты[[#This Row],[г]],"")</f>
        <v>17.68</v>
      </c>
      <c r="I523" s="67">
        <f>СводРецепт!$A$1</f>
        <v>1000</v>
      </c>
      <c r="J523" s="67">
        <f>Рецепты[[#This Row],[%]]*Рецепты[[#This Row],[Масса]]</f>
        <v>8</v>
      </c>
      <c r="K523" s="68">
        <f>Рецепты[[#This Row],[Вес ингр-тов]]*VLOOKUP(Рецепты[[#This Row],[Состав]],Ингредиенты[],3,FALSE)</f>
        <v>17.68</v>
      </c>
      <c r="L523" s="65">
        <f>IF(VLOOKUP(Рецепты[[#This Row],[Состав]],Ингредиенты[],4,0)="Основа",VLOOKUP(Рецепты[[#This Row],[Способ]],Способ[],2,0),0%)</f>
        <v>0</v>
      </c>
      <c r="M523" s="65">
        <f>VLOOKUP(Рецепты[[#This Row],[Способ]],Способ[],3,0)</f>
        <v>0.7</v>
      </c>
      <c r="N523" s="68">
        <f>Рецепты[[#This Row],[р]]*100%/(100%-Рецепты[[#This Row],[Потери, %]])+Рецепты[[#This Row],[Маржа]]*(Рецепты[[#This Row],[р]]*100%)/(100%-Рецепты[[#This Row],[Потери, %]])</f>
        <v>30.055999999999997</v>
      </c>
      <c r="O523" s="68">
        <f>Рецепты[[#This Row],[Цена за 1 кг]]-(Рецепты[[#This Row],[р]]*100%/(100%-Рецепты[[#This Row],[Потери, %]]))</f>
        <v>12.375999999999998</v>
      </c>
      <c r="P523" s="64"/>
      <c r="Q523" s="64"/>
      <c r="R523" s="69" t="str">
        <f>VLOOKUP(Рецепты[[#This Row],[Состав]],Ингредиенты[],9,0)</f>
        <v>Нет</v>
      </c>
      <c r="S523" s="69"/>
    </row>
    <row r="524" spans="1:19" x14ac:dyDescent="0.25">
      <c r="A524" s="64" t="s">
        <v>643</v>
      </c>
      <c r="B524" s="64" t="str">
        <f t="shared" si="86"/>
        <v>Еда</v>
      </c>
      <c r="C524" s="64" t="str">
        <f t="shared" si="87"/>
        <v>Вареное</v>
      </c>
      <c r="D524" s="64" t="s">
        <v>648</v>
      </c>
      <c r="E524" s="65" t="str">
        <f>VLOOKUP(Рецепты[[#This Row],[Состав]],Ингредиенты[],2,0)</f>
        <v>Специи</v>
      </c>
      <c r="F524" s="66">
        <v>2.7E-2</v>
      </c>
      <c r="G524" s="67">
        <f>IF(Рецепты[[#This Row],[%]]*1000&gt;0,Рецепты[[#This Row],[%]]*1000,"")</f>
        <v>27</v>
      </c>
      <c r="H524" s="68">
        <f>IFERROR(VLOOKUP(Рецепты[[#This Row],[Состав]],Ингредиенты!A:I,3,0)*Рецепты[[#This Row],[г]],"")</f>
        <v>9.6660000000000004</v>
      </c>
      <c r="I524" s="67">
        <f>СводРецепт!$A$1</f>
        <v>1000</v>
      </c>
      <c r="J524" s="67">
        <f>Рецепты[[#This Row],[%]]*Рецепты[[#This Row],[Масса]]</f>
        <v>27</v>
      </c>
      <c r="K524" s="68">
        <f>Рецепты[[#This Row],[Вес ингр-тов]]*VLOOKUP(Рецепты[[#This Row],[Состав]],Ингредиенты[],3,FALSE)</f>
        <v>9.6660000000000004</v>
      </c>
      <c r="L524" s="65">
        <f>IF(VLOOKUP(Рецепты[[#This Row],[Состав]],Ингредиенты[],4,0)="Основа",VLOOKUP(Рецепты[[#This Row],[Способ]],Способ[],2,0),0%)</f>
        <v>0</v>
      </c>
      <c r="M524" s="65">
        <f>VLOOKUP(Рецепты[[#This Row],[Способ]],Способ[],3,0)</f>
        <v>0.7</v>
      </c>
      <c r="N524" s="68">
        <f>Рецепты[[#This Row],[р]]*100%/(100%-Рецепты[[#This Row],[Потери, %]])+Рецепты[[#This Row],[Маржа]]*(Рецепты[[#This Row],[р]]*100%)/(100%-Рецепты[[#This Row],[Потери, %]])</f>
        <v>16.432200000000002</v>
      </c>
      <c r="O524" s="68">
        <f>Рецепты[[#This Row],[Цена за 1 кг]]-(Рецепты[[#This Row],[р]]*100%/(100%-Рецепты[[#This Row],[Потери, %]]))</f>
        <v>6.7662000000000013</v>
      </c>
      <c r="P524" s="64"/>
      <c r="Q524" s="64"/>
      <c r="R524" s="69">
        <f>VLOOKUP(Рецепты[[#This Row],[Состав]],Ингредиенты[],9,0)</f>
        <v>0</v>
      </c>
      <c r="S524" s="69"/>
    </row>
    <row r="525" spans="1:19" x14ac:dyDescent="0.25">
      <c r="A525" s="64" t="s">
        <v>643</v>
      </c>
      <c r="B525" s="64" t="str">
        <f t="shared" si="86"/>
        <v>Еда</v>
      </c>
      <c r="C525" s="64" t="str">
        <f t="shared" si="87"/>
        <v>Вареное</v>
      </c>
      <c r="D525" s="64" t="s">
        <v>649</v>
      </c>
      <c r="E525" s="65" t="str">
        <f>VLOOKUP(Рецепты[[#This Row],[Состав]],Ингредиенты[],2,0)</f>
        <v>Специи</v>
      </c>
      <c r="F525" s="66">
        <v>2.7E-2</v>
      </c>
      <c r="G525" s="67">
        <f>IF(Рецепты[[#This Row],[%]]*1000&gt;0,Рецепты[[#This Row],[%]]*1000,"")</f>
        <v>27</v>
      </c>
      <c r="H525" s="68">
        <f>IFERROR(VLOOKUP(Рецепты[[#This Row],[Состав]],Ингредиенты!A:I,3,0)*Рецепты[[#This Row],[г]],"")</f>
        <v>13.608000000000001</v>
      </c>
      <c r="I525" s="67">
        <f>СводРецепт!$A$1</f>
        <v>1000</v>
      </c>
      <c r="J525" s="67">
        <f>Рецепты[[#This Row],[%]]*Рецепты[[#This Row],[Масса]]</f>
        <v>27</v>
      </c>
      <c r="K525" s="68">
        <f>Рецепты[[#This Row],[Вес ингр-тов]]*VLOOKUP(Рецепты[[#This Row],[Состав]],Ингредиенты[],3,FALSE)</f>
        <v>13.608000000000001</v>
      </c>
      <c r="L525" s="65">
        <f>IF(VLOOKUP(Рецепты[[#This Row],[Состав]],Ингредиенты[],4,0)="Основа",VLOOKUP(Рецепты[[#This Row],[Способ]],Способ[],2,0),0%)</f>
        <v>0</v>
      </c>
      <c r="M525" s="65">
        <f>VLOOKUP(Рецепты[[#This Row],[Способ]],Способ[],3,0)</f>
        <v>0.7</v>
      </c>
      <c r="N525" s="68">
        <f>Рецепты[[#This Row],[р]]*100%/(100%-Рецепты[[#This Row],[Потери, %]])+Рецепты[[#This Row],[Маржа]]*(Рецепты[[#This Row],[р]]*100%)/(100%-Рецепты[[#This Row],[Потери, %]])</f>
        <v>23.133600000000001</v>
      </c>
      <c r="O525" s="68">
        <f>Рецепты[[#This Row],[Цена за 1 кг]]-(Рецепты[[#This Row],[р]]*100%/(100%-Рецепты[[#This Row],[Потери, %]]))</f>
        <v>9.5256000000000007</v>
      </c>
      <c r="P525" s="64"/>
      <c r="Q525" s="64"/>
      <c r="R525" s="69" t="str">
        <f>VLOOKUP(Рецепты[[#This Row],[Состав]],Ингредиенты[],9,0)</f>
        <v>Нет</v>
      </c>
      <c r="S525" s="69"/>
    </row>
    <row r="526" spans="1:19" x14ac:dyDescent="0.25">
      <c r="A526" s="64" t="s">
        <v>643</v>
      </c>
      <c r="B526" s="64" t="str">
        <f t="shared" si="86"/>
        <v>Еда</v>
      </c>
      <c r="C526" s="64" t="str">
        <f t="shared" si="87"/>
        <v>Вареное</v>
      </c>
      <c r="D526" s="64" t="s">
        <v>650</v>
      </c>
      <c r="E526" s="65" t="str">
        <f>VLOOKUP(Рецепты[[#This Row],[Состав]],Ингредиенты[],2,0)</f>
        <v>Добавки</v>
      </c>
      <c r="F526" s="66">
        <v>2.7E-2</v>
      </c>
      <c r="G526" s="67">
        <f>IF(Рецепты[[#This Row],[%]]*1000&gt;0,Рецепты[[#This Row],[%]]*1000,"")</f>
        <v>27</v>
      </c>
      <c r="H526" s="68">
        <f>IFERROR(VLOOKUP(Рецепты[[#This Row],[Состав]],Ингредиенты!A:I,3,0)*Рецепты[[#This Row],[г]],"")</f>
        <v>5.94</v>
      </c>
      <c r="I526" s="67">
        <f>СводРецепт!$A$1</f>
        <v>1000</v>
      </c>
      <c r="J526" s="67">
        <f>Рецепты[[#This Row],[%]]*Рецепты[[#This Row],[Масса]]</f>
        <v>27</v>
      </c>
      <c r="K526" s="68">
        <f>Рецепты[[#This Row],[Вес ингр-тов]]*VLOOKUP(Рецепты[[#This Row],[Состав]],Ингредиенты[],3,FALSE)</f>
        <v>5.94</v>
      </c>
      <c r="L526" s="65">
        <f>IF(VLOOKUP(Рецепты[[#This Row],[Состав]],Ингредиенты[],4,0)="Основа",VLOOKUP(Рецепты[[#This Row],[Способ]],Способ[],2,0),0%)</f>
        <v>0.15</v>
      </c>
      <c r="M526" s="65">
        <f>VLOOKUP(Рецепты[[#This Row],[Способ]],Способ[],3,0)</f>
        <v>0.7</v>
      </c>
      <c r="N526" s="68">
        <f>Рецепты[[#This Row],[р]]*100%/(100%-Рецепты[[#This Row],[Потери, %]])+Рецепты[[#This Row],[Маржа]]*(Рецепты[[#This Row],[р]]*100%)/(100%-Рецепты[[#This Row],[Потери, %]])</f>
        <v>11.880000000000003</v>
      </c>
      <c r="O526" s="68">
        <f>Рецепты[[#This Row],[Цена за 1 кг]]-(Рецепты[[#This Row],[р]]*100%/(100%-Рецепты[[#This Row],[Потери, %]]))</f>
        <v>4.8917647058823546</v>
      </c>
      <c r="P526" s="64"/>
      <c r="Q526" s="64"/>
      <c r="R526" s="69">
        <f>VLOOKUP(Рецепты[[#This Row],[Состав]],Ингредиенты[],9,0)</f>
        <v>0</v>
      </c>
      <c r="S526" s="69"/>
    </row>
    <row r="527" spans="1:19" x14ac:dyDescent="0.25">
      <c r="A527" s="70" t="s">
        <v>659</v>
      </c>
      <c r="B527" s="70" t="str">
        <f t="shared" ref="B527:B533" si="88">B526</f>
        <v>Еда</v>
      </c>
      <c r="C527" s="70" t="s">
        <v>30</v>
      </c>
      <c r="D527" s="70" t="s">
        <v>85</v>
      </c>
      <c r="E527" s="71" t="str">
        <f>VLOOKUP(Рецепты[[#This Row],[Состав]],Ингредиенты[],2,0)</f>
        <v>Добавки</v>
      </c>
      <c r="F527" s="72">
        <v>0.3</v>
      </c>
      <c r="G527" s="73">
        <f>IF(Рецепты[[#This Row],[%]]*1000&gt;0,Рецепты[[#This Row],[%]]*1000,"")</f>
        <v>300</v>
      </c>
      <c r="H527" s="74">
        <f>IFERROR(VLOOKUP(Рецепты[[#This Row],[Состав]],Ингредиенты!A:I,3,0)*Рецепты[[#This Row],[г]],"")</f>
        <v>19.997999999999998</v>
      </c>
      <c r="I527" s="73">
        <f>СводРецепт!$A$1</f>
        <v>1000</v>
      </c>
      <c r="J527" s="73">
        <f>Рецепты[[#This Row],[%]]*Рецепты[[#This Row],[Масса]]</f>
        <v>300</v>
      </c>
      <c r="K527" s="74">
        <f>Рецепты[[#This Row],[Вес ингр-тов]]*VLOOKUP(Рецепты[[#This Row],[Состав]],Ингредиенты[],3,FALSE)</f>
        <v>19.997999999999998</v>
      </c>
      <c r="L527" s="71">
        <f>IF(VLOOKUP(Рецепты[[#This Row],[Состав]],Ингредиенты[],4,0)="Основа",VLOOKUP(Рецепты[[#This Row],[Способ]],Способ[],2,0),0%)</f>
        <v>0.05</v>
      </c>
      <c r="M527" s="71">
        <f>VLOOKUP(Рецепты[[#This Row],[Способ]],Способ[],3,0)</f>
        <v>0.5</v>
      </c>
      <c r="N527" s="74">
        <f>Рецепты[[#This Row],[р]]*100%/(100%-Рецепты[[#This Row],[Потери, %]])+Рецепты[[#This Row],[Маржа]]*(Рецепты[[#This Row],[р]]*100%)/(100%-Рецепты[[#This Row],[Потери, %]])</f>
        <v>31.57578947368421</v>
      </c>
      <c r="O527" s="74">
        <f>Рецепты[[#This Row],[Цена за 1 кг]]-(Рецепты[[#This Row],[р]]*100%/(100%-Рецепты[[#This Row],[Потери, %]]))</f>
        <v>10.525263157894738</v>
      </c>
      <c r="P527" s="70"/>
      <c r="Q527" s="70"/>
      <c r="R527" s="75" t="str">
        <f>VLOOKUP(Рецепты[[#This Row],[Состав]],Ингредиенты[],9,0)</f>
        <v>Да</v>
      </c>
      <c r="S527" s="75"/>
    </row>
    <row r="528" spans="1:19" x14ac:dyDescent="0.25">
      <c r="A528" s="70" t="s">
        <v>659</v>
      </c>
      <c r="B528" s="70" t="str">
        <f t="shared" si="88"/>
        <v>Еда</v>
      </c>
      <c r="C528" s="70" t="str">
        <f t="shared" ref="C528:C533" si="89">C527</f>
        <v>Еда</v>
      </c>
      <c r="D528" s="70" t="s">
        <v>92</v>
      </c>
      <c r="E528" s="71" t="str">
        <f>VLOOKUP(Рецепты[[#This Row],[Состав]],Ингредиенты[],2,0)</f>
        <v>Добавки</v>
      </c>
      <c r="F528" s="72">
        <v>0.06</v>
      </c>
      <c r="G528" s="73">
        <f>IF(Рецепты[[#This Row],[%]]*1000&gt;0,Рецепты[[#This Row],[%]]*1000,"")</f>
        <v>60</v>
      </c>
      <c r="H528" s="74">
        <f>IFERROR(VLOOKUP(Рецепты[[#This Row],[Состав]],Ингредиенты!A:I,3,0)*Рецепты[[#This Row],[г]],"")</f>
        <v>6.6666666666666661</v>
      </c>
      <c r="I528" s="73">
        <f>СводРецепт!$A$1</f>
        <v>1000</v>
      </c>
      <c r="J528" s="73">
        <f>Рецепты[[#This Row],[%]]*Рецепты[[#This Row],[Масса]]</f>
        <v>60</v>
      </c>
      <c r="K528" s="74">
        <f>Рецепты[[#This Row],[Вес ингр-тов]]*VLOOKUP(Рецепты[[#This Row],[Состав]],Ингредиенты[],3,FALSE)</f>
        <v>6.6666666666666661</v>
      </c>
      <c r="L528" s="71">
        <f>IF(VLOOKUP(Рецепты[[#This Row],[Состав]],Ингредиенты[],4,0)="Основа",VLOOKUP(Рецепты[[#This Row],[Способ]],Способ[],2,0),0%)</f>
        <v>0</v>
      </c>
      <c r="M528" s="71">
        <f>VLOOKUP(Рецепты[[#This Row],[Способ]],Способ[],3,0)</f>
        <v>0.5</v>
      </c>
      <c r="N528" s="74">
        <f>Рецепты[[#This Row],[р]]*100%/(100%-Рецепты[[#This Row],[Потери, %]])+Рецепты[[#This Row],[Маржа]]*(Рецепты[[#This Row],[р]]*100%)/(100%-Рецепты[[#This Row],[Потери, %]])</f>
        <v>10</v>
      </c>
      <c r="O528" s="74">
        <f>Рецепты[[#This Row],[Цена за 1 кг]]-(Рецепты[[#This Row],[р]]*100%/(100%-Рецепты[[#This Row],[Потери, %]]))</f>
        <v>3.3333333333333339</v>
      </c>
      <c r="P528" s="70"/>
      <c r="Q528" s="70"/>
      <c r="R528" s="75" t="str">
        <f>VLOOKUP(Рецепты[[#This Row],[Состав]],Ингредиенты[],9,0)</f>
        <v>Да</v>
      </c>
      <c r="S528" s="75"/>
    </row>
    <row r="529" spans="1:19" x14ac:dyDescent="0.25">
      <c r="A529" s="70" t="s">
        <v>659</v>
      </c>
      <c r="B529" s="70" t="str">
        <f t="shared" si="88"/>
        <v>Еда</v>
      </c>
      <c r="C529" s="70" t="str">
        <f t="shared" si="89"/>
        <v>Еда</v>
      </c>
      <c r="D529" s="70" t="s">
        <v>94</v>
      </c>
      <c r="E529" s="71" t="str">
        <f>VLOOKUP(Рецепты[[#This Row],[Состав]],Ингредиенты[],2,0)</f>
        <v>Добавки</v>
      </c>
      <c r="F529" s="72">
        <v>0.35</v>
      </c>
      <c r="G529" s="73">
        <f>IF(Рецепты[[#This Row],[%]]*1000&gt;0,Рецепты[[#This Row],[%]]*1000,"")</f>
        <v>350</v>
      </c>
      <c r="H529" s="74">
        <f>IFERROR(VLOOKUP(Рецепты[[#This Row],[Состав]],Ингредиенты!A:I,3,0)*Рецепты[[#This Row],[г]],"")</f>
        <v>16.939999999999998</v>
      </c>
      <c r="I529" s="73">
        <f>СводРецепт!$A$1</f>
        <v>1000</v>
      </c>
      <c r="J529" s="73">
        <f>Рецепты[[#This Row],[%]]*Рецепты[[#This Row],[Масса]]</f>
        <v>350</v>
      </c>
      <c r="K529" s="74">
        <f>Рецепты[[#This Row],[Вес ингр-тов]]*VLOOKUP(Рецепты[[#This Row],[Состав]],Ингредиенты[],3,FALSE)</f>
        <v>16.939999999999998</v>
      </c>
      <c r="L529" s="71">
        <f>IF(VLOOKUP(Рецепты[[#This Row],[Состав]],Ингредиенты[],4,0)="Основа",VLOOKUP(Рецепты[[#This Row],[Способ]],Способ[],2,0),0%)</f>
        <v>0</v>
      </c>
      <c r="M529" s="71">
        <f>VLOOKUP(Рецепты[[#This Row],[Способ]],Способ[],3,0)</f>
        <v>0.5</v>
      </c>
      <c r="N529" s="74">
        <f>Рецепты[[#This Row],[р]]*100%/(100%-Рецепты[[#This Row],[Потери, %]])+Рецепты[[#This Row],[Маржа]]*(Рецепты[[#This Row],[р]]*100%)/(100%-Рецепты[[#This Row],[Потери, %]])</f>
        <v>25.409999999999997</v>
      </c>
      <c r="O529" s="74">
        <f>Рецепты[[#This Row],[Цена за 1 кг]]-(Рецепты[[#This Row],[р]]*100%/(100%-Рецепты[[#This Row],[Потери, %]]))</f>
        <v>8.4699999999999989</v>
      </c>
      <c r="P529" s="70"/>
      <c r="Q529" s="70"/>
      <c r="R529" s="75" t="str">
        <f>VLOOKUP(Рецепты[[#This Row],[Состав]],Ингредиенты[],9,0)</f>
        <v>Да</v>
      </c>
      <c r="S529" s="75"/>
    </row>
    <row r="530" spans="1:19" x14ac:dyDescent="0.25">
      <c r="A530" s="70" t="s">
        <v>659</v>
      </c>
      <c r="B530" s="70" t="str">
        <f t="shared" si="88"/>
        <v>Еда</v>
      </c>
      <c r="C530" s="70" t="str">
        <f t="shared" si="89"/>
        <v>Еда</v>
      </c>
      <c r="D530" s="70" t="s">
        <v>123</v>
      </c>
      <c r="E530" s="71" t="str">
        <f>VLOOKUP(Рецепты[[#This Row],[Состав]],Ингредиенты[],2,0)</f>
        <v>Добавки</v>
      </c>
      <c r="F530" s="72">
        <v>4.0000000000000001E-3</v>
      </c>
      <c r="G530" s="73">
        <f>IF(Рецепты[[#This Row],[%]]*1000&gt;0,Рецепты[[#This Row],[%]]*1000,"")</f>
        <v>4</v>
      </c>
      <c r="H530" s="74">
        <f>IFERROR(VLOOKUP(Рецепты[[#This Row],[Состав]],Ингредиенты!A:I,3,0)*Рецепты[[#This Row],[г]],"")</f>
        <v>2.3370786516853932</v>
      </c>
      <c r="I530" s="73">
        <f>СводРецепт!$A$1</f>
        <v>1000</v>
      </c>
      <c r="J530" s="73">
        <f>Рецепты[[#This Row],[%]]*Рецепты[[#This Row],[Масса]]</f>
        <v>4</v>
      </c>
      <c r="K530" s="74">
        <f>Рецепты[[#This Row],[Вес ингр-тов]]*VLOOKUP(Рецепты[[#This Row],[Состав]],Ингредиенты[],3,FALSE)</f>
        <v>2.3370786516853932</v>
      </c>
      <c r="L530" s="71">
        <f>IF(VLOOKUP(Рецепты[[#This Row],[Состав]],Ингредиенты[],4,0)="Основа",VLOOKUP(Рецепты[[#This Row],[Способ]],Способ[],2,0),0%)</f>
        <v>0</v>
      </c>
      <c r="M530" s="71">
        <f>VLOOKUP(Рецепты[[#This Row],[Способ]],Способ[],3,0)</f>
        <v>0.5</v>
      </c>
      <c r="N530" s="74">
        <f>Рецепты[[#This Row],[р]]*100%/(100%-Рецепты[[#This Row],[Потери, %]])+Рецепты[[#This Row],[Маржа]]*(Рецепты[[#This Row],[р]]*100%)/(100%-Рецепты[[#This Row],[Потери, %]])</f>
        <v>3.5056179775280896</v>
      </c>
      <c r="O530" s="74">
        <f>Рецепты[[#This Row],[Цена за 1 кг]]-(Рецепты[[#This Row],[р]]*100%/(100%-Рецепты[[#This Row],[Потери, %]]))</f>
        <v>1.1685393258426964</v>
      </c>
      <c r="P530" s="70"/>
      <c r="Q530" s="70"/>
      <c r="R530" s="75" t="str">
        <f>VLOOKUP(Рецепты[[#This Row],[Состав]],Ингредиенты[],9,0)</f>
        <v>Нет</v>
      </c>
      <c r="S530" s="75"/>
    </row>
    <row r="531" spans="1:19" x14ac:dyDescent="0.25">
      <c r="A531" s="70" t="s">
        <v>659</v>
      </c>
      <c r="B531" s="70" t="str">
        <f t="shared" si="88"/>
        <v>Еда</v>
      </c>
      <c r="C531" s="70" t="str">
        <f t="shared" si="89"/>
        <v>Еда</v>
      </c>
      <c r="D531" s="70" t="s">
        <v>131</v>
      </c>
      <c r="E531" s="71" t="str">
        <f>VLOOKUP(Рецепты[[#This Row],[Состав]],Ингредиенты[],2,0)</f>
        <v>Специи</v>
      </c>
      <c r="F531" s="72">
        <v>0.03</v>
      </c>
      <c r="G531" s="73">
        <f>IF(Рецепты[[#This Row],[%]]*1000&gt;0,Рецепты[[#This Row],[%]]*1000,"")</f>
        <v>30</v>
      </c>
      <c r="H531" s="74">
        <f>IFERROR(VLOOKUP(Рецепты[[#This Row],[Состав]],Ингредиенты!A:I,3,0)*Рецепты[[#This Row],[г]],"")</f>
        <v>2.4264705882352944</v>
      </c>
      <c r="I531" s="73">
        <f>СводРецепт!$A$1</f>
        <v>1000</v>
      </c>
      <c r="J531" s="73">
        <f>Рецепты[[#This Row],[%]]*Рецепты[[#This Row],[Масса]]</f>
        <v>30</v>
      </c>
      <c r="K531" s="74">
        <f>Рецепты[[#This Row],[Вес ингр-тов]]*VLOOKUP(Рецепты[[#This Row],[Состав]],Ингредиенты[],3,FALSE)</f>
        <v>2.4264705882352944</v>
      </c>
      <c r="L531" s="71">
        <f>IF(VLOOKUP(Рецепты[[#This Row],[Состав]],Ингредиенты[],4,0)="Основа",VLOOKUP(Рецепты[[#This Row],[Способ]],Способ[],2,0),0%)</f>
        <v>0</v>
      </c>
      <c r="M531" s="71">
        <f>VLOOKUP(Рецепты[[#This Row],[Способ]],Способ[],3,0)</f>
        <v>0.5</v>
      </c>
      <c r="N531" s="74">
        <f>Рецепты[[#This Row],[р]]*100%/(100%-Рецепты[[#This Row],[Потери, %]])+Рецепты[[#This Row],[Маржа]]*(Рецепты[[#This Row],[р]]*100%)/(100%-Рецепты[[#This Row],[Потери, %]])</f>
        <v>3.6397058823529416</v>
      </c>
      <c r="O531" s="74">
        <f>Рецепты[[#This Row],[Цена за 1 кг]]-(Рецепты[[#This Row],[р]]*100%/(100%-Рецепты[[#This Row],[Потери, %]]))</f>
        <v>1.2132352941176472</v>
      </c>
      <c r="P531" s="70"/>
      <c r="Q531" s="70"/>
      <c r="R531" s="75" t="str">
        <f>VLOOKUP(Рецепты[[#This Row],[Состав]],Ингредиенты[],9,0)</f>
        <v>Да</v>
      </c>
      <c r="S531" s="75"/>
    </row>
    <row r="532" spans="1:19" x14ac:dyDescent="0.25">
      <c r="A532" s="70" t="s">
        <v>659</v>
      </c>
      <c r="B532" s="70" t="str">
        <f t="shared" si="88"/>
        <v>Еда</v>
      </c>
      <c r="C532" s="70" t="str">
        <f t="shared" si="89"/>
        <v>Еда</v>
      </c>
      <c r="D532" s="70" t="s">
        <v>128</v>
      </c>
      <c r="E532" s="71" t="str">
        <f>VLOOKUP(Рецепты[[#This Row],[Состав]],Ингредиенты[],2,0)</f>
        <v>Специи</v>
      </c>
      <c r="F532" s="72">
        <v>5.0000000000000001E-3</v>
      </c>
      <c r="G532" s="73">
        <f>IF(Рецепты[[#This Row],[%]]*1000&gt;0,Рецепты[[#This Row],[%]]*1000,"")</f>
        <v>5</v>
      </c>
      <c r="H532" s="74">
        <f>IFERROR(VLOOKUP(Рецепты[[#This Row],[Состав]],Ингредиенты!A:I,3,0)*Рецепты[[#This Row],[г]],"")</f>
        <v>0.1925</v>
      </c>
      <c r="I532" s="73">
        <f>СводРецепт!$A$1</f>
        <v>1000</v>
      </c>
      <c r="J532" s="73">
        <f>Рецепты[[#This Row],[%]]*Рецепты[[#This Row],[Масса]]</f>
        <v>5</v>
      </c>
      <c r="K532" s="74">
        <f>Рецепты[[#This Row],[Вес ингр-тов]]*VLOOKUP(Рецепты[[#This Row],[Состав]],Ингредиенты[],3,FALSE)</f>
        <v>0.1925</v>
      </c>
      <c r="L532" s="71">
        <f>IF(VLOOKUP(Рецепты[[#This Row],[Состав]],Ингредиенты[],4,0)="Основа",VLOOKUP(Рецепты[[#This Row],[Способ]],Способ[],2,0),0%)</f>
        <v>0</v>
      </c>
      <c r="M532" s="71">
        <f>VLOOKUP(Рецепты[[#This Row],[Способ]],Способ[],3,0)</f>
        <v>0.5</v>
      </c>
      <c r="N532" s="74">
        <f>Рецепты[[#This Row],[р]]*100%/(100%-Рецепты[[#This Row],[Потери, %]])+Рецепты[[#This Row],[Маржа]]*(Рецепты[[#This Row],[р]]*100%)/(100%-Рецепты[[#This Row],[Потери, %]])</f>
        <v>0.28875000000000001</v>
      </c>
      <c r="O532" s="74">
        <f>Рецепты[[#This Row],[Цена за 1 кг]]-(Рецепты[[#This Row],[р]]*100%/(100%-Рецепты[[#This Row],[Потери, %]]))</f>
        <v>9.6250000000000002E-2</v>
      </c>
      <c r="P532" s="70"/>
      <c r="Q532" s="70"/>
      <c r="R532" s="75" t="str">
        <f>VLOOKUP(Рецепты[[#This Row],[Состав]],Ингредиенты[],9,0)</f>
        <v>Да</v>
      </c>
      <c r="S532" s="75"/>
    </row>
    <row r="533" spans="1:19" x14ac:dyDescent="0.25">
      <c r="A533" s="70" t="s">
        <v>659</v>
      </c>
      <c r="B533" s="70" t="str">
        <f t="shared" si="88"/>
        <v>Еда</v>
      </c>
      <c r="C533" s="70" t="str">
        <f t="shared" si="89"/>
        <v>Еда</v>
      </c>
      <c r="D533" s="70" t="s">
        <v>101</v>
      </c>
      <c r="E533" s="71" t="str">
        <f>VLOOKUP(Рецепты[[#This Row],[Состав]],Ингредиенты[],2,0)</f>
        <v>Добавки</v>
      </c>
      <c r="F533" s="72">
        <v>0.05</v>
      </c>
      <c r="G533" s="73">
        <f>IF(Рецепты[[#This Row],[%]]*1000&gt;0,Рецепты[[#This Row],[%]]*1000,"")</f>
        <v>50</v>
      </c>
      <c r="H533" s="74">
        <f>IFERROR(VLOOKUP(Рецепты[[#This Row],[Состав]],Ингредиенты!A:I,3,0)*Рецепты[[#This Row],[г]],"")</f>
        <v>8.25</v>
      </c>
      <c r="I533" s="73">
        <f>СводРецепт!$A$1</f>
        <v>1000</v>
      </c>
      <c r="J533" s="73">
        <f>Рецепты[[#This Row],[%]]*Рецепты[[#This Row],[Масса]]</f>
        <v>50</v>
      </c>
      <c r="K533" s="74">
        <f>Рецепты[[#This Row],[Вес ингр-тов]]*VLOOKUP(Рецепты[[#This Row],[Состав]],Ингредиенты[],3,FALSE)</f>
        <v>8.25</v>
      </c>
      <c r="L533" s="71">
        <f>IF(VLOOKUP(Рецепты[[#This Row],[Состав]],Ингредиенты[],4,0)="Основа",VLOOKUP(Рецепты[[#This Row],[Способ]],Способ[],2,0),0%)</f>
        <v>0</v>
      </c>
      <c r="M533" s="71">
        <f>VLOOKUP(Рецепты[[#This Row],[Способ]],Способ[],3,0)</f>
        <v>0.5</v>
      </c>
      <c r="N533" s="74">
        <f>Рецепты[[#This Row],[р]]*100%/(100%-Рецепты[[#This Row],[Потери, %]])+Рецепты[[#This Row],[Маржа]]*(Рецепты[[#This Row],[р]]*100%)/(100%-Рецепты[[#This Row],[Потери, %]])</f>
        <v>12.375</v>
      </c>
      <c r="O533" s="74">
        <f>Рецепты[[#This Row],[Цена за 1 кг]]-(Рецепты[[#This Row],[р]]*100%/(100%-Рецепты[[#This Row],[Потери, %]]))</f>
        <v>4.125</v>
      </c>
      <c r="P533" s="70"/>
      <c r="Q533" s="70"/>
      <c r="R533" s="75" t="str">
        <f>VLOOKUP(Рецепты[[#This Row],[Состав]],Ингредиенты[],9,0)</f>
        <v>Да</v>
      </c>
      <c r="S533" s="75"/>
    </row>
  </sheetData>
  <sheetProtection selectLockedCells="1" selectUnlockedCells="1"/>
  <phoneticPr fontId="8" type="noConversion"/>
  <conditionalFormatting sqref="E12:E1048576">
    <cfRule type="cellIs" dxfId="0" priority="1" operator="equal">
      <formula>"Оболочка"</formula>
    </cfRule>
  </conditionalFormatting>
  <dataValidations count="3">
    <dataValidation type="list" allowBlank="1" showInputMessage="1" showErrorMessage="1" sqref="B12:B1048576" xr:uid="{4D893C3B-EE35-4C34-A54A-60C95682E031}">
      <formula1>Вид_изделия</formula1>
    </dataValidation>
    <dataValidation type="list" allowBlank="1" showInputMessage="1" showErrorMessage="1" sqref="C12:C1048576" xr:uid="{EB4BAF7E-FC9E-4218-8FF3-655B311B19A3}">
      <formula1>Способ_приготовления</formula1>
    </dataValidation>
    <dataValidation type="list" allowBlank="1" showInputMessage="1" showErrorMessage="1" sqref="D12:D1048576" xr:uid="{09F2349E-817A-4246-966F-6AB4B61BC387}">
      <formula1>Название_ингредиента</formula1>
    </dataValidation>
  </dataValidations>
  <hyperlinks>
    <hyperlink ref="P108" r:id="rId1" display="https://www.youtube.com/watch?v=AUk8hq2wdRI" xr:uid="{71A9A50C-88C9-405E-9B37-6D44553C21E1}"/>
    <hyperlink ref="P121" r:id="rId2" display="https://www.youtube.com/watch?v=F10ChDTJQn4" xr:uid="{ECB2283F-1721-4032-858B-9B5E3A253C04}"/>
    <hyperlink ref="P154" r:id="rId3" display="https://www.youtube.com/watch?v=zgSpESIhaR0" xr:uid="{DB0DE7E1-C605-40CB-BBD4-61B81CF19D68}"/>
    <hyperlink ref="P286" r:id="rId4" display="https://www.youtube.com/watch?v=mgB4QoUK4dk" xr:uid="{CD4D2257-5551-43B9-98F4-F3E6DF3AC510}"/>
    <hyperlink ref="P293" r:id="rId5" display="https://www.youtube.com/watch?v=S6Ug6ilt2fE" xr:uid="{033161C9-6758-4393-B4FE-44D97B166F58}"/>
    <hyperlink ref="P279" r:id="rId6" display="https://www.youtube.com/watch?v=QZoNgAaBgY0" xr:uid="{53244B95-3D88-4A0D-9A7E-2798105B2C72}"/>
    <hyperlink ref="P268" r:id="rId7" display="https://www.youtube.com/watch?v=DzdRsfq_Sgo&amp;t=1s" xr:uid="{2C5CA672-44E1-4378-9BC6-172E7EBB09C4}"/>
    <hyperlink ref="P256" r:id="rId8" display="https://www.youtube.com/watch?v=l4YTFXybrO4" xr:uid="{A7B2A112-9A06-4262-9073-25F37F1CB5D1}"/>
    <hyperlink ref="P251" r:id="rId9" display="https://www.youtube.com/watch?v=bHoFNz9opco" xr:uid="{AD1204B5-61FF-46ED-B79B-7764E90D2AA1}"/>
    <hyperlink ref="P234" r:id="rId10" display="https://www.youtube.com/watch?v=UL8b1lAjZi8" xr:uid="{87BFD884-EACB-4632-80E1-B0485665EC4E}"/>
    <hyperlink ref="P223" r:id="rId11" display="https://www.youtube.com/watch?v=sOpq7K5NJdk" xr:uid="{17285247-45B9-4106-9EA9-4A8B6BC7B832}"/>
    <hyperlink ref="P218" r:id="rId12" display="https://www.youtube.com/watch?v=Z2RwYRh1lJ8" xr:uid="{38DE01A2-2EF8-4A55-9CA9-8F19EDD5A4C4}"/>
    <hyperlink ref="P217" r:id="rId13" display="https://www.youtube.com/watch?v=kwSpyC_TdoY" xr:uid="{BC0AF3BE-C88A-43FC-A4F1-1E814AE555B8}"/>
    <hyperlink ref="P163" r:id="rId14" display="https://www.youtube.com/watch?v=Kn8ZRKjfc9s" xr:uid="{AA7CABEE-808D-42AC-BC17-360A96852C39}"/>
    <hyperlink ref="P186" r:id="rId15" display="https://www.youtube.com/watch?v=fvRBCLYYmZM" xr:uid="{5F521C82-A81B-4788-BCA2-E8133B4A2D0B}"/>
    <hyperlink ref="P181" r:id="rId16" display="https://www.youtube.com/watch?v=7U9tw9JGhlk" xr:uid="{AFB22363-7826-473D-A61F-E145230CA393}"/>
    <hyperlink ref="Q21" r:id="rId17" xr:uid="{21DC29FB-F2E2-4A4F-95E0-8D9836327C73}"/>
    <hyperlink ref="Q41" r:id="rId18" xr:uid="{0E0925A6-4241-4F8A-82E3-A0DF8B32BE84}"/>
    <hyperlink ref="Q42" r:id="rId19" xr:uid="{F73EA82B-E431-43D2-AB43-C20A35894B46}"/>
    <hyperlink ref="Q46" r:id="rId20" xr:uid="{D2F37F6D-78FD-4C24-B1E0-65B4CCFE84ED}"/>
    <hyperlink ref="Q57" r:id="rId21" xr:uid="{63DFBD1F-764C-4A5F-BFDD-552D4DB1BFDB}"/>
    <hyperlink ref="Q65" r:id="rId22" xr:uid="{B3257DB8-F8E5-4486-B7D4-3B1834D69EA5}"/>
    <hyperlink ref="Q69" r:id="rId23" xr:uid="{C26E5EF3-E680-4F2B-A0DA-85E824FDE412}"/>
    <hyperlink ref="Q76" r:id="rId24" xr:uid="{D08CFED9-7927-4087-819E-C28093EF71D3}"/>
    <hyperlink ref="Q84" r:id="rId25" xr:uid="{9CF3FB06-85DF-4ED8-A48B-3FB8D1D26982}"/>
    <hyperlink ref="Q95" r:id="rId26" xr:uid="{9B66D28B-D313-4FFE-86FE-77ECCA0F5649}"/>
    <hyperlink ref="Q108" r:id="rId27" xr:uid="{F614227C-391C-4AEA-BE03-42F10FDED3F5}"/>
    <hyperlink ref="Q121" r:id="rId28" xr:uid="{A2AF31EB-C23B-494B-A336-31586ECCFD00}"/>
    <hyperlink ref="Q154" r:id="rId29" xr:uid="{D9C3DCF4-D2DE-4389-8685-29CB4C740124}"/>
    <hyperlink ref="Q163" r:id="rId30" xr:uid="{FB964E3A-7801-4F8D-B9E3-630529804BF2}"/>
    <hyperlink ref="Q181" r:id="rId31" xr:uid="{CF1D591B-E1C8-4D7A-BCF0-57E90565C11F}"/>
    <hyperlink ref="Q186" r:id="rId32" xr:uid="{574EB8C9-8637-49CC-BF65-16DA8034A5EA}"/>
    <hyperlink ref="Q217" r:id="rId33" xr:uid="{2F6CD830-FB6A-42B6-BE8C-CF6A3652F43A}"/>
    <hyperlink ref="Q218" r:id="rId34" xr:uid="{EA2BF3D7-6857-4259-A6E5-25C2412E1A5D}"/>
    <hyperlink ref="Q223" r:id="rId35" xr:uid="{0DBA2E1D-86EA-4E32-AF7D-31D982BDF9CD}"/>
    <hyperlink ref="Q234" r:id="rId36" xr:uid="{080F510F-C456-48B0-AAD1-15A161F7E83F}"/>
    <hyperlink ref="Q251" r:id="rId37" xr:uid="{72400597-8B5F-44C4-877D-2B6EA8DEE03D}"/>
    <hyperlink ref="Q256" r:id="rId38" xr:uid="{4EF4B42C-45C7-48FB-9EB1-D5A6748F0DF1}"/>
    <hyperlink ref="Q268" r:id="rId39" xr:uid="{D5A72AEF-FA27-4F86-B4C1-3AD1E5F69ABE}"/>
    <hyperlink ref="Q279" r:id="rId40" xr:uid="{3688280A-810F-4EC4-BA40-37635C90F454}"/>
    <hyperlink ref="Q286" r:id="rId41" xr:uid="{F5CD36D8-58C7-4841-9BF5-E982C5574307}"/>
    <hyperlink ref="Q293" r:id="rId42" xr:uid="{2ABE468E-9CBC-49F4-BF27-ED8C5320E3FF}"/>
    <hyperlink ref="Q12:Q20" r:id="rId43" display="D:\Video\Колбаса_рецепты\Докторская колбаса ГОСТ 23670-79 в домашних условиях.mp4" xr:uid="{5C8AD490-DFE5-4552-99A9-151B9142B643}"/>
    <hyperlink ref="Q22" r:id="rId44" display="D:\Video\Колбаса_рецепты\Домашние куриные сосиски с твердым сыром.mp4" xr:uid="{BB7AD782-5D38-410D-8F5A-3F293217C6FC}"/>
    <hyperlink ref="Q23" r:id="rId45" display="D:\Video\Колбаса_рецепты\Домашние куриные сосиски с твердым сыром.mp4" xr:uid="{2CD87B4A-AD90-4DCD-B83C-57195007EDB0}"/>
    <hyperlink ref="Q24" r:id="rId46" display="D:\Video\Колбаса_рецепты\Домашние куриные сосиски с твердым сыром.mp4" xr:uid="{1EF9E4A4-6F49-4FA1-AF43-7B8E7BA1B068}"/>
    <hyperlink ref="Q25" r:id="rId47" display="D:\Video\Колбаса_рецепты\Домашние куриные сосиски с твердым сыром.mp4" xr:uid="{06334AA0-AA8C-498E-92B2-0CFD1DA6D817}"/>
    <hyperlink ref="Q26" r:id="rId48" display="D:\Video\Колбаса_рецепты\Домашние куриные сосиски с твердым сыром.mp4" xr:uid="{889B9BAB-CFFF-4AB2-88A1-533770D08236}"/>
    <hyperlink ref="Q27" r:id="rId49" display="D:\Video\Колбаса_рецепты\Домашние куриные сосиски с твердым сыром.mp4" xr:uid="{8C8E50D4-0059-466A-A4A8-58A91973D038}"/>
    <hyperlink ref="Q28" r:id="rId50" display="D:\Video\Колбаса_рецепты\Домашние куриные сосиски с твердым сыром.mp4" xr:uid="{4D9C0A83-78D8-4C3B-B63A-DA257D6186E1}"/>
    <hyperlink ref="Q29" r:id="rId51" display="D:\Video\Колбаса_рецепты\Домашние куриные сосиски с твердым сыром.mp4" xr:uid="{AF1FA3F8-3223-4496-B63D-5F0FB812E9E2}"/>
    <hyperlink ref="Q30" r:id="rId52" display="D:\Video\Колбаса_рецепты\Домашние куриные сосиски с твердым сыром.mp4" xr:uid="{61A0B96C-7DA0-4359-B85A-85AC830A816A}"/>
    <hyperlink ref="Q43" r:id="rId53" display="D:\Video\Колбаса_рецепты\ХИТ!!! Курица копчено-вареная. Как правильно шприцевать и коптить. Как сделать золотистую корочку.mp4" xr:uid="{F6E57E34-616C-49D8-B8F8-56AC271C3713}"/>
    <hyperlink ref="Q44" r:id="rId54" display="D:\Video\Колбаса_рецепты\ХИТ!!! Курица копчено-вареная. Как правильно шприцевать и коптить. Как сделать золотистую корочку.mp4" xr:uid="{BBAE99BC-9A8B-499A-B28F-E2521EC791E5}"/>
    <hyperlink ref="Q45" r:id="rId55" display="D:\Video\Колбаса_рецепты\ХИТ!!! Курица копчено-вареная. Как правильно шприцевать и коптить. Как сделать золотистую корочку.mp4" xr:uid="{4711D672-3AAE-4ACF-8E92-C376B43C0C9C}"/>
    <hyperlink ref="Q47" r:id="rId56" display="D:\Video\Колбаса_рецепты\ГРУДИНКА ЩЕКОВИНА ГОРЯЧЕГО КОПЧЕНИЯ В моските.mp4" xr:uid="{8A3BB90C-F966-4F1C-845C-8A7D7D1EBED8}"/>
    <hyperlink ref="Q48" r:id="rId57" display="D:\Video\Колбаса_рецепты\ГРУДИНКА ЩЕКОВИНА ГОРЯЧЕГО КОПЧЕНИЯ В моските.mp4" xr:uid="{54837E5C-DA5E-4267-B81E-C2D4A0C8D6C3}"/>
    <hyperlink ref="Q49" r:id="rId58" display="D:\Video\Колбаса_рецепты\ГРУДИНКА ЩЕКОВИНА ГОРЯЧЕГО КОПЧЕНИЯ В моските.mp4" xr:uid="{02EE9198-1938-4B4B-BF9D-CAB1D106E973}"/>
    <hyperlink ref="Q50" r:id="rId59" display="D:\Video\Колбаса_рецепты\ГРУДИНКА ЩЕКОВИНА ГОРЯЧЕГО КОПЧЕНИЯ В моските.mp4" xr:uid="{63DDD972-25F3-4926-B896-D6FC74092D34}"/>
    <hyperlink ref="Q51" r:id="rId60" display="D:\Video\Колбаса_рецепты\ГРУДИНКА ЩЕКОВИНА ГОРЯЧЕГО КОПЧЕНИЯ В моските.mp4" xr:uid="{2C1B5704-2F35-42CD-9254-32730223A87E}"/>
    <hyperlink ref="Q52" r:id="rId61" display="D:\Video\Колбаса_рецепты\ГРУДИНКА ЩЕКОВИНА ГОРЯЧЕГО КОПЧЕНИЯ В моските.mp4" xr:uid="{A5D0681D-C609-4DA5-B43A-328B53809E8A}"/>
    <hyperlink ref="Q53" r:id="rId62" display="D:\Video\Колбаса_рецепты\ГРУДИНКА ЩЕКОВИНА ГОРЯЧЕГО КОПЧЕНИЯ В моските.mp4" xr:uid="{E177E9AD-E5F5-4D5B-9F91-7F1C37D2A0C8}"/>
    <hyperlink ref="Q58" r:id="rId63" display="D:\Video\Колбаса_рецепты\КАРАСЬ холодного копчения по казахски от ИГОРЯ в коптильне москит.mp4" xr:uid="{22B98165-D3A9-4E2C-AC57-A2ADC6B7F57D}"/>
    <hyperlink ref="Q59" r:id="rId64" display="D:\Video\Колбаса_рецепты\КАРАСЬ холодного копчения по казахски от ИГОРЯ в коптильне москит.mp4" xr:uid="{7FEE57B9-7F95-48BF-8E6F-BA9FFF33B856}"/>
    <hyperlink ref="Q60" r:id="rId65" display="D:\Video\Колбаса_рецепты\КАРАСЬ холодного копчения по казахски от ИГОРЯ в коптильне москит.mp4" xr:uid="{66DE3252-00F5-498D-8988-CA5ADD5A263D}"/>
    <hyperlink ref="Q61" r:id="rId66" display="D:\Video\Колбаса_рецепты\КАРАСЬ холодного копчения по казахски от ИГОРЯ в коптильне москит.mp4" xr:uid="{DAAC22D1-A52C-4BA8-9DFB-168EFDB9B3AA}"/>
    <hyperlink ref="Q62" r:id="rId67" display="D:\Video\Колбаса_рецепты\КАРАСЬ холодного копчения по казахски от ИГОРЯ в коптильне москит.mp4" xr:uid="{8EED172B-7BAF-4A13-9792-1D06661B68B0}"/>
    <hyperlink ref="Q63" r:id="rId68" display="D:\Video\Колбаса_рецепты\КАРАСЬ холодного копчения по казахски от ИГОРЯ в коптильне москит.mp4" xr:uid="{290500B4-D0A9-4688-B7C7-0D42D17C13F2}"/>
    <hyperlink ref="Q64" r:id="rId69" display="D:\Video\Колбаса_рецепты\КАРАСЬ холодного копчения по казахски от ИГОРЯ в коптильне москит.mp4" xr:uid="{A7D94666-A8C9-4B08-82E7-74FE328A1D06}"/>
    <hyperlink ref="Q66" r:id="rId70" display="D:\Video\Колбаса_рецепты\горбуша холодного копчения в коптильне москит.mp4" xr:uid="{C0FE93E4-D0BD-4F1F-951C-36C004328704}"/>
    <hyperlink ref="Q67" r:id="rId71" display="D:\Video\Колбаса_рецепты\горбуша холодного копчения в коптильне москит.mp4" xr:uid="{49D251A0-BA61-4124-930E-B47B203F1529}"/>
    <hyperlink ref="Q68" r:id="rId72" display="D:\Video\Колбаса_рецепты\горбуша холодного копчения в коптильне москит.mp4" xr:uid="{A3DE38F2-5BB3-4786-9845-044C08840DED}"/>
    <hyperlink ref="Q70" r:id="rId73" display="D:\Video\Колбаса_рецепты\Еврейская копчёная колбаса в домашних условиях. Стандарт 1938г.mp4" xr:uid="{20C536EE-9A4D-41AE-8467-F18E9D9A50D2}"/>
    <hyperlink ref="Q71" r:id="rId74" display="D:\Video\Колбаса_рецепты\Еврейская копчёная колбаса в домашних условиях. Стандарт 1938г.mp4" xr:uid="{BAB932C8-6324-44FC-8648-4E56DF7F2DA0}"/>
    <hyperlink ref="Q72" r:id="rId75" display="D:\Video\Колбаса_рецепты\Еврейская копчёная колбаса в домашних условиях. Стандарт 1938г.mp4" xr:uid="{0AB14B35-3736-4030-B8CE-1A2EC9E7231A}"/>
    <hyperlink ref="Q73" r:id="rId76" display="D:\Video\Колбаса_рецепты\Еврейская копчёная колбаса в домашних условиях. Стандарт 1938г.mp4" xr:uid="{2C6765EE-C251-4AB7-8820-3A9CC48BE9D3}"/>
    <hyperlink ref="Q74" r:id="rId77" display="D:\Video\Колбаса_рецепты\Еврейская копчёная колбаса в домашних условиях. Стандарт 1938г.mp4" xr:uid="{7AEDEA4E-29A0-47CF-8E65-3E891C4D0266}"/>
    <hyperlink ref="Q75" r:id="rId78" display="D:\Video\Колбаса_рецепты\Еврейская копчёная колбаса в домашних условиях. Стандарт 1938г.mp4" xr:uid="{6BF3E2C1-298D-40CA-BD08-1081C8AB882C}"/>
    <hyperlink ref="Q77" r:id="rId79" display="D:\Video\Колбаса_рецепты\МОСКОВСКАЯ КОПЧЕНАЯ домашняя колбаса ГОСТ 1938.mp4" xr:uid="{7007134F-D8D7-43ED-AC4B-F340BD44EEFB}"/>
    <hyperlink ref="Q78" r:id="rId80" display="D:\Video\Колбаса_рецепты\МОСКОВСКАЯ КОПЧЕНАЯ домашняя колбаса ГОСТ 1938.mp4" xr:uid="{B46C45EE-7D5B-4834-A513-EAD8E357F053}"/>
    <hyperlink ref="Q79" r:id="rId81" display="D:\Video\Колбаса_рецепты\МОСКОВСКАЯ КОПЧЕНАЯ домашняя колбаса ГОСТ 1938.mp4" xr:uid="{A80E0F3C-68B4-4983-9A61-96BAF6414974}"/>
    <hyperlink ref="Q80" r:id="rId82" display="D:\Video\Колбаса_рецепты\МОСКОВСКАЯ КОПЧЕНАЯ домашняя колбаса ГОСТ 1938.mp4" xr:uid="{B53A98FA-F5D8-4949-829B-4BC08FDE4A8C}"/>
    <hyperlink ref="Q81" r:id="rId83" display="D:\Video\Колбаса_рецепты\МОСКОВСКАЯ КОПЧЕНАЯ домашняя колбаса ГОСТ 1938.mp4" xr:uid="{66931C08-3711-411F-9171-6AA0FC9B5E2F}"/>
    <hyperlink ref="Q82" r:id="rId84" display="D:\Video\Колбаса_рецепты\МОСКОВСКАЯ КОПЧЕНАЯ домашняя колбаса ГОСТ 1938.mp4" xr:uid="{8D9BAD3B-A2B2-4D00-BFCC-BB78256F8A1E}"/>
    <hyperlink ref="Q83" r:id="rId85" display="D:\Video\Колбаса_рецепты\МОСКОВСКАЯ КОПЧЕНАЯ домашняя колбаса ГОСТ 1938.mp4" xr:uid="{91030EBD-C112-4A01-A8B7-55A2E2E37A0C}"/>
    <hyperlink ref="Q85" r:id="rId86" display="D:\Video\Колбаса_рецепты\Салями Милано со стартовыми культурами.mp4" xr:uid="{F328DB30-37D1-44C4-BF61-E6ED1C6E5F87}"/>
    <hyperlink ref="Q86" r:id="rId87" display="D:\Video\Колбаса_рецепты\Салями Милано со стартовыми культурами.mp4" xr:uid="{1A58D817-9CDD-46EE-881E-EB7C10BE7698}"/>
    <hyperlink ref="Q87" r:id="rId88" display="D:\Video\Колбаса_рецепты\Салями Милано со стартовыми культурами.mp4" xr:uid="{8D2ABE4D-6873-430E-A7CF-C3B3A4BCA08B}"/>
    <hyperlink ref="Q88" r:id="rId89" display="D:\Video\Колбаса_рецепты\Салями Милано со стартовыми культурами.mp4" xr:uid="{50F23BA8-7F03-4340-BAEA-C79AF0D289D8}"/>
    <hyperlink ref="Q89" r:id="rId90" display="D:\Video\Колбаса_рецепты\Салями Милано со стартовыми культурами.mp4" xr:uid="{08D64E8D-2E4E-4D43-93E2-1BCFC60A2C1D}"/>
    <hyperlink ref="Q90" r:id="rId91" display="D:\Video\Колбаса_рецепты\Салями Милано со стартовыми культурами.mp4" xr:uid="{931E8CD8-C3A1-4807-A374-8A349B59AB6F}"/>
    <hyperlink ref="Q91" r:id="rId92" display="D:\Video\Колбаса_рецепты\Салями Милано со стартовыми культурами.mp4" xr:uid="{F871247C-1C5B-4312-81FD-EC2968E040AD}"/>
    <hyperlink ref="Q92" r:id="rId93" display="D:\Video\Колбаса_рецепты\Салями Милано со стартовыми культурами.mp4" xr:uid="{C71D19E2-6BBE-43FE-A013-A37E22D64373}"/>
    <hyperlink ref="Q93" r:id="rId94" display="D:\Video\Колбаса_рецепты\Салями Милано со стартовыми культурами.mp4" xr:uid="{A68849CC-CDB6-4CED-8933-71E6F677D2B4}"/>
    <hyperlink ref="Q94" r:id="rId95" display="D:\Video\Колбаса_рецепты\Салями Милано со стартовыми культурами.mp4" xr:uid="{788A2310-C7D9-4858-AAE3-9B7AAB53E221}"/>
    <hyperlink ref="Q96" r:id="rId96" display="D:\Video\Колбаса_рецепты\Сельдь пряного посола. Рецептура для рассола. Отделение филе от костей.mp4" xr:uid="{FD14C478-2998-4BA3-AECA-6938159E71F1}"/>
    <hyperlink ref="Q97" r:id="rId97" display="D:\Video\Колбаса_рецепты\Сельдь пряного посола. Рецептура для рассола. Отделение филе от костей.mp4" xr:uid="{B6F1263F-11B6-4B6A-B87E-81182E9569E3}"/>
    <hyperlink ref="Q98" r:id="rId98" display="D:\Video\Колбаса_рецепты\Сельдь пряного посола. Рецептура для рассола. Отделение филе от костей.mp4" xr:uid="{E3132A16-F8C5-4E55-9751-6B1B55AD5FD0}"/>
    <hyperlink ref="Q99" r:id="rId99" display="D:\Video\Колбаса_рецепты\Сельдь пряного посола. Рецептура для рассола. Отделение филе от костей.mp4" xr:uid="{C8D6F472-A9FD-4C72-BF30-D1C8F9A0B769}"/>
    <hyperlink ref="Q100" r:id="rId100" display="D:\Video\Колбаса_рецепты\Сельдь пряного посола. Рецептура для рассола. Отделение филе от костей.mp4" xr:uid="{3DB511C8-A375-4DB4-9E65-998AD05A284A}"/>
    <hyperlink ref="Q101" r:id="rId101" display="D:\Video\Колбаса_рецепты\Сельдь пряного посола. Рецептура для рассола. Отделение филе от костей.mp4" xr:uid="{93D99095-065A-48E2-AAC1-1C1C6CACE94C}"/>
    <hyperlink ref="Q102" r:id="rId102" display="D:\Video\Колбаса_рецепты\Сельдь пряного посола. Рецептура для рассола. Отделение филе от костей.mp4" xr:uid="{F8922DD9-0845-49ED-AE90-2AE332F8D9F7}"/>
    <hyperlink ref="Q103" r:id="rId103" display="D:\Video\Колбаса_рецепты\Сельдь пряного посола. Рецептура для рассола. Отделение филе от костей.mp4" xr:uid="{671E15DC-DD5D-44E9-8F38-E4464C9799A4}"/>
    <hyperlink ref="Q104" r:id="rId104" display="D:\Video\Колбаса_рецепты\Сельдь пряного посола. Рецептура для рассола. Отделение филе от костей.mp4" xr:uid="{33649923-E4A9-4185-9C70-707CC1CA7219}"/>
    <hyperlink ref="Q105" r:id="rId105" display="D:\Video\Колбаса_рецепты\Сельдь пряного посола. Рецептура для рассола. Отделение филе от костей.mp4" xr:uid="{3A609E7D-FCC4-47A3-BF46-7D6E6A48B0D3}"/>
    <hyperlink ref="Q106" r:id="rId106" display="D:\Video\Колбаса_рецепты\Сельдь пряного посола. Рецептура для рассола. Отделение филе от костей.mp4" xr:uid="{1ACF673B-C5CD-464F-A48C-FAA4CF8ED778}"/>
    <hyperlink ref="Q107" r:id="rId107" display="D:\Video\Колбаса_рецепты\Сельдь пряного посола. Рецептура для рассола. Отделение филе от костей.mp4" xr:uid="{3A5D8D2B-4360-49EF-B682-CD047314A5A9}"/>
    <hyperlink ref="P109" r:id="rId108" display="https://www.youtube.com/watch?v=AUk8hq2wdRI" xr:uid="{12F0B1A1-20EA-47F9-B2E1-5757CC443B3C}"/>
    <hyperlink ref="P110" r:id="rId109" display="https://www.youtube.com/watch?v=AUk8hq2wdRI" xr:uid="{82EAE296-039A-455F-8392-E8ED1D206798}"/>
    <hyperlink ref="P111" r:id="rId110" display="https://www.youtube.com/watch?v=AUk8hq2wdRI" xr:uid="{56800352-3DBE-4C33-906C-F2C73D562F38}"/>
    <hyperlink ref="P112" r:id="rId111" display="https://www.youtube.com/watch?v=AUk8hq2wdRI" xr:uid="{F9514019-E67E-4FC2-BF82-A80608D08EAA}"/>
    <hyperlink ref="P113" r:id="rId112" display="https://www.youtube.com/watch?v=AUk8hq2wdRI" xr:uid="{BD45CEDE-0159-4F89-A701-78B7890AD22D}"/>
    <hyperlink ref="P114" r:id="rId113" display="https://www.youtube.com/watch?v=AUk8hq2wdRI" xr:uid="{DCDB43C4-A3E0-4FD6-B627-F6638B48E853}"/>
    <hyperlink ref="P115" r:id="rId114" display="https://www.youtube.com/watch?v=AUk8hq2wdRI" xr:uid="{7E22CF7F-2A7C-4DED-9DEA-CE2C16DE7FFE}"/>
    <hyperlink ref="P116" r:id="rId115" display="https://www.youtube.com/watch?v=AUk8hq2wdRI" xr:uid="{BEB6B0DB-4D75-4575-8C93-9DCBC4D53E85}"/>
    <hyperlink ref="P117" r:id="rId116" display="https://www.youtube.com/watch?v=AUk8hq2wdRI" xr:uid="{C8C6CE10-642D-47CC-AC65-A51ABB011DFF}"/>
    <hyperlink ref="P118" r:id="rId117" display="https://www.youtube.com/watch?v=AUk8hq2wdRI" xr:uid="{B73BF832-2F2C-4DDA-AE8B-A75861149C0B}"/>
    <hyperlink ref="P119" r:id="rId118" display="https://www.youtube.com/watch?v=AUk8hq2wdRI" xr:uid="{447AF9B5-D429-4EC7-AEA4-B04E9819C346}"/>
    <hyperlink ref="P120" r:id="rId119" display="https://www.youtube.com/watch?v=AUk8hq2wdRI" xr:uid="{99BB44A9-6196-4F11-8496-CDD616CAAA14}"/>
    <hyperlink ref="Q109" r:id="rId120" display="D:\Video\Колбаса_рецепты\САМАЯ ВКУСНАЯ КРОВЯНКА - Языковая кровяная колбаса! РОЗЫГРЫШ ПРИЗОВ.mp4" xr:uid="{0C606634-D6AF-47BA-8779-3E68FA4EC405}"/>
    <hyperlink ref="Q110" r:id="rId121" display="D:\Video\Колбаса_рецепты\САМАЯ ВКУСНАЯ КРОВЯНКА - Языковая кровяная колбаса! РОЗЫГРЫШ ПРИЗОВ.mp4" xr:uid="{561AA7EA-A897-4020-96E3-E118FB3633BB}"/>
    <hyperlink ref="Q111" r:id="rId122" display="D:\Video\Колбаса_рецепты\САМАЯ ВКУСНАЯ КРОВЯНКА - Языковая кровяная колбаса! РОЗЫГРЫШ ПРИЗОВ.mp4" xr:uid="{B0D758C2-28EA-4A0D-A884-B8FA630A2EA9}"/>
    <hyperlink ref="Q112" r:id="rId123" display="D:\Video\Колбаса_рецепты\САМАЯ ВКУСНАЯ КРОВЯНКА - Языковая кровяная колбаса! РОЗЫГРЫШ ПРИЗОВ.mp4" xr:uid="{0F1099D3-5458-4AC7-89C5-FFCFB7672B3E}"/>
    <hyperlink ref="Q113" r:id="rId124" display="D:\Video\Колбаса_рецепты\САМАЯ ВКУСНАЯ КРОВЯНКА - Языковая кровяная колбаса! РОЗЫГРЫШ ПРИЗОВ.mp4" xr:uid="{D62DB309-22EA-4043-887E-84D68BA3FC93}"/>
    <hyperlink ref="Q114" r:id="rId125" display="D:\Video\Колбаса_рецепты\САМАЯ ВКУСНАЯ КРОВЯНКА - Языковая кровяная колбаса! РОЗЫГРЫШ ПРИЗОВ.mp4" xr:uid="{60D96DBF-37D6-49BB-BE8D-E3FDAF76D4CB}"/>
    <hyperlink ref="Q115" r:id="rId126" display="D:\Video\Колбаса_рецепты\САМАЯ ВКУСНАЯ КРОВЯНКА - Языковая кровяная колбаса! РОЗЫГРЫШ ПРИЗОВ.mp4" xr:uid="{798053AD-407D-4636-84EE-28054DCE8435}"/>
    <hyperlink ref="Q116" r:id="rId127" display="D:\Video\Колбаса_рецепты\САМАЯ ВКУСНАЯ КРОВЯНКА - Языковая кровяная колбаса! РОЗЫГРЫШ ПРИЗОВ.mp4" xr:uid="{4C1D88AD-78B1-4939-841C-A484DDBDA6F5}"/>
    <hyperlink ref="Q117" r:id="rId128" display="D:\Video\Колбаса_рецепты\САМАЯ ВКУСНАЯ КРОВЯНКА - Языковая кровяная колбаса! РОЗЫГРЫШ ПРИЗОВ.mp4" xr:uid="{44BECFCC-D92A-4A6E-BB0F-7FD394DC5922}"/>
    <hyperlink ref="Q118" r:id="rId129" display="D:\Video\Колбаса_рецепты\САМАЯ ВКУСНАЯ КРОВЯНКА - Языковая кровяная колбаса! РОЗЫГРЫШ ПРИЗОВ.mp4" xr:uid="{F0267C6A-C81E-45B6-AEC5-3C4463393368}"/>
    <hyperlink ref="Q119" r:id="rId130" display="D:\Video\Колбаса_рецепты\САМАЯ ВКУСНАЯ КРОВЯНКА - Языковая кровяная колбаса! РОЗЫГРЫШ ПРИЗОВ.mp4" xr:uid="{E8837480-CCE0-439B-BF08-75EDEDC7088A}"/>
    <hyperlink ref="Q120" r:id="rId131" display="D:\Video\Колбаса_рецепты\САМАЯ ВКУСНАЯ КРОВЯНКА - Языковая кровяная колбаса! РОЗЫГРЫШ ПРИЗОВ.mp4" xr:uid="{CAA299EE-111A-4340-82E6-0CC96D3BFBD8}"/>
    <hyperlink ref="P122" r:id="rId132" display="https://www.youtube.com/watch?v=F10ChDTJQn4" xr:uid="{E5EB28A3-2582-4E0A-A8AF-147C348EBD70}"/>
    <hyperlink ref="P124" r:id="rId133" display="https://www.youtube.com/watch?v=F10ChDTJQn4" xr:uid="{6D729435-674F-4191-A4B5-912C63E7F860}"/>
    <hyperlink ref="P125" r:id="rId134" display="https://www.youtube.com/watch?v=F10ChDTJQn4" xr:uid="{BB00CA07-E559-48A5-B1E8-B85B91C52FEF}"/>
    <hyperlink ref="P126" r:id="rId135" display="https://www.youtube.com/watch?v=F10ChDTJQn4" xr:uid="{5F0D3EBB-8329-4CB9-B11C-F8703E4470CC}"/>
    <hyperlink ref="P127" r:id="rId136" display="https://www.youtube.com/watch?v=F10ChDTJQn4" xr:uid="{924127F4-8DB4-44FE-9031-8CC3DF3D624F}"/>
    <hyperlink ref="P128" r:id="rId137" display="https://www.youtube.com/watch?v=F10ChDTJQn4" xr:uid="{9F789AC5-EAE0-4EB6-BBDE-DD20CEDB5DBE}"/>
    <hyperlink ref="P129" r:id="rId138" display="https://www.youtube.com/watch?v=F10ChDTJQn4" xr:uid="{18B37E5B-3F31-4139-9832-94C977E927AF}"/>
    <hyperlink ref="P131" r:id="rId139" display="https://www.youtube.com/watch?v=F10ChDTJQn4" xr:uid="{C9107D53-42AA-4597-BE6B-1F44AE122D3F}"/>
    <hyperlink ref="P155" r:id="rId140" display="https://www.youtube.com/watch?v=zgSpESIhaR0" xr:uid="{B9499E6A-FEA8-4CAA-8558-EF8E3BD69343}"/>
    <hyperlink ref="P156" r:id="rId141" display="https://www.youtube.com/watch?v=zgSpESIhaR0" xr:uid="{70D46C8F-AEA4-472E-9915-DE5C0075C2AB}"/>
    <hyperlink ref="P157" r:id="rId142" display="https://www.youtube.com/watch?v=zgSpESIhaR0" xr:uid="{89AA1998-A8E0-46B2-B6A1-514D27BDDF14}"/>
    <hyperlink ref="P158" r:id="rId143" display="https://www.youtube.com/watch?v=zgSpESIhaR0" xr:uid="{5C4BB60F-C29A-433B-BE34-7A592F26F5C5}"/>
    <hyperlink ref="P159" r:id="rId144" display="https://www.youtube.com/watch?v=zgSpESIhaR0" xr:uid="{F6676AD3-7552-470C-9E71-72C5776E9015}"/>
    <hyperlink ref="P160" r:id="rId145" display="https://www.youtube.com/watch?v=zgSpESIhaR0" xr:uid="{808367A2-9F43-4660-9367-860AAAD6AE81}"/>
    <hyperlink ref="P161" r:id="rId146" display="https://www.youtube.com/watch?v=zgSpESIhaR0" xr:uid="{86ACEA0D-1722-4A60-B4C9-44A7D03FFCF6}"/>
    <hyperlink ref="P162" r:id="rId147" display="https://www.youtube.com/watch?v=zgSpESIhaR0" xr:uid="{507012F7-9960-4509-9D82-39A9C1A40296}"/>
    <hyperlink ref="Q155" r:id="rId148" display="D:\Video\Колбаса_рецепты\Делаем ФУЭТ — испанская сыровяленая колбаса в плесени. FUET.mp4" xr:uid="{8C7E06A3-94C4-437C-8D75-415CB153C067}"/>
    <hyperlink ref="Q156" r:id="rId149" display="D:\Video\Колбаса_рецепты\Делаем ФУЭТ — испанская сыровяленая колбаса в плесени. FUET.mp4" xr:uid="{E01220BA-A28F-4E9F-8085-B1D1594EEE99}"/>
    <hyperlink ref="Q157" r:id="rId150" display="D:\Video\Колбаса_рецепты\Делаем ФУЭТ — испанская сыровяленая колбаса в плесени. FUET.mp4" xr:uid="{891D0F77-ABEA-4AA6-89E1-2362A5B3DAB2}"/>
    <hyperlink ref="Q158" r:id="rId151" display="D:\Video\Колбаса_рецепты\Делаем ФУЭТ — испанская сыровяленая колбаса в плесени. FUET.mp4" xr:uid="{BCD2AD42-1447-47B3-B143-2E6E3D31BB04}"/>
    <hyperlink ref="Q159" r:id="rId152" display="D:\Video\Колбаса_рецепты\Делаем ФУЭТ — испанская сыровяленая колбаса в плесени. FUET.mp4" xr:uid="{80E158E3-C94B-4F18-9E14-3E89AB567A5C}"/>
    <hyperlink ref="Q160" r:id="rId153" display="D:\Video\Колбаса_рецепты\Делаем ФУЭТ — испанская сыровяленая колбаса в плесени. FUET.mp4" xr:uid="{2A00C09D-FB56-4897-BB17-D8A06EED7883}"/>
    <hyperlink ref="Q161" r:id="rId154" display="D:\Video\Колбаса_рецепты\Делаем ФУЭТ — испанская сыровяленая колбаса в плесени. FUET.mp4" xr:uid="{5ED7AFDB-28F4-4F49-9A6C-2465B9D83CA9}"/>
    <hyperlink ref="Q162" r:id="rId155" display="D:\Video\Колбаса_рецепты\Делаем ФУЭТ — испанская сыровяленая колбаса в плесени. FUET.mp4" xr:uid="{3B447520-C057-47AA-9D6E-5E271A514C44}"/>
    <hyperlink ref="P164" r:id="rId156" display="https://www.youtube.com/watch?v=Kn8ZRKjfc9s" xr:uid="{6CB37CFC-6A80-4DF9-A458-5F2554B1E51C}"/>
    <hyperlink ref="P165" r:id="rId157" display="https://www.youtube.com/watch?v=Kn8ZRKjfc9s" xr:uid="{1D05DFE9-7D44-48EF-AF65-8A19900B9263}"/>
    <hyperlink ref="P166" r:id="rId158" display="https://www.youtube.com/watch?v=Kn8ZRKjfc9s" xr:uid="{17051F2D-9755-4D84-A168-72381981A7CD}"/>
    <hyperlink ref="P167" r:id="rId159" display="https://www.youtube.com/watch?v=Kn8ZRKjfc9s" xr:uid="{43A21DDA-6758-421F-B756-761A8AFFE0B5}"/>
    <hyperlink ref="P168" r:id="rId160" display="https://www.youtube.com/watch?v=Kn8ZRKjfc9s" xr:uid="{68C178C5-3723-4F21-AB73-1CCCD028AD86}"/>
    <hyperlink ref="P169" r:id="rId161" display="https://www.youtube.com/watch?v=Kn8ZRKjfc9s" xr:uid="{D4F84479-5300-432C-9708-F8717A7CC0D0}"/>
    <hyperlink ref="P170" r:id="rId162" display="https://www.youtube.com/watch?v=Kn8ZRKjfc9s" xr:uid="{DA402770-82E8-43F1-8EA0-F1989B70123D}"/>
    <hyperlink ref="Q164" r:id="rId163" display="D:\Video\Колбаса_рецепты\Испанская колбаса Чоризо в домашних условиях.mp4" xr:uid="{AD4F5885-E7EB-401D-AD0F-141286637ED8}"/>
    <hyperlink ref="Q165" r:id="rId164" display="D:\Video\Колбаса_рецепты\Испанская колбаса Чоризо в домашних условиях.mp4" xr:uid="{4555092F-71DF-4A0D-B964-FD83D914BF0E}"/>
    <hyperlink ref="Q166" r:id="rId165" display="D:\Video\Колбаса_рецепты\Испанская колбаса Чоризо в домашних условиях.mp4" xr:uid="{51DB47FC-BEF0-47DD-BBF6-596421395D2C}"/>
    <hyperlink ref="Q167" r:id="rId166" display="D:\Video\Колбаса_рецепты\Испанская колбаса Чоризо в домашних условиях.mp4" xr:uid="{D55C35F2-40F5-40DF-A4EF-E1278AFA1045}"/>
    <hyperlink ref="Q168" r:id="rId167" display="D:\Video\Колбаса_рецепты\Испанская колбаса Чоризо в домашних условиях.mp4" xr:uid="{5165B6F3-88D1-49CC-B938-17DB86ED51FA}"/>
    <hyperlink ref="Q169" r:id="rId168" display="D:\Video\Колбаса_рецепты\Испанская колбаса Чоризо в домашних условиях.mp4" xr:uid="{4BEEFC40-070F-4969-AB14-D1F0A3DE902A}"/>
    <hyperlink ref="Q170" r:id="rId169" display="D:\Video\Колбаса_рецепты\Испанская колбаса Чоризо в домашних условиях.mp4" xr:uid="{D4F50CB9-83E2-4543-B676-1EFABCBC716C}"/>
    <hyperlink ref="P171" r:id="rId170" display="https://www.youtube.com/watch?v=Kn8ZRKjfc9s" xr:uid="{BF2FE2E8-12B7-4AAF-8EEE-8425C9D9CEAA}"/>
    <hyperlink ref="Q171" r:id="rId171" display="D:\Video\Колбаса_рецепты\Испанская колбаса Чоризо в домашних условиях.mp4" xr:uid="{AFC231B7-3437-4A62-8BFC-9324A5EC11EA}"/>
    <hyperlink ref="P182" r:id="rId172" display="https://www.youtube.com/watch?v=7U9tw9JGhlk" xr:uid="{E85863FA-035D-4E9F-A293-9DCF819F3443}"/>
    <hyperlink ref="P183" r:id="rId173" display="https://www.youtube.com/watch?v=7U9tw9JGhlk" xr:uid="{80B62255-554F-4984-AD32-25BDF91C7498}"/>
    <hyperlink ref="P184" r:id="rId174" display="https://www.youtube.com/watch?v=7U9tw9JGhlk" xr:uid="{5110A9D7-9341-4A9C-AB5D-3D4E44D061A7}"/>
    <hyperlink ref="P185" r:id="rId175" display="https://www.youtube.com/watch?v=7U9tw9JGhlk" xr:uid="{6D22B6AB-849B-4DCD-9688-B7E71D5E120F}"/>
    <hyperlink ref="Q182" r:id="rId176" display="D:\Video\Колбаса_рецепты\Лучший рецепт засолки сала!! Готовим по ГОСТу 1938г.mp4" xr:uid="{BD4E4830-8F41-4938-9187-9C23C5E50E5B}"/>
    <hyperlink ref="Q183" r:id="rId177" display="D:\Video\Колбаса_рецепты\Лучший рецепт засолки сала!! Готовим по ГОСТу 1938г.mp4" xr:uid="{38A1A347-CB43-44F1-BC0B-82696CE61F36}"/>
    <hyperlink ref="Q184" r:id="rId178" display="D:\Video\Колбаса_рецепты\Лучший рецепт засолки сала!! Готовим по ГОСТу 1938г.mp4" xr:uid="{3BA7B400-2B71-4475-B7B7-BBA14DB462BC}"/>
    <hyperlink ref="Q185" r:id="rId179" display="D:\Video\Колбаса_рецепты\Лучший рецепт засолки сала!! Готовим по ГОСТу 1938г.mp4" xr:uid="{B8389721-1E00-40A7-B65B-4D7BFA8F2110}"/>
    <hyperlink ref="P187" r:id="rId180" display="https://www.youtube.com/watch?v=fvRBCLYYmZM" xr:uid="{B33DEAC0-6613-4154-8A9C-E2EB03F6BE97}"/>
    <hyperlink ref="P188" r:id="rId181" display="https://www.youtube.com/watch?v=fvRBCLYYmZM" xr:uid="{EA45B21B-D059-4B5C-A866-29580A926C6B}"/>
    <hyperlink ref="P189" r:id="rId182" display="https://www.youtube.com/watch?v=fvRBCLYYmZM" xr:uid="{0D330F57-C4BE-402D-B723-BE9CF57D3BB0}"/>
    <hyperlink ref="P190" r:id="rId183" display="https://www.youtube.com/watch?v=fvRBCLYYmZM" xr:uid="{F2B0DC47-E05D-400B-8F50-FB7FD7467282}"/>
    <hyperlink ref="P191" r:id="rId184" display="https://www.youtube.com/watch?v=fvRBCLYYmZM" xr:uid="{A4CD97EB-7E55-44FC-B9EA-774A466ABC88}"/>
    <hyperlink ref="P192" r:id="rId185" display="https://www.youtube.com/watch?v=fvRBCLYYmZM" xr:uid="{45AD61CB-3118-4CDD-8641-FFC3E3F09CC4}"/>
    <hyperlink ref="P193" r:id="rId186" display="https://www.youtube.com/watch?v=fvRBCLYYmZM" xr:uid="{9C7027C7-2BFD-4A48-A6CB-72AA07670E62}"/>
    <hyperlink ref="P194" r:id="rId187" display="https://www.youtube.com/watch?v=fvRBCLYYmZM" xr:uid="{D62134F1-C817-43E5-A113-A652E120D3E1}"/>
    <hyperlink ref="P195" r:id="rId188" display="https://www.youtube.com/watch?v=fvRBCLYYmZM" xr:uid="{0A1FE9BF-5E27-4C18-9389-3BD9A9745AAD}"/>
    <hyperlink ref="P224" r:id="rId189" display="https://www.youtube.com/watch?v=sOpq7K5NJdk" xr:uid="{F55343B7-8765-43EF-8955-C0C9949503CD}"/>
    <hyperlink ref="P225" r:id="rId190" display="https://www.youtube.com/watch?v=sOpq7K5NJdk" xr:uid="{ED67B334-846E-4AAA-AEB4-1E4BC8A08A82}"/>
    <hyperlink ref="P226" r:id="rId191" display="https://www.youtube.com/watch?v=sOpq7K5NJdk" xr:uid="{93319B2D-B1FC-44C3-A4F6-02E91DACDA20}"/>
    <hyperlink ref="P227" r:id="rId192" display="https://www.youtube.com/watch?v=sOpq7K5NJdk" xr:uid="{049CC962-6837-4F0B-A95F-656B4339D7F2}"/>
    <hyperlink ref="P228" r:id="rId193" display="https://www.youtube.com/watch?v=sOpq7K5NJdk" xr:uid="{6EF528FF-4B29-45B3-9F21-721C8DAB1FE9}"/>
    <hyperlink ref="P229" r:id="rId194" display="https://www.youtube.com/watch?v=sOpq7K5NJdk" xr:uid="{3FCD8E05-2592-46E7-8FF5-277F535646E6}"/>
    <hyperlink ref="P230" r:id="rId195" display="https://www.youtube.com/watch?v=sOpq7K5NJdk" xr:uid="{31306856-0B15-4C61-B3EF-41F0B408DFEA}"/>
    <hyperlink ref="P231" r:id="rId196" display="https://www.youtube.com/watch?v=sOpq7K5NJdk" xr:uid="{3768F651-96EF-409F-8DD3-A6F951F84DC8}"/>
    <hyperlink ref="P232" r:id="rId197" display="https://www.youtube.com/watch?v=sOpq7K5NJdk" xr:uid="{590C33D0-BD19-4B05-AB2D-F8A49B37410C}"/>
    <hyperlink ref="P233" r:id="rId198" display="https://www.youtube.com/watch?v=sOpq7K5NJdk" xr:uid="{D555E283-6597-4D07-8DA7-2A49FE5CEDE6}"/>
    <hyperlink ref="Q224" r:id="rId199" display="D:\Video\Колбаса_рецепты\🇮🇹🔥🍽️ Классическая Итальянская МОРТАДЕЛЛА в Духовке! 🍞👨‍🍳👩‍🍳🇮🇹🍖👌.mp4" xr:uid="{0ADFF0D8-56DF-4B68-A4A9-7D5EB186D94D}"/>
    <hyperlink ref="Q225" r:id="rId200" display="D:\Video\Колбаса_рецепты\🇮🇹🔥🍽️ Классическая Итальянская МОРТАДЕЛЛА в Духовке! 🍞👨‍🍳👩‍🍳🇮🇹🍖👌.mp4" xr:uid="{5624E095-2A93-4037-88CE-2F2F86DA9B58}"/>
    <hyperlink ref="Q226" r:id="rId201" display="D:\Video\Колбаса_рецепты\🇮🇹🔥🍽️ Классическая Итальянская МОРТАДЕЛЛА в Духовке! 🍞👨‍🍳👩‍🍳🇮🇹🍖👌.mp4" xr:uid="{A3A48808-8A60-490A-9D8A-54482591DDF8}"/>
    <hyperlink ref="Q227" r:id="rId202" display="D:\Video\Колбаса_рецепты\🇮🇹🔥🍽️ Классическая Итальянская МОРТАДЕЛЛА в Духовке! 🍞👨‍🍳👩‍🍳🇮🇹🍖👌.mp4" xr:uid="{C45D2F90-153D-4237-BD91-209DB3A91D2A}"/>
    <hyperlink ref="Q228" r:id="rId203" display="D:\Video\Колбаса_рецепты\🇮🇹🔥🍽️ Классическая Итальянская МОРТАДЕЛЛА в Духовке! 🍞👨‍🍳👩‍🍳🇮🇹🍖👌.mp4" xr:uid="{763ACCCE-E99F-471A-B50D-15308A8FA0F7}"/>
    <hyperlink ref="Q229" r:id="rId204" display="D:\Video\Колбаса_рецепты\🇮🇹🔥🍽️ Классическая Итальянская МОРТАДЕЛЛА в Духовке! 🍞👨‍🍳👩‍🍳🇮🇹🍖👌.mp4" xr:uid="{915EDD8C-06B4-426F-8669-E45A2E2FEA9D}"/>
    <hyperlink ref="Q230" r:id="rId205" display="D:\Video\Колбаса_рецепты\🇮🇹🔥🍽️ Классическая Итальянская МОРТАДЕЛЛА в Духовке! 🍞👨‍🍳👩‍🍳🇮🇹🍖👌.mp4" xr:uid="{A745A775-C05F-49D6-B230-305F7D5F061F}"/>
    <hyperlink ref="Q231" r:id="rId206" display="D:\Video\Колбаса_рецепты\🇮🇹🔥🍽️ Классическая Итальянская МОРТАДЕЛЛА в Духовке! 🍞👨‍🍳👩‍🍳🇮🇹🍖👌.mp4" xr:uid="{4E17EE7E-E2E0-471B-81B3-0A1866CBAFC4}"/>
    <hyperlink ref="Q232" r:id="rId207" display="D:\Video\Колбаса_рецепты\🇮🇹🔥🍽️ Классическая Итальянская МОРТАДЕЛЛА в Духовке! 🍞👨‍🍳👩‍🍳🇮🇹🍖👌.mp4" xr:uid="{553E3D06-E9E2-48EE-ADD6-7BBFB728820C}"/>
    <hyperlink ref="Q233" r:id="rId208" display="D:\Video\Колбаса_рецепты\🇮🇹🔥🍽️ Классическая Итальянская МОРТАДЕЛЛА в Духовке! 🍞👨‍🍳👩‍🍳🇮🇹🍖👌.mp4" xr:uid="{DB6834D6-2D18-4517-BB63-FD8C97FED503}"/>
    <hyperlink ref="P235" r:id="rId209" display="https://www.youtube.com/watch?v=UL8b1lAjZi8" xr:uid="{7C7F5448-AD40-4154-A18F-9B808F60D8BC}"/>
    <hyperlink ref="P236" r:id="rId210" display="https://www.youtube.com/watch?v=UL8b1lAjZi8" xr:uid="{FF579D39-8A20-41F9-8375-60045FD5CD9B}"/>
    <hyperlink ref="P237" r:id="rId211" display="https://www.youtube.com/watch?v=UL8b1lAjZi8" xr:uid="{C8C1D487-6618-42C8-972D-C367D0C1C34A}"/>
    <hyperlink ref="P238" r:id="rId212" display="https://www.youtube.com/watch?v=UL8b1lAjZi8" xr:uid="{41EC08CD-6673-49FD-82A2-F92924F4DCCF}"/>
    <hyperlink ref="P239" r:id="rId213" display="https://www.youtube.com/watch?v=UL8b1lAjZi8" xr:uid="{0AF7A0C3-A6BA-4C7F-88C5-71CD770E3283}"/>
    <hyperlink ref="P240" r:id="rId214" display="https://www.youtube.com/watch?v=UL8b1lAjZi8" xr:uid="{37F8F76E-F167-4850-90C4-38E0F1295BEE}"/>
    <hyperlink ref="P241" r:id="rId215" display="https://www.youtube.com/watch?v=UL8b1lAjZi8" xr:uid="{872534AF-3CBC-4715-9233-E8965180ABFF}"/>
    <hyperlink ref="P242" r:id="rId216" display="https://www.youtube.com/watch?v=UL8b1lAjZi8" xr:uid="{18E3E4BC-C5E4-4C6D-AFD3-D58C30926383}"/>
    <hyperlink ref="Q235" r:id="rId217" display="D:\Video\Колбаса_рецепты\Сосиски детские молочные БЕЗ НИТРИТНОЙ СОЛИ.mp4" xr:uid="{9FCE734C-8479-47F2-99AB-790C8467194A}"/>
    <hyperlink ref="Q236" r:id="rId218" display="D:\Video\Колбаса_рецепты\Сосиски детские молочные БЕЗ НИТРИТНОЙ СОЛИ.mp4" xr:uid="{9645B7B5-CF8F-4629-89B0-D1C795890133}"/>
    <hyperlink ref="Q237" r:id="rId219" display="D:\Video\Колбаса_рецепты\Сосиски детские молочные БЕЗ НИТРИТНОЙ СОЛИ.mp4" xr:uid="{9082008E-1CFA-428D-8156-87C7AB4A29DA}"/>
    <hyperlink ref="Q238" r:id="rId220" display="D:\Video\Колбаса_рецепты\Сосиски детские молочные БЕЗ НИТРИТНОЙ СОЛИ.mp4" xr:uid="{F4C2AC81-E091-4C65-AC71-CA3B7ED4CBA0}"/>
    <hyperlink ref="Q239" r:id="rId221" display="D:\Video\Колбаса_рецепты\Сосиски детские молочные БЕЗ НИТРИТНОЙ СОЛИ.mp4" xr:uid="{70B871E0-D4D0-4C42-812B-30E43B700CD8}"/>
    <hyperlink ref="Q240" r:id="rId222" display="D:\Video\Колбаса_рецепты\Сосиски детские молочные БЕЗ НИТРИТНОЙ СОЛИ.mp4" xr:uid="{6EC67A82-E60A-4E3D-998A-778A23A9091F}"/>
    <hyperlink ref="Q241" r:id="rId223" display="D:\Video\Колбаса_рецепты\Сосиски детские молочные БЕЗ НИТРИТНОЙ СОЛИ.mp4" xr:uid="{E53C8FAA-4C94-4B23-9D93-717BF3B08AE8}"/>
    <hyperlink ref="Q242" r:id="rId224" display="D:\Video\Колбаса_рецепты\Сосиски детские молочные БЕЗ НИТРИТНОЙ СОЛИ.mp4" xr:uid="{70822343-90FB-493D-833C-2DCE6160BF36}"/>
    <hyperlink ref="P252" r:id="rId225" display="https://www.youtube.com/watch?v=bHoFNz9opco" xr:uid="{E49CAB66-5EC5-46CE-B67A-8FFDE4EB4B27}"/>
    <hyperlink ref="P253" r:id="rId226" display="https://www.youtube.com/watch?v=bHoFNz9opco" xr:uid="{BF338440-5AE9-499D-A97F-F9032CE40DD4}"/>
    <hyperlink ref="P254" r:id="rId227" display="https://www.youtube.com/watch?v=bHoFNz9opco" xr:uid="{B67F5B1F-7DD4-4BCD-8BAE-6FA50A773612}"/>
    <hyperlink ref="P255" r:id="rId228" display="https://www.youtube.com/watch?v=bHoFNz9opco" xr:uid="{696410EB-BFA2-49A6-BB98-B8A43AB60344}"/>
    <hyperlink ref="Q252" r:id="rId229" display="D:\Video\Колбаса_рецепты\Сколько соли нужно для рассола, которым шприцуют мясо. Карбонад (балык) варено-копченый.mp4" xr:uid="{652F6167-4B5A-4BF7-809A-99949421CB58}"/>
    <hyperlink ref="Q253" r:id="rId230" display="D:\Video\Колбаса_рецепты\Сколько соли нужно для рассола, которым шприцуют мясо. Карбонад (балык) варено-копченый.mp4" xr:uid="{E9E60E11-A7C9-4457-BE36-7FB57FA2BD3C}"/>
    <hyperlink ref="Q254" r:id="rId231" display="D:\Video\Колбаса_рецепты\Сколько соли нужно для рассола, которым шприцуют мясо. Карбонад (балык) варено-копченый.mp4" xr:uid="{AB7C48CF-8F43-434C-9A24-CDF0BC960044}"/>
    <hyperlink ref="Q255" r:id="rId232" display="D:\Video\Колбаса_рецепты\Сколько соли нужно для рассола, которым шприцуют мясо. Карбонад (балык) варено-копченый.mp4" xr:uid="{2E8FF605-4AD3-4CF4-95A3-A92BE68AEE92}"/>
    <hyperlink ref="P257" r:id="rId233" display="https://www.youtube.com/watch?v=l4YTFXybrO4" xr:uid="{E4641B00-F05B-404D-8ED0-303542C82739}"/>
    <hyperlink ref="P258" r:id="rId234" display="https://www.youtube.com/watch?v=l4YTFXybrO4" xr:uid="{5943FC8A-8C38-4B66-B2E3-E8234345A35A}"/>
    <hyperlink ref="P259" r:id="rId235" display="https://www.youtube.com/watch?v=l4YTFXybrO4" xr:uid="{2EA5641D-1E00-4ED1-840F-7C670107754C}"/>
    <hyperlink ref="P260" r:id="rId236" display="https://www.youtube.com/watch?v=l4YTFXybrO4" xr:uid="{5C31CEE7-E7A0-4CEB-859E-CF7ADE1805AA}"/>
    <hyperlink ref="P261" r:id="rId237" display="https://www.youtube.com/watch?v=l4YTFXybrO4" xr:uid="{C5F86D4E-78DE-4AEE-AFE2-2A22392ED573}"/>
    <hyperlink ref="P262" r:id="rId238" display="https://www.youtube.com/watch?v=l4YTFXybrO4" xr:uid="{253DEFA1-583A-44C0-9BBD-6548CFE5DFD6}"/>
    <hyperlink ref="P263" r:id="rId239" display="https://www.youtube.com/watch?v=l4YTFXybrO4" xr:uid="{AF0FA822-AE9B-4B4E-A2A6-4E434DE93302}"/>
    <hyperlink ref="P264" r:id="rId240" display="https://www.youtube.com/watch?v=l4YTFXybrO4" xr:uid="{96578A38-9EC4-4283-9E3D-F059BA52C6BE}"/>
    <hyperlink ref="P265" r:id="rId241" display="https://www.youtube.com/watch?v=l4YTFXybrO4" xr:uid="{1C454E54-CDC7-47CF-8F9C-30B7335DF5C3}"/>
    <hyperlink ref="P266" r:id="rId242" display="https://www.youtube.com/watch?v=l4YTFXybrO4" xr:uid="{79AC80D6-A166-4CC0-8787-9631D9BAFBB0}"/>
    <hyperlink ref="P267" r:id="rId243" display="https://www.youtube.com/watch?v=l4YTFXybrO4" xr:uid="{EF6DB1EF-D2A5-4FCB-AB14-DA348D2922C1}"/>
    <hyperlink ref="Q257" r:id="rId244" display="D:\Video\Колбаса_рецепты\Кабаносы (Kabanosy) в домашних условиях.mp4" xr:uid="{042310F8-ED01-4CC3-AD35-6BD3962197B8}"/>
    <hyperlink ref="Q258" r:id="rId245" display="D:\Video\Колбаса_рецепты\Кабаносы (Kabanosy) в домашних условиях.mp4" xr:uid="{341074F6-84AD-4E79-A77F-1871A1CCF790}"/>
    <hyperlink ref="Q259" r:id="rId246" display="D:\Video\Колбаса_рецепты\Кабаносы (Kabanosy) в домашних условиях.mp4" xr:uid="{69E6D74D-0CE1-4092-9EF6-47F2829584EF}"/>
    <hyperlink ref="Q260" r:id="rId247" display="D:\Video\Колбаса_рецепты\Кабаносы (Kabanosy) в домашних условиях.mp4" xr:uid="{63A4C54E-1762-4555-BBED-F6B9764BF93D}"/>
    <hyperlink ref="Q261" r:id="rId248" display="D:\Video\Колбаса_рецепты\Кабаносы (Kabanosy) в домашних условиях.mp4" xr:uid="{5D109FE8-9C6F-4497-B62E-C2A3A7C787DE}"/>
    <hyperlink ref="Q262" r:id="rId249" display="D:\Video\Колбаса_рецепты\Кабаносы (Kabanosy) в домашних условиях.mp4" xr:uid="{30C724EC-5BDC-418A-B024-CC642CD760F9}"/>
    <hyperlink ref="Q263" r:id="rId250" display="D:\Video\Колбаса_рецепты\Кабаносы (Kabanosy) в домашних условиях.mp4" xr:uid="{7D341939-593D-4245-A5D4-1DFE1536B3C5}"/>
    <hyperlink ref="Q264" r:id="rId251" display="D:\Video\Колбаса_рецепты\Кабаносы (Kabanosy) в домашних условиях.mp4" xr:uid="{CAAA322F-84ED-4E4D-8736-AEA207679C83}"/>
    <hyperlink ref="Q265" r:id="rId252" display="D:\Video\Колбаса_рецепты\Кабаносы (Kabanosy) в домашних условиях.mp4" xr:uid="{41FF1406-D7CF-4CAB-B80D-0E37D0E4D303}"/>
    <hyperlink ref="Q266" r:id="rId253" display="D:\Video\Колбаса_рецепты\Кабаносы (Kabanosy) в домашних условиях.mp4" xr:uid="{D3332468-6B3E-4A96-BC88-C8BC3BB16A49}"/>
    <hyperlink ref="Q267" r:id="rId254" display="D:\Video\Колбаса_рецепты\Кабаносы (Kabanosy) в домашних условиях.mp4" xr:uid="{46EC4243-32E4-4D20-A7D6-D4F019264684}"/>
    <hyperlink ref="P269" r:id="rId255" display="https://www.youtube.com/watch?v=DzdRsfq_Sgo&amp;t=1s" xr:uid="{D965F86A-D495-4DEB-88E0-B394EFA18B36}"/>
    <hyperlink ref="P270" r:id="rId256" display="https://www.youtube.com/watch?v=DzdRsfq_Sgo&amp;t=1s" xr:uid="{94CDD0DF-0CDD-474C-8EE4-87215AB59945}"/>
    <hyperlink ref="P271" r:id="rId257" display="https://www.youtube.com/watch?v=DzdRsfq_Sgo&amp;t=1s" xr:uid="{A866D98B-7923-4762-BC82-9A8A9B892644}"/>
    <hyperlink ref="P272" r:id="rId258" display="https://www.youtube.com/watch?v=DzdRsfq_Sgo&amp;t=1s" xr:uid="{8E9E75B0-02C7-4042-9759-2AEBA06FA7DA}"/>
    <hyperlink ref="P273" r:id="rId259" display="https://www.youtube.com/watch?v=DzdRsfq_Sgo&amp;t=1s" xr:uid="{C3AF27FC-1514-4040-BC95-D4BCD4E7C8BE}"/>
    <hyperlink ref="P274" r:id="rId260" display="https://www.youtube.com/watch?v=DzdRsfq_Sgo&amp;t=1s" xr:uid="{A3EAEAB3-A79E-4D72-A28B-D1AF6674C837}"/>
    <hyperlink ref="P275" r:id="rId261" display="https://www.youtube.com/watch?v=DzdRsfq_Sgo&amp;t=1s" xr:uid="{22937AD0-1313-463B-96BA-C69B412A4EF1}"/>
    <hyperlink ref="P276" r:id="rId262" display="https://www.youtube.com/watch?v=DzdRsfq_Sgo&amp;t=1s" xr:uid="{1AB8CA53-CDA9-492C-AE80-46EC540486D9}"/>
    <hyperlink ref="P277" r:id="rId263" display="https://www.youtube.com/watch?v=DzdRsfq_Sgo&amp;t=1s" xr:uid="{C2C5EC79-C64C-4CF9-81D9-CB2286E1F33B}"/>
    <hyperlink ref="P278" r:id="rId264" display="https://www.youtube.com/watch?v=DzdRsfq_Sgo&amp;t=1s" xr:uid="{0B7F3E3E-CF77-4B9F-8120-8C5A60FF0E80}"/>
    <hyperlink ref="Q269" r:id="rId265" display="D:\Video\Колбаса_рецепты\Рецепт колбасок из МОЕЙ ХОТДОЖНОЙ в Питере!.mp4" xr:uid="{B0B5F5EB-88CB-47FD-96CC-FF5E8D152F13}"/>
    <hyperlink ref="Q270" r:id="rId266" display="D:\Video\Колбаса_рецепты\Рецепт колбасок из МОЕЙ ХОТДОЖНОЙ в Питере!.mp4" xr:uid="{25346DF7-C581-4020-B8D4-9DDA74C689AD}"/>
    <hyperlink ref="Q271" r:id="rId267" display="D:\Video\Колбаса_рецепты\Рецепт колбасок из МОЕЙ ХОТДОЖНОЙ в Питере!.mp4" xr:uid="{D8A94E67-84CF-4F4F-8D6A-4DC3FD10E888}"/>
    <hyperlink ref="Q272" r:id="rId268" display="D:\Video\Колбаса_рецепты\Рецепт колбасок из МОЕЙ ХОТДОЖНОЙ в Питере!.mp4" xr:uid="{F8302D5F-CC73-46C8-9D77-8CB991F38BC4}"/>
    <hyperlink ref="Q273" r:id="rId269" display="D:\Video\Колбаса_рецепты\Рецепт колбасок из МОЕЙ ХОТДОЖНОЙ в Питере!.mp4" xr:uid="{CBB84E53-642F-451A-A204-E66C7B98AF92}"/>
    <hyperlink ref="Q274" r:id="rId270" display="D:\Video\Колбаса_рецепты\Рецепт колбасок из МОЕЙ ХОТДОЖНОЙ в Питере!.mp4" xr:uid="{8F23F141-6549-4044-AA0F-D97739620E52}"/>
    <hyperlink ref="Q275" r:id="rId271" display="D:\Video\Колбаса_рецепты\Рецепт колбасок из МОЕЙ ХОТДОЖНОЙ в Питере!.mp4" xr:uid="{9A0B48EB-7C2D-44EF-B9DC-FD1971C34CB5}"/>
    <hyperlink ref="Q276" r:id="rId272" display="D:\Video\Колбаса_рецепты\Рецепт колбасок из МОЕЙ ХОТДОЖНОЙ в Питере!.mp4" xr:uid="{EF008575-77EF-48DF-92D3-A0AB26036209}"/>
    <hyperlink ref="Q277" r:id="rId273" display="D:\Video\Колбаса_рецепты\Рецепт колбасок из МОЕЙ ХОТДОЖНОЙ в Питере!.mp4" xr:uid="{E4570A5C-6E0B-4A12-99D7-C4B0A09D689B}"/>
    <hyperlink ref="Q278" r:id="rId274" display="D:\Video\Колбаса_рецепты\Рецепт колбасок из МОЕЙ ХОТДОЖНОЙ в Питере!.mp4" xr:uid="{F6A186E3-D31F-4FC6-9935-7EE9F85A06F1}"/>
    <hyperlink ref="P280" r:id="rId275" display="https://www.youtube.com/watch?v=QZoNgAaBgY0" xr:uid="{CA32CC20-0B53-4D3F-9443-9C17292A00C3}"/>
    <hyperlink ref="P281" r:id="rId276" display="https://www.youtube.com/watch?v=QZoNgAaBgY0" xr:uid="{453E2AFB-8E3F-4025-82AA-0C7B89C94BD4}"/>
    <hyperlink ref="P282" r:id="rId277" display="https://www.youtube.com/watch?v=QZoNgAaBgY0" xr:uid="{BE045D61-578A-47AE-8366-822F5C9454E2}"/>
    <hyperlink ref="P283" r:id="rId278" display="https://www.youtube.com/watch?v=QZoNgAaBgY0" xr:uid="{055814A2-D68B-42EA-B327-48BD84D6E6AC}"/>
    <hyperlink ref="P284" r:id="rId279" display="https://www.youtube.com/watch?v=QZoNgAaBgY0" xr:uid="{F9C2798C-ED0C-4E80-AC71-8067D6C35690}"/>
    <hyperlink ref="P285" r:id="rId280" display="https://www.youtube.com/watch?v=QZoNgAaBgY0" xr:uid="{74C55146-5A3E-44D5-AF9F-6AEBB3AD79C4}"/>
    <hyperlink ref="Q280" r:id="rId281" display="D:\Video\Колбаса_рецепты\Сосиски Крепыш, без нитритной соли. Сравнение рецептур с фосфатом и цитратом - консистенция и вкус.mp4" xr:uid="{B88515FE-D965-4048-B26B-3F15E9B3DE50}"/>
    <hyperlink ref="Q281" r:id="rId282" display="D:\Video\Колбаса_рецепты\Сосиски Крепыш, без нитритной соли. Сравнение рецептур с фосфатом и цитратом - консистенция и вкус.mp4" xr:uid="{656B0BE7-C7DA-4CF7-A1EA-2B528FBF14EC}"/>
    <hyperlink ref="Q282" r:id="rId283" display="D:\Video\Колбаса_рецепты\Сосиски Крепыш, без нитритной соли. Сравнение рецептур с фосфатом и цитратом - консистенция и вкус.mp4" xr:uid="{291776FD-1F7E-451B-9AAC-76F8FD3E7D3A}"/>
    <hyperlink ref="Q283" r:id="rId284" display="D:\Video\Колбаса_рецепты\Сосиски Крепыш, без нитритной соли. Сравнение рецептур с фосфатом и цитратом - консистенция и вкус.mp4" xr:uid="{218E42BE-038E-4C1F-9190-82B2D81BA9D4}"/>
    <hyperlink ref="Q284" r:id="rId285" display="D:\Video\Колбаса_рецепты\Сосиски Крепыш, без нитритной соли. Сравнение рецептур с фосфатом и цитратом - консистенция и вкус.mp4" xr:uid="{9CB58358-219F-445E-B16B-A058DFD51A27}"/>
    <hyperlink ref="Q285" r:id="rId286" display="D:\Video\Колбаса_рецепты\Сосиски Крепыш, без нитритной соли. Сравнение рецептур с фосфатом и цитратом - консистенция и вкус.mp4" xr:uid="{2CE678EE-DD38-4232-A637-6E12FCD37653}"/>
    <hyperlink ref="P287" r:id="rId287" display="https://www.youtube.com/watch?v=mgB4QoUK4dk" xr:uid="{F8132D67-60EC-4D9C-9651-2073A5443961}"/>
    <hyperlink ref="P288" r:id="rId288" display="https://www.youtube.com/watch?v=mgB4QoUK4dk" xr:uid="{341D7AE9-7E46-4892-BA33-E82E13D83BC2}"/>
    <hyperlink ref="P289" r:id="rId289" display="https://www.youtube.com/watch?v=mgB4QoUK4dk" xr:uid="{6E63142D-036A-4199-A246-D41F92C21C20}"/>
    <hyperlink ref="P290" r:id="rId290" display="https://www.youtube.com/watch?v=mgB4QoUK4dk" xr:uid="{AB0C1A79-E358-4ABA-ABE1-2077E19E0F9C}"/>
    <hyperlink ref="P291" r:id="rId291" display="https://www.youtube.com/watch?v=mgB4QoUK4dk" xr:uid="{04A12C1C-0A63-4DAC-812E-5DC666F57F75}"/>
    <hyperlink ref="P292" r:id="rId292" display="https://www.youtube.com/watch?v=mgB4QoUK4dk" xr:uid="{92A99BA6-CDD8-4119-858C-36502E5368CC}"/>
    <hyperlink ref="Q287" r:id="rId293" display="D:\Video\Колбаса_рецепты\РОЗЫГРЫШ и АКЦИЯ. Мортаделла в духовке + рецептура сыровяленой Луканки, вялим в холодильнике.mp4" xr:uid="{1701949D-7BB6-4F7D-9239-DC03DF2E4AC7}"/>
    <hyperlink ref="Q288" r:id="rId294" display="D:\Video\Колбаса_рецепты\РОЗЫГРЫШ и АКЦИЯ. Мортаделла в духовке + рецептура сыровяленой Луканки, вялим в холодильнике.mp4" xr:uid="{8EEC3136-EAFC-40D2-B189-6F1897A0A3E5}"/>
    <hyperlink ref="Q289" r:id="rId295" display="D:\Video\Колбаса_рецепты\РОЗЫГРЫШ и АКЦИЯ. Мортаделла в духовке + рецептура сыровяленой Луканки, вялим в холодильнике.mp4" xr:uid="{ADD7B384-85FA-4012-8330-D2B61319CE28}"/>
    <hyperlink ref="Q290" r:id="rId296" display="D:\Video\Колбаса_рецепты\РОЗЫГРЫШ и АКЦИЯ. Мортаделла в духовке + рецептура сыровяленой Луканки, вялим в холодильнике.mp4" xr:uid="{64A67CA4-2933-403E-ACB8-A62284738320}"/>
    <hyperlink ref="Q291" r:id="rId297" display="D:\Video\Колбаса_рецепты\РОЗЫГРЫШ и АКЦИЯ. Мортаделла в духовке + рецептура сыровяленой Луканки, вялим в холодильнике.mp4" xr:uid="{ECC77B85-769C-4599-A298-5DD5F98CA288}"/>
    <hyperlink ref="Q292" r:id="rId298" display="D:\Video\Колбаса_рецепты\РОЗЫГРЫШ и АКЦИЯ. Мортаделла в духовке + рецептура сыровяленой Луканки, вялим в холодильнике.mp4" xr:uid="{99F82296-119B-4344-937C-85EA0F5CB2D3}"/>
    <hyperlink ref="P294" r:id="rId299" display="https://www.youtube.com/watch?v=S6Ug6ilt2fE" xr:uid="{9F2F9421-817B-4FD9-9A8E-F8897DF88066}"/>
    <hyperlink ref="P295" r:id="rId300" display="https://www.youtube.com/watch?v=S6Ug6ilt2fE" xr:uid="{2653FC45-8B53-4F14-B35C-EE3A2EEA0213}"/>
    <hyperlink ref="P296" r:id="rId301" display="https://www.youtube.com/watch?v=S6Ug6ilt2fE" xr:uid="{4E8336B2-6B80-4E6A-9ED3-CF9DB1A1EE73}"/>
    <hyperlink ref="P297" r:id="rId302" display="https://www.youtube.com/watch?v=S6Ug6ilt2fE" xr:uid="{2B9CB57E-DC3F-45ED-BCF8-3E0486F026FE}"/>
    <hyperlink ref="P298" r:id="rId303" display="https://www.youtube.com/watch?v=S6Ug6ilt2fE" xr:uid="{B7E24C39-23B1-494A-BB7D-C5B07EE9D774}"/>
    <hyperlink ref="P299" r:id="rId304" display="https://www.youtube.com/watch?v=S6Ug6ilt2fE" xr:uid="{1CF4F3A4-432D-44F5-9A52-9D1009EE9EAC}"/>
    <hyperlink ref="Q294" r:id="rId305" display="D:\Video\Колбаса_рецепты\Луканка болгарская. Адаптированный рецепт для начинающих.mp4" xr:uid="{693C8EB3-2BB2-4599-BBD3-579DCE24C2AE}"/>
    <hyperlink ref="Q295" r:id="rId306" display="D:\Video\Колбаса_рецепты\Луканка болгарская. Адаптированный рецепт для начинающих.mp4" xr:uid="{5AC5D1BF-AACB-4380-A40E-2E6D0E03BA42}"/>
    <hyperlink ref="Q296" r:id="rId307" display="D:\Video\Колбаса_рецепты\Луканка болгарская. Адаптированный рецепт для начинающих.mp4" xr:uid="{09F1CF7E-B11D-430F-BB70-91333308076C}"/>
    <hyperlink ref="Q297" r:id="rId308" display="D:\Video\Колбаса_рецепты\Луканка болгарская. Адаптированный рецепт для начинающих.mp4" xr:uid="{87352AC7-62E5-427D-A8DF-B1DB4CF45992}"/>
    <hyperlink ref="Q298" r:id="rId309" display="D:\Video\Колбаса_рецепты\Луканка болгарская. Адаптированный рецепт для начинающих.mp4" xr:uid="{FEDA6AAC-A2A3-4282-91D5-BD4A64782A06}"/>
    <hyperlink ref="Q299" r:id="rId310" display="D:\Video\Колбаса_рецепты\Луканка болгарская. Адаптированный рецепт для начинающих.mp4" xr:uid="{7DCC8461-2B40-45ED-AF45-053C7E4CF7B1}"/>
    <hyperlink ref="P219" r:id="rId311" display="https://www.youtube.com/watch?v=Z2RwYRh1lJ8" xr:uid="{B3CD8B20-39B1-4B05-B637-4BB9454B4232}"/>
    <hyperlink ref="P220" r:id="rId312" display="https://www.youtube.com/watch?v=Z2RwYRh1lJ8" xr:uid="{32B5D8EB-1D46-4533-96E8-350D2938EC9B}"/>
    <hyperlink ref="P221" r:id="rId313" display="https://www.youtube.com/watch?v=Z2RwYRh1lJ8" xr:uid="{D4105257-B886-461B-8D06-4716FFFCCE5D}"/>
    <hyperlink ref="P222" r:id="rId314" display="https://www.youtube.com/watch?v=Z2RwYRh1lJ8" xr:uid="{D2BD5F06-701F-42BC-9F4C-B3518E8E1F2D}"/>
    <hyperlink ref="Q219" r:id="rId315" display="D:\Video\Колбаса_рецепты\Pancetta Artesanal.mp4" xr:uid="{D85A182B-5BBA-4A86-9CA1-D3925147924D}"/>
    <hyperlink ref="Q220" r:id="rId316" display="D:\Video\Колбаса_рецепты\Pancetta Artesanal.mp4" xr:uid="{C43D4C8A-B4DA-4E00-844D-DC507964ADB2}"/>
    <hyperlink ref="Q221" r:id="rId317" display="D:\Video\Колбаса_рецепты\Pancetta Artesanal.mp4" xr:uid="{D0AA3AEB-C5E6-481D-AA9C-EDAB7394AF63}"/>
    <hyperlink ref="Q222" r:id="rId318" display="D:\Video\Колбаса_рецепты\Pancetta Artesanal.mp4" xr:uid="{0840FA42-B325-438D-947B-49D7FDC3908C}"/>
    <hyperlink ref="P132" r:id="rId319" display="https://www.youtube.com/watch?v=9kQSi1-fvXM" xr:uid="{EDE36DAD-9F3F-4F65-AC74-0D785F16C5A3}"/>
    <hyperlink ref="P133:P142" r:id="rId320" display="https://www.youtube.com/watch?v=9kQSi1-fvXM" xr:uid="{75B02C6B-57C6-4116-A1CB-5E4E61B7DB48}"/>
    <hyperlink ref="Q132" r:id="rId321" xr:uid="{49F3F297-01BE-41DD-93EC-7045E93DAD72}"/>
    <hyperlink ref="Q133:Q142" r:id="rId322" display="D:\Video\Колбаса_рецепты\ЛЮБИТЕЛЬСКАЯ КОЛБАСА домашняя, СОВЕТСКИЙ ГОСТ.mp4" xr:uid="{EA6F0015-EB5B-451D-BBEE-074A6C2A3A14}"/>
    <hyperlink ref="P143" r:id="rId323" display="https://www.youtube.com/watch?v=7cFAvk39Ji0&amp;t=3s" xr:uid="{AC0A834D-817A-47BE-A431-1FE91ECEB6D5}"/>
    <hyperlink ref="P144:P153" r:id="rId324" display="https://www.youtube.com/watch?v=7cFAvk39Ji0&amp;t=3s" xr:uid="{8E2F9DF6-DC7D-4BB5-B016-5A2D81118352}"/>
    <hyperlink ref="Q143" r:id="rId325" xr:uid="{1D929EE4-5AA3-459E-81EF-182A89FD09E5}"/>
    <hyperlink ref="Q144:Q153" r:id="rId326" display="D:\Video\Колбаса_рецепты\ВЕТЧИНА МРАМОРНАЯ НАСТОЯЩАЯ в домашних условиях.mp4" xr:uid="{64549BBA-549B-456A-B797-037BA68BD53D}"/>
    <hyperlink ref="P172" r:id="rId327" display="https://www.youtube.com/watch?v=YHdyryDTJaE&amp;t=51s" xr:uid="{81FC3BCB-CD97-4271-98B9-0EC09D2E216E}"/>
    <hyperlink ref="P173:P180" r:id="rId328" display="https://www.youtube.com/watch?v=YHdyryDTJaE&amp;t=51s" xr:uid="{74A45044-AE52-4143-A308-E27F095DD97C}"/>
    <hyperlink ref="Q172" r:id="rId329" xr:uid="{D14DAB41-930A-4F6B-B2F4-4FAF0E056E87}"/>
    <hyperlink ref="Q173:Q180" r:id="rId330" display="D:\Video\Колбаса_рецепты\Итальянская сыровяленая колбаса Финоккьона в домашних условиях.mp4" xr:uid="{0F6814BA-5559-4204-B924-FFFED8608B72}"/>
    <hyperlink ref="P196" r:id="rId331" display="https://www.youtube.com/watch?v=u-809JqYnfE&amp;t=500s" xr:uid="{D319E289-13FF-4787-B312-F13D3A7A404B}"/>
    <hyperlink ref="P197:P205" r:id="rId332" display="https://www.youtube.com/watch?v=u-809JqYnfE&amp;t=500s" xr:uid="{072DC0FD-9E0B-4F2B-9E7D-BBDC1742B018}"/>
    <hyperlink ref="Q196" r:id="rId333" xr:uid="{938E2577-1152-446D-8947-F8340A09EAA5}"/>
    <hyperlink ref="P123" r:id="rId334" display="https://www.youtube.com/watch?v=F10ChDTJQn4" xr:uid="{474D54E6-C83C-42AC-B58B-94AEE149C930}"/>
    <hyperlink ref="P130" r:id="rId335" display="https://www.youtube.com/watch?v=F10ChDTJQn4" xr:uid="{01353F1A-46E8-491E-A778-6017E7864F9C}"/>
    <hyperlink ref="Q122:Q131" r:id="rId336" display="D:\Video\Колбаса_рецепты\ВЕТЧИННО-РУБЛЕНАЯ вареная домашняя. ГОСТ СССР.mp4" xr:uid="{3240887D-3C22-413E-A7B5-56DA62F06CBC}"/>
    <hyperlink ref="Q197:Q205" r:id="rId337" display="D:\Video\Колбаса_рецепты\Очень вкусная домашняя колбаса - Дрогобычская. Просто, дома, своими руками.mp4" xr:uid="{0B970F83-3487-4AE9-BC9D-908442CA1610}"/>
    <hyperlink ref="P206" r:id="rId338" display="https://www.youtube.com/watch?v=mvaLbMCDunw&amp;t=2s" xr:uid="{B26B8A8C-1EBC-455F-8A9B-5FCA7FC549F6}"/>
    <hyperlink ref="P207" r:id="rId339" display="https://www.youtube.com/watch?v=mvaLbMCDunw&amp;t=2s" xr:uid="{D3B60B4E-4D50-498B-B14E-90F64B20D4AC}"/>
    <hyperlink ref="P208" r:id="rId340" display="https://www.youtube.com/watch?v=mvaLbMCDunw&amp;t=2s" xr:uid="{E8BA61A6-A461-44EF-B2AC-8A609C5005CA}"/>
    <hyperlink ref="P210" r:id="rId341" display="https://www.youtube.com/watch?v=mvaLbMCDunw&amp;t=2s" xr:uid="{24593D4C-B4CE-438D-BA93-F9CB03BF9541}"/>
    <hyperlink ref="P212" r:id="rId342" display="https://www.youtube.com/watch?v=mvaLbMCDunw&amp;t=2s" xr:uid="{1CDFCDA2-E56A-424E-8D9C-154C5BEE5671}"/>
    <hyperlink ref="P214" r:id="rId343" display="https://www.youtube.com/watch?v=mvaLbMCDunw&amp;t=2s" xr:uid="{1E2834BD-CC47-46F3-88C8-BE19B27E72F0}"/>
    <hyperlink ref="P216" r:id="rId344" display="https://www.youtube.com/watch?v=mvaLbMCDunw&amp;t=2s" xr:uid="{0EA53CC0-45C9-4E45-886A-971C4EA92E70}"/>
    <hyperlink ref="P209" r:id="rId345" display="https://www.youtube.com/watch?v=mvaLbMCDunw&amp;t=2s" xr:uid="{E2854050-C3C7-47E1-A9D1-8C54AA70F6FA}"/>
    <hyperlink ref="P211" r:id="rId346" display="https://www.youtube.com/watch?v=mvaLbMCDunw&amp;t=2s" xr:uid="{0FF79939-406B-40AC-8A52-4C8100E4E5BF}"/>
    <hyperlink ref="P213" r:id="rId347" display="https://www.youtube.com/watch?v=mvaLbMCDunw&amp;t=2s" xr:uid="{0F720100-1EE5-452A-8F35-1672A1FB688A}"/>
    <hyperlink ref="P215" r:id="rId348" display="https://www.youtube.com/watch?v=mvaLbMCDunw&amp;t=2s" xr:uid="{48F69A47-64A0-43ED-BA2B-A7E61F43294C}"/>
    <hyperlink ref="P300" r:id="rId349" display="https://www.youtube.com/watch?v=ny4OrQ93ATQ" xr:uid="{940C1F8D-56A1-450B-B8D9-1EEA72E840E3}"/>
    <hyperlink ref="P301:P303" r:id="rId350" display="https://www.youtube.com/watch?v=ny4OrQ93ATQ" xr:uid="{D3286AD1-FB45-427E-BB1B-85FE1281FFDC}"/>
    <hyperlink ref="P304" r:id="rId351" display="https://www.youtube.com/watch?v=l6XNRcGn3jI" xr:uid="{1A1BCC09-197A-4686-9487-B51837B0FC6D}"/>
    <hyperlink ref="P305" r:id="rId352" display="https://www.youtube.com/watch?v=l6XNRcGn3jI" xr:uid="{43FE12E5-CDA8-4E8A-A02B-3F1C6E243172}"/>
    <hyperlink ref="P306" r:id="rId353" display="https://www.youtube.com/watch?v=l6XNRcGn3jI" xr:uid="{1F06DCB5-4AC3-4539-93CE-2EE241245854}"/>
    <hyperlink ref="P307" r:id="rId354" display="https://www.youtube.com/watch?v=l6XNRcGn3jI" xr:uid="{E0971E80-36A3-4367-890B-9512908ADF32}"/>
    <hyperlink ref="P308" r:id="rId355" display="https://www.youtube.com/watch?v=bmRMtjHz6f4" xr:uid="{2B4A72D4-22EA-4655-A2B2-3B657B013882}"/>
    <hyperlink ref="P309:P314" r:id="rId356" display="https://www.youtube.com/watch?v=bmRMtjHz6f4" xr:uid="{CAE07691-D006-4444-B1DA-3451B42F8923}"/>
    <hyperlink ref="P315:P317" r:id="rId357" display="https://www.youtube.com/watch?v=bmRMtjHz6f4" xr:uid="{7C546E5E-076F-4AE4-9956-1F875E6E6865}"/>
    <hyperlink ref="P318" r:id="rId358" display="https://www.youtube.com/watch?v=mp6IBTJIyGA" xr:uid="{EA06EC98-D4FB-4931-BD75-47029A3D9664}"/>
    <hyperlink ref="P319" r:id="rId359" display="https://www.youtube.com/watch?v=mp6IBTJIyGA" xr:uid="{336068C6-F1C2-4A6D-B997-5E05EE8A0A00}"/>
    <hyperlink ref="P320" r:id="rId360" display="https://www.youtube.com/watch?v=mp6IBTJIyGA" xr:uid="{B7FB120E-6FC7-491B-9A75-31F2EE1406F5}"/>
    <hyperlink ref="P321" r:id="rId361" display="https://www.youtube.com/watch?v=mp6IBTJIyGA" xr:uid="{D7F26494-A6CB-43F7-B5D0-4A917C32CD67}"/>
    <hyperlink ref="P324" r:id="rId362" display="https://www.youtube.com/watch?v=mp6IBTJIyGA" xr:uid="{BED8957C-6227-4B5A-BB8B-B4D4A08088C3}"/>
    <hyperlink ref="P322" r:id="rId363" display="https://www.youtube.com/watch?v=mp6IBTJIyGA" xr:uid="{EF1FE111-7076-4965-A7D6-268E79CD2AFF}"/>
    <hyperlink ref="P323" r:id="rId364" display="https://www.youtube.com/watch?v=mp6IBTJIyGA" xr:uid="{509F5D58-849A-4CA1-92FB-F8DBB2D81C44}"/>
    <hyperlink ref="P325" r:id="rId365" display="https://www.youtube.com/watch?v=mp6IBTJIyGA" xr:uid="{A1BEA5A5-5DB8-4019-9613-53317B0CCEF2}"/>
    <hyperlink ref="P326" r:id="rId366" display="https://www.youtube.com/watch?v=JL9fOZ3WnMI" xr:uid="{5B7F91A0-0730-425B-BC0F-9EC794026EA3}"/>
    <hyperlink ref="P327" r:id="rId367" display="https://www.youtube.com/watch?v=JL9fOZ3WnMI" xr:uid="{6D08C534-AE11-4FCA-91BA-B8E28E96843A}"/>
    <hyperlink ref="P328" r:id="rId368" display="https://www.youtube.com/watch?v=JL9fOZ3WnMI" xr:uid="{401A7D33-EFF7-4345-B73A-B5CD2583DEF3}"/>
    <hyperlink ref="P330" r:id="rId369" display="https://www.youtube.com/watch?v=JL9fOZ3WnMI" xr:uid="{825BB151-2CC5-4B44-AED4-15B1695316A7}"/>
    <hyperlink ref="P332" r:id="rId370" display="https://www.youtube.com/watch?v=JL9fOZ3WnMI" xr:uid="{7A9F1A74-DF1E-436F-B5D2-F0A657CBAC67}"/>
    <hyperlink ref="P334" r:id="rId371" display="https://www.youtube.com/watch?v=JL9fOZ3WnMI" xr:uid="{6CFC6CE0-FE80-4F8F-9169-B6A3A1FCB973}"/>
    <hyperlink ref="P329" r:id="rId372" display="https://www.youtube.com/watch?v=JL9fOZ3WnMI" xr:uid="{6372FAFD-A597-4301-AD1B-BD49B69E185F}"/>
    <hyperlink ref="P331" r:id="rId373" display="https://www.youtube.com/watch?v=JL9fOZ3WnMI" xr:uid="{F0B85B34-9C50-44FF-A48E-F99971E0BFE1}"/>
    <hyperlink ref="P333" r:id="rId374" display="https://www.youtube.com/watch?v=JL9fOZ3WnMI" xr:uid="{A97232F9-A575-4CB7-BFBB-3054E0EAE623}"/>
    <hyperlink ref="Q187:Q195" r:id="rId375" display="D:\Video\Колбаса_рецепты\Классическая Краковская колбаса полукопченая своими руками.mp4" xr:uid="{B76326A5-9457-447C-9723-195DE396EA00}"/>
    <hyperlink ref="P335" r:id="rId376" display="https://www.youtube.com/watch?v=pO4cS1NcSig&amp;t=527s" xr:uid="{EA396E63-CEE1-4350-910F-E240B2AB8A20}"/>
    <hyperlink ref="P336" r:id="rId377" display="https://www.youtube.com/watch?v=pO4cS1NcSig&amp;t=527s" xr:uid="{F7297A75-B69E-40FC-8866-CFD7D4B91AF3}"/>
    <hyperlink ref="P337" r:id="rId378" display="https://www.youtube.com/watch?v=pO4cS1NcSig&amp;t=527s" xr:uid="{0DE5077A-BEA9-4D11-AE14-DBFAB0B2BEF4}"/>
    <hyperlink ref="P339" r:id="rId379" display="https://www.youtube.com/watch?v=pO4cS1NcSig&amp;t=527s" xr:uid="{350B21FD-C09C-4983-AFB1-6B524D86F5B6}"/>
    <hyperlink ref="P341" r:id="rId380" display="https://www.youtube.com/watch?v=pO4cS1NcSig&amp;t=527s" xr:uid="{D0A41CDD-2ECF-4EC4-B1AF-A5D3497B0592}"/>
    <hyperlink ref="P343" r:id="rId381" display="https://www.youtube.com/watch?v=pO4cS1NcSig&amp;t=527s" xr:uid="{669FA6C5-B7E3-4409-A6B3-042A4B3D6298}"/>
    <hyperlink ref="P338" r:id="rId382" display="https://www.youtube.com/watch?v=pO4cS1NcSig&amp;t=527s" xr:uid="{2C3C0F49-919D-4B5A-8237-F047A09C7C30}"/>
    <hyperlink ref="P340" r:id="rId383" display="https://www.youtube.com/watch?v=pO4cS1NcSig&amp;t=527s" xr:uid="{5E7C68EC-38C7-461C-B8C3-F683193C4742}"/>
    <hyperlink ref="P342" r:id="rId384" display="https://www.youtube.com/watch?v=pO4cS1NcSig&amp;t=527s" xr:uid="{7803CC70-F0E2-4779-9C5B-AE0E342D7C06}"/>
    <hyperlink ref="P344" r:id="rId385" display="https://www.youtube.com/watch?v=pO4cS1NcSig&amp;t=527s" xr:uid="{6108BF7B-351B-47F3-B611-8F339B43662B}"/>
    <hyperlink ref="P345" r:id="rId386" display="https://1000.menu/cooking/42853-pelmeni-domashnie-klassicheskie" xr:uid="{B036AAB7-D1E1-4496-9152-9B5F9944DD8D}"/>
    <hyperlink ref="P346" r:id="rId387" display="https://1000.menu/cooking/42853-pelmeni-domashnie-klassicheskie" xr:uid="{EAAF4B2F-EBA9-485F-81B3-3304213CDDBE}"/>
    <hyperlink ref="P347" r:id="rId388" display="https://1000.menu/cooking/42853-pelmeni-domashnie-klassicheskie" xr:uid="{361032C8-1163-448B-8D52-4A20F9D75123}"/>
    <hyperlink ref="P349" r:id="rId389" display="https://1000.menu/cooking/42853-pelmeni-domashnie-klassicheskie" xr:uid="{0E08E7A8-484B-450B-BFA2-9DE257B1B6A5}"/>
    <hyperlink ref="P351" r:id="rId390" display="https://1000.menu/cooking/42853-pelmeni-domashnie-klassicheskie" xr:uid="{9FCB7397-6535-4983-BB21-1C7ECFA5951E}"/>
    <hyperlink ref="P353" r:id="rId391" display="https://1000.menu/cooking/42853-pelmeni-domashnie-klassicheskie" xr:uid="{60B3C3D2-7498-4441-BA61-4393A8DF2316}"/>
    <hyperlink ref="P348" r:id="rId392" display="https://1000.menu/cooking/42853-pelmeni-domashnie-klassicheskie" xr:uid="{2B38B85D-08FE-4F6A-9A22-82C047C7AADF}"/>
    <hyperlink ref="P350" r:id="rId393" display="https://1000.menu/cooking/42853-pelmeni-domashnie-klassicheskie" xr:uid="{CFDA7A51-0662-4FD9-AA6C-9B5FDD402589}"/>
    <hyperlink ref="P352" r:id="rId394" display="https://1000.menu/cooking/42853-pelmeni-domashnie-klassicheskie" xr:uid="{A52A22F9-57B1-4C27-B29E-DEDE8882650B}"/>
    <hyperlink ref="Q18" r:id="rId395" display="D:\Video\Колбаса_рецепты\Докторская колбаса ГОСТ 23670-79 в домашних условиях.mp4" xr:uid="{F86365EB-8F45-44CD-8679-1CDA15DFF571}"/>
    <hyperlink ref="P485" r:id="rId396" xr:uid="{A5C878C5-8387-47E6-B2C1-B7270E56F401}"/>
    <hyperlink ref="P486:P494" r:id="rId397" display="https://youtu.be/2509npgU6YM" xr:uid="{EF15DF71-9718-4B38-BAFA-74926AA37E7E}"/>
    <hyperlink ref="P495" r:id="rId398" xr:uid="{F8733AB1-86D5-4478-A023-B56CC4E7D673}"/>
    <hyperlink ref="P496" r:id="rId399" xr:uid="{794C749C-6571-43EF-BF9A-E4E2F0DD93F0}"/>
    <hyperlink ref="P497" r:id="rId400" xr:uid="{4EF057E6-EC73-46EE-9677-1C9955DEE501}"/>
    <hyperlink ref="P498" r:id="rId401" xr:uid="{7B0550DB-3B66-4BBC-9FEF-7A83170CB08F}"/>
    <hyperlink ref="P499" r:id="rId402" xr:uid="{7A4B2EA5-6A06-4C76-ACA3-0989B498A711}"/>
    <hyperlink ref="P500" r:id="rId403" xr:uid="{D7907742-3036-46D5-8C31-9A5361194FC3}"/>
    <hyperlink ref="P501" r:id="rId404" xr:uid="{98CD2CDC-DEB5-4937-AB34-11753FD9CF65}"/>
    <hyperlink ref="P502" r:id="rId405" xr:uid="{A04DA63A-1852-4186-A483-E75D6CEE89EA}"/>
    <hyperlink ref="P503" r:id="rId406" xr:uid="{43BD50AB-F248-477D-A83D-48C509ED8528}"/>
    <hyperlink ref="P504" r:id="rId407" xr:uid="{4BBEDD39-40E1-4FC4-849B-89C18D84D165}"/>
    <hyperlink ref="P505" r:id="rId408" xr:uid="{D6DDBCCD-F460-433A-9E38-79C7BB85D8FE}"/>
    <hyperlink ref="P506" r:id="rId409" xr:uid="{349F311D-B476-4D06-800B-C1640CB32B57}"/>
    <hyperlink ref="P507" r:id="rId410" xr:uid="{832A7208-438C-41AA-965A-E82709F0E92E}"/>
    <hyperlink ref="P508" r:id="rId411" xr:uid="{D270A701-0CC0-4A96-9155-E431694B904A}"/>
    <hyperlink ref="P509" r:id="rId412" xr:uid="{B98147C7-19A1-410F-AEB6-2DC7077A6E96}"/>
    <hyperlink ref="P54" r:id="rId413" xr:uid="{349B776E-3BDF-4AFE-A2A3-CED990E73C7B}"/>
    <hyperlink ref="P55" r:id="rId414" xr:uid="{34189661-F4BF-4B8A-85DA-5A0AF552B931}"/>
    <hyperlink ref="P56" r:id="rId415" xr:uid="{1FF3C5EA-219A-4B7D-ACC5-E5B9D310C2B6}"/>
  </hyperlinks>
  <pageMargins left="0.7" right="0.7" top="0.75" bottom="0.75" header="0.3" footer="0.3"/>
  <pageSetup paperSize="9" orientation="portrait" r:id="rId416"/>
  <ignoredErrors>
    <ignoredError sqref="B21:C21 B41:C41 B54:C54 B69:C69 B84:C84 B95:C95 B108:C108 B154:C154 B181:C181 B186:C186 B196:C196 B217:C217 B223:C223 B234:C234 B243:C243 B268:C268 B286:C286 C293 C31 B76:C76 B121:C121 B132:C132 B143:C143 B163:C163 C278:C279 B172:C172 B206:C206 B255:B256 B279 B12:C12 B16:C16 B19:C19 B124:C124 B131:C131 B300:C300 B308:C308 C318 B320:C320 B326 B335:C335 B338:C338 B345:C345 B354:C354 C357 C369 C376 B384:C384 B397:C397 B409:C409 C421 B425:C425 B436:C436 B453:C453 C445 B464:C464 B474:C474 B479:C479 B485:C485 B495:C495 B510:C510 C527" calculatedColumn="1"/>
  </ignoredErrors>
  <drawing r:id="rId417"/>
  <tableParts count="1">
    <tablePart r:id="rId418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19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0F44-CA67-4898-888A-FEE6976E5B39}">
  <sheetPr>
    <tabColor rgb="FFFF0000"/>
  </sheetPr>
  <dimension ref="A1:D542"/>
  <sheetViews>
    <sheetView showGridLines="0" showRowColHeaders="0" workbookViewId="0">
      <selection activeCell="A2" sqref="A2"/>
    </sheetView>
  </sheetViews>
  <sheetFormatPr defaultRowHeight="15" x14ac:dyDescent="0.25"/>
  <cols>
    <col min="1" max="1" width="23.28515625" customWidth="1"/>
    <col min="2" max="2" width="13" style="12" customWidth="1"/>
    <col min="3" max="3" width="11.28515625" bestFit="1" customWidth="1"/>
    <col min="4" max="66" width="9" customWidth="1"/>
  </cols>
  <sheetData>
    <row r="1" spans="1:4" ht="26.25" x14ac:dyDescent="0.4">
      <c r="A1" s="23">
        <v>1000</v>
      </c>
      <c r="B1" t="str">
        <f>VLOOKUP($A$4,Рецепты[],16,0)</f>
        <v>ВЕТЧИНА МРАМОРНАЯ НАСТОЯЩАЯ в домашних условиях (youtube.com)</v>
      </c>
      <c r="C1" t="str">
        <f>VLOOKUP($A$4,Рецепты[],17,0)</f>
        <v>D:\Video\Колбаса_рецепты\ВЕТЧИНА МРАМОРНАЯ НАСТОЯЩАЯ в домашних условиях.mp4</v>
      </c>
      <c r="D1">
        <f>VLOOKUP($A$4,Рецепты[],19,0)</f>
        <v>0</v>
      </c>
    </row>
    <row r="3" spans="1:4" x14ac:dyDescent="0.25">
      <c r="A3" s="7" t="s">
        <v>609</v>
      </c>
      <c r="B3" t="s">
        <v>610</v>
      </c>
    </row>
    <row r="4" spans="1:4" x14ac:dyDescent="0.25">
      <c r="A4" s="8" t="s">
        <v>391</v>
      </c>
    </row>
    <row r="5" spans="1:4" x14ac:dyDescent="0.25">
      <c r="A5" s="9" t="s">
        <v>49</v>
      </c>
      <c r="B5" s="12">
        <v>860</v>
      </c>
    </row>
    <row r="6" spans="1:4" x14ac:dyDescent="0.25">
      <c r="A6" s="9" t="s">
        <v>93</v>
      </c>
      <c r="B6" s="12">
        <v>150</v>
      </c>
    </row>
    <row r="7" spans="1:4" x14ac:dyDescent="0.25">
      <c r="A7" s="9" t="s">
        <v>54</v>
      </c>
      <c r="B7" s="12">
        <v>140</v>
      </c>
    </row>
    <row r="8" spans="1:4" x14ac:dyDescent="0.25">
      <c r="A8" s="9" t="s">
        <v>125</v>
      </c>
      <c r="B8" s="12">
        <v>10</v>
      </c>
    </row>
    <row r="9" spans="1:4" x14ac:dyDescent="0.25">
      <c r="A9" s="9" t="s">
        <v>128</v>
      </c>
      <c r="B9" s="12">
        <v>10</v>
      </c>
    </row>
    <row r="10" spans="1:4" x14ac:dyDescent="0.25">
      <c r="A10" s="9" t="s">
        <v>151</v>
      </c>
      <c r="B10" s="12">
        <v>5</v>
      </c>
    </row>
    <row r="11" spans="1:4" x14ac:dyDescent="0.25">
      <c r="A11" s="9" t="s">
        <v>157</v>
      </c>
      <c r="B11" s="12">
        <v>3</v>
      </c>
    </row>
    <row r="12" spans="1:4" x14ac:dyDescent="0.25">
      <c r="A12" s="9" t="s">
        <v>133</v>
      </c>
      <c r="B12" s="12">
        <v>1.5</v>
      </c>
    </row>
    <row r="13" spans="1:4" x14ac:dyDescent="0.25">
      <c r="A13" s="9" t="s">
        <v>131</v>
      </c>
      <c r="B13" s="12">
        <v>1.5</v>
      </c>
    </row>
    <row r="14" spans="1:4" x14ac:dyDescent="0.25">
      <c r="A14" s="9" t="s">
        <v>214</v>
      </c>
      <c r="B14" s="12">
        <v>1</v>
      </c>
    </row>
    <row r="15" spans="1:4" x14ac:dyDescent="0.25">
      <c r="A15" s="9" t="s">
        <v>149</v>
      </c>
      <c r="B15" s="12">
        <v>0.5</v>
      </c>
    </row>
    <row r="16" spans="1:4" x14ac:dyDescent="0.25">
      <c r="A16" s="8" t="s">
        <v>450</v>
      </c>
    </row>
    <row r="17" spans="1:2" x14ac:dyDescent="0.25">
      <c r="A17" s="9" t="s">
        <v>69</v>
      </c>
      <c r="B17" s="12">
        <v>500</v>
      </c>
    </row>
    <row r="18" spans="1:2" x14ac:dyDescent="0.25">
      <c r="A18" s="9" t="s">
        <v>70</v>
      </c>
      <c r="B18" s="12">
        <v>500</v>
      </c>
    </row>
    <row r="19" spans="1:2" x14ac:dyDescent="0.25">
      <c r="A19" s="9" t="s">
        <v>93</v>
      </c>
      <c r="B19" s="12">
        <v>130</v>
      </c>
    </row>
    <row r="20" spans="1:2" x14ac:dyDescent="0.25">
      <c r="A20" s="9" t="s">
        <v>128</v>
      </c>
      <c r="B20" s="12">
        <v>9</v>
      </c>
    </row>
    <row r="21" spans="1:2" x14ac:dyDescent="0.25">
      <c r="A21" s="9" t="s">
        <v>125</v>
      </c>
      <c r="B21" s="12">
        <v>9</v>
      </c>
    </row>
    <row r="22" spans="1:2" x14ac:dyDescent="0.25">
      <c r="A22" s="9" t="s">
        <v>157</v>
      </c>
      <c r="B22" s="12">
        <v>3</v>
      </c>
    </row>
    <row r="23" spans="1:2" x14ac:dyDescent="0.25">
      <c r="A23" s="9" t="s">
        <v>131</v>
      </c>
      <c r="B23" s="12">
        <v>2</v>
      </c>
    </row>
    <row r="24" spans="1:2" x14ac:dyDescent="0.25">
      <c r="A24" s="9" t="s">
        <v>151</v>
      </c>
      <c r="B24" s="12">
        <v>1.5</v>
      </c>
    </row>
    <row r="25" spans="1:2" x14ac:dyDescent="0.25">
      <c r="A25" s="9" t="s">
        <v>133</v>
      </c>
      <c r="B25" s="12">
        <v>1</v>
      </c>
    </row>
    <row r="26" spans="1:2" x14ac:dyDescent="0.25">
      <c r="A26" s="9" t="s">
        <v>214</v>
      </c>
      <c r="B26" s="12">
        <v>1</v>
      </c>
    </row>
    <row r="27" spans="1:2" x14ac:dyDescent="0.25">
      <c r="A27" s="9" t="s">
        <v>149</v>
      </c>
      <c r="B27" s="12">
        <v>0.7</v>
      </c>
    </row>
    <row r="28" spans="1:2" x14ac:dyDescent="0.25">
      <c r="A28" s="8" t="s">
        <v>375</v>
      </c>
    </row>
    <row r="29" spans="1:2" x14ac:dyDescent="0.25">
      <c r="A29" s="9" t="s">
        <v>49</v>
      </c>
      <c r="B29" s="12">
        <v>600</v>
      </c>
    </row>
    <row r="30" spans="1:2" x14ac:dyDescent="0.25">
      <c r="A30" s="9" t="s">
        <v>12</v>
      </c>
      <c r="B30" s="12">
        <v>400</v>
      </c>
    </row>
    <row r="31" spans="1:2" x14ac:dyDescent="0.25">
      <c r="A31" s="9" t="s">
        <v>93</v>
      </c>
      <c r="B31" s="12">
        <v>130</v>
      </c>
    </row>
    <row r="32" spans="1:2" x14ac:dyDescent="0.25">
      <c r="A32" s="9" t="s">
        <v>128</v>
      </c>
      <c r="B32" s="12">
        <v>10</v>
      </c>
    </row>
    <row r="33" spans="1:2" x14ac:dyDescent="0.25">
      <c r="A33" s="9" t="s">
        <v>125</v>
      </c>
      <c r="B33" s="12">
        <v>10</v>
      </c>
    </row>
    <row r="34" spans="1:2" x14ac:dyDescent="0.25">
      <c r="A34" s="9" t="s">
        <v>157</v>
      </c>
      <c r="B34" s="12">
        <v>3</v>
      </c>
    </row>
    <row r="35" spans="1:2" x14ac:dyDescent="0.25">
      <c r="A35" s="9" t="s">
        <v>131</v>
      </c>
      <c r="B35" s="12">
        <v>2</v>
      </c>
    </row>
    <row r="36" spans="1:2" x14ac:dyDescent="0.25">
      <c r="A36" s="9" t="s">
        <v>133</v>
      </c>
      <c r="B36" s="12">
        <v>2</v>
      </c>
    </row>
    <row r="37" spans="1:2" x14ac:dyDescent="0.25">
      <c r="A37" s="9" t="s">
        <v>155</v>
      </c>
      <c r="B37" s="12">
        <v>1</v>
      </c>
    </row>
    <row r="38" spans="1:2" x14ac:dyDescent="0.25">
      <c r="A38" s="9" t="s">
        <v>151</v>
      </c>
      <c r="B38" s="12">
        <v>1</v>
      </c>
    </row>
    <row r="39" spans="1:2" x14ac:dyDescent="0.25">
      <c r="A39" s="9" t="s">
        <v>214</v>
      </c>
      <c r="B39" s="12">
        <v>1</v>
      </c>
    </row>
    <row r="40" spans="1:2" x14ac:dyDescent="0.25">
      <c r="A40" s="8" t="s">
        <v>248</v>
      </c>
    </row>
    <row r="41" spans="1:2" x14ac:dyDescent="0.25">
      <c r="A41" s="9" t="s">
        <v>52</v>
      </c>
      <c r="B41" s="12">
        <v>700</v>
      </c>
    </row>
    <row r="42" spans="1:2" x14ac:dyDescent="0.25">
      <c r="A42" s="9" t="s">
        <v>12</v>
      </c>
      <c r="B42" s="12">
        <v>250</v>
      </c>
    </row>
    <row r="43" spans="1:2" x14ac:dyDescent="0.25">
      <c r="A43" s="9" t="s">
        <v>93</v>
      </c>
      <c r="B43" s="12">
        <v>100</v>
      </c>
    </row>
    <row r="44" spans="1:2" x14ac:dyDescent="0.25">
      <c r="A44" s="9" t="s">
        <v>92</v>
      </c>
      <c r="B44" s="12">
        <v>30</v>
      </c>
    </row>
    <row r="45" spans="1:2" x14ac:dyDescent="0.25">
      <c r="A45" s="9" t="s">
        <v>109</v>
      </c>
      <c r="B45" s="12">
        <v>20</v>
      </c>
    </row>
    <row r="46" spans="1:2" x14ac:dyDescent="0.25">
      <c r="A46" s="9" t="s">
        <v>125</v>
      </c>
      <c r="B46" s="12">
        <v>20</v>
      </c>
    </row>
    <row r="47" spans="1:2" x14ac:dyDescent="0.25">
      <c r="A47" s="9" t="s">
        <v>157</v>
      </c>
      <c r="B47" s="12">
        <v>2</v>
      </c>
    </row>
    <row r="48" spans="1:2" x14ac:dyDescent="0.25">
      <c r="A48" s="9" t="s">
        <v>214</v>
      </c>
      <c r="B48" s="12">
        <v>1</v>
      </c>
    </row>
    <row r="49" spans="1:2" x14ac:dyDescent="0.25">
      <c r="A49" s="9" t="s">
        <v>153</v>
      </c>
      <c r="B49" s="12">
        <v>0.5</v>
      </c>
    </row>
    <row r="50" spans="1:2" x14ac:dyDescent="0.25">
      <c r="A50" s="8" t="s">
        <v>656</v>
      </c>
    </row>
    <row r="51" spans="1:2" x14ac:dyDescent="0.25">
      <c r="A51" s="9" t="s">
        <v>49</v>
      </c>
      <c r="B51" s="12">
        <v>1000</v>
      </c>
    </row>
    <row r="52" spans="1:2" x14ac:dyDescent="0.25">
      <c r="A52" s="9" t="s">
        <v>93</v>
      </c>
      <c r="B52" s="12">
        <v>130</v>
      </c>
    </row>
    <row r="53" spans="1:2" x14ac:dyDescent="0.25">
      <c r="A53" s="9" t="s">
        <v>125</v>
      </c>
      <c r="B53" s="12">
        <v>20</v>
      </c>
    </row>
    <row r="54" spans="1:2" x14ac:dyDescent="0.25">
      <c r="A54" s="9" t="s">
        <v>151</v>
      </c>
      <c r="B54" s="12">
        <v>3</v>
      </c>
    </row>
    <row r="55" spans="1:2" x14ac:dyDescent="0.25">
      <c r="A55" s="9" t="s">
        <v>143</v>
      </c>
      <c r="B55" s="12">
        <v>2</v>
      </c>
    </row>
    <row r="56" spans="1:2" x14ac:dyDescent="0.25">
      <c r="A56" s="9" t="s">
        <v>157</v>
      </c>
      <c r="B56" s="12">
        <v>2</v>
      </c>
    </row>
    <row r="57" spans="1:2" x14ac:dyDescent="0.25">
      <c r="A57" s="9" t="s">
        <v>131</v>
      </c>
      <c r="B57" s="12">
        <v>2</v>
      </c>
    </row>
    <row r="58" spans="1:2" x14ac:dyDescent="0.25">
      <c r="A58" s="9" t="s">
        <v>133</v>
      </c>
      <c r="B58" s="12">
        <v>2</v>
      </c>
    </row>
    <row r="59" spans="1:2" x14ac:dyDescent="0.25">
      <c r="A59" s="9" t="s">
        <v>137</v>
      </c>
      <c r="B59" s="12">
        <v>1</v>
      </c>
    </row>
    <row r="60" spans="1:2" x14ac:dyDescent="0.25">
      <c r="A60" s="9" t="s">
        <v>227</v>
      </c>
      <c r="B60" s="12">
        <v>1</v>
      </c>
    </row>
    <row r="61" spans="1:2" x14ac:dyDescent="0.25">
      <c r="A61" s="8" t="s">
        <v>557</v>
      </c>
    </row>
    <row r="62" spans="1:2" x14ac:dyDescent="0.25">
      <c r="A62" s="9" t="s">
        <v>63</v>
      </c>
      <c r="B62" s="12">
        <v>1000</v>
      </c>
    </row>
    <row r="63" spans="1:2" x14ac:dyDescent="0.25">
      <c r="A63" s="9" t="s">
        <v>93</v>
      </c>
      <c r="B63" s="12">
        <v>800</v>
      </c>
    </row>
    <row r="64" spans="1:2" x14ac:dyDescent="0.25">
      <c r="A64" s="9" t="s">
        <v>151</v>
      </c>
      <c r="B64" s="12">
        <v>10</v>
      </c>
    </row>
    <row r="65" spans="1:2" x14ac:dyDescent="0.25">
      <c r="A65" s="9" t="s">
        <v>125</v>
      </c>
      <c r="B65" s="12">
        <v>10</v>
      </c>
    </row>
    <row r="66" spans="1:2" x14ac:dyDescent="0.25">
      <c r="A66" s="9" t="s">
        <v>128</v>
      </c>
      <c r="B66" s="12">
        <v>5</v>
      </c>
    </row>
    <row r="67" spans="1:2" x14ac:dyDescent="0.25">
      <c r="A67" s="9" t="s">
        <v>133</v>
      </c>
      <c r="B67" s="12">
        <v>4</v>
      </c>
    </row>
    <row r="68" spans="1:2" x14ac:dyDescent="0.25">
      <c r="A68" s="9" t="s">
        <v>155</v>
      </c>
      <c r="B68" s="12">
        <v>3</v>
      </c>
    </row>
    <row r="69" spans="1:2" x14ac:dyDescent="0.25">
      <c r="A69" s="9" t="s">
        <v>214</v>
      </c>
      <c r="B69" s="12">
        <v>1</v>
      </c>
    </row>
    <row r="70" spans="1:2" x14ac:dyDescent="0.25">
      <c r="A70" s="8" t="s">
        <v>494</v>
      </c>
    </row>
    <row r="71" spans="1:2" x14ac:dyDescent="0.25">
      <c r="A71" s="9" t="s">
        <v>54</v>
      </c>
      <c r="B71" s="12">
        <v>500</v>
      </c>
    </row>
    <row r="72" spans="1:2" x14ac:dyDescent="0.25">
      <c r="A72" s="9" t="s">
        <v>49</v>
      </c>
      <c r="B72" s="12">
        <v>500</v>
      </c>
    </row>
    <row r="73" spans="1:2" x14ac:dyDescent="0.25">
      <c r="A73" s="9" t="s">
        <v>93</v>
      </c>
      <c r="B73" s="12">
        <v>175</v>
      </c>
    </row>
    <row r="74" spans="1:2" x14ac:dyDescent="0.25">
      <c r="A74" s="9" t="s">
        <v>128</v>
      </c>
      <c r="B74" s="12">
        <v>10</v>
      </c>
    </row>
    <row r="75" spans="1:2" x14ac:dyDescent="0.25">
      <c r="A75" s="9" t="s">
        <v>125</v>
      </c>
      <c r="B75" s="12">
        <v>10</v>
      </c>
    </row>
    <row r="76" spans="1:2" x14ac:dyDescent="0.25">
      <c r="A76" s="9" t="s">
        <v>151</v>
      </c>
      <c r="B76" s="12">
        <v>2</v>
      </c>
    </row>
    <row r="77" spans="1:2" x14ac:dyDescent="0.25">
      <c r="A77" s="9" t="s">
        <v>197</v>
      </c>
      <c r="B77" s="12">
        <v>2</v>
      </c>
    </row>
    <row r="78" spans="1:2" x14ac:dyDescent="0.25">
      <c r="A78" s="9" t="s">
        <v>133</v>
      </c>
      <c r="B78" s="12">
        <v>2</v>
      </c>
    </row>
    <row r="79" spans="1:2" x14ac:dyDescent="0.25">
      <c r="A79" s="9" t="s">
        <v>157</v>
      </c>
      <c r="B79" s="12">
        <v>1.5</v>
      </c>
    </row>
    <row r="80" spans="1:2" x14ac:dyDescent="0.25">
      <c r="A80" s="9" t="s">
        <v>135</v>
      </c>
      <c r="B80" s="12">
        <v>1</v>
      </c>
    </row>
    <row r="81" spans="1:2" x14ac:dyDescent="0.25">
      <c r="A81" s="9" t="s">
        <v>220</v>
      </c>
      <c r="B81" s="12">
        <v>1</v>
      </c>
    </row>
    <row r="82" spans="1:2" x14ac:dyDescent="0.25">
      <c r="A82" s="9" t="s">
        <v>143</v>
      </c>
      <c r="B82" s="12">
        <v>1</v>
      </c>
    </row>
    <row r="83" spans="1:2" x14ac:dyDescent="0.25">
      <c r="A83" s="8" t="s">
        <v>657</v>
      </c>
    </row>
    <row r="84" spans="1:2" x14ac:dyDescent="0.25">
      <c r="A84" s="9" t="s">
        <v>49</v>
      </c>
      <c r="B84" s="12">
        <v>400</v>
      </c>
    </row>
    <row r="85" spans="1:2" x14ac:dyDescent="0.25">
      <c r="A85" s="9" t="s">
        <v>54</v>
      </c>
      <c r="B85" s="12">
        <v>300</v>
      </c>
    </row>
    <row r="86" spans="1:2" x14ac:dyDescent="0.25">
      <c r="A86" s="9" t="s">
        <v>12</v>
      </c>
      <c r="B86" s="12">
        <v>300</v>
      </c>
    </row>
    <row r="87" spans="1:2" x14ac:dyDescent="0.25">
      <c r="A87" s="9" t="s">
        <v>128</v>
      </c>
      <c r="B87" s="12">
        <v>10</v>
      </c>
    </row>
    <row r="88" spans="1:2" x14ac:dyDescent="0.25">
      <c r="A88" s="9" t="s">
        <v>125</v>
      </c>
      <c r="B88" s="12">
        <v>10</v>
      </c>
    </row>
    <row r="89" spans="1:2" x14ac:dyDescent="0.25">
      <c r="A89" s="9" t="s">
        <v>218</v>
      </c>
      <c r="B89" s="12">
        <v>1</v>
      </c>
    </row>
    <row r="90" spans="1:2" x14ac:dyDescent="0.25">
      <c r="A90" s="9" t="s">
        <v>131</v>
      </c>
      <c r="B90" s="12">
        <v>1</v>
      </c>
    </row>
    <row r="91" spans="1:2" x14ac:dyDescent="0.25">
      <c r="A91" s="9" t="s">
        <v>151</v>
      </c>
      <c r="B91" s="12">
        <v>0.5</v>
      </c>
    </row>
    <row r="92" spans="1:2" x14ac:dyDescent="0.25">
      <c r="A92" s="9" t="s">
        <v>137</v>
      </c>
      <c r="B92" s="12">
        <v>0.5</v>
      </c>
    </row>
    <row r="93" spans="1:2" x14ac:dyDescent="0.25">
      <c r="A93" s="9" t="s">
        <v>133</v>
      </c>
      <c r="B93" s="12">
        <v>0.5</v>
      </c>
    </row>
    <row r="94" spans="1:2" x14ac:dyDescent="0.25">
      <c r="A94" s="8" t="s">
        <v>658</v>
      </c>
    </row>
    <row r="95" spans="1:2" x14ac:dyDescent="0.25">
      <c r="A95" s="9" t="s">
        <v>49</v>
      </c>
      <c r="B95" s="12">
        <v>400</v>
      </c>
    </row>
    <row r="96" spans="1:2" x14ac:dyDescent="0.25">
      <c r="A96" s="9" t="s">
        <v>12</v>
      </c>
      <c r="B96" s="12">
        <v>350</v>
      </c>
    </row>
    <row r="97" spans="1:2" x14ac:dyDescent="0.25">
      <c r="A97" s="9" t="s">
        <v>60</v>
      </c>
      <c r="B97" s="12">
        <v>250</v>
      </c>
    </row>
    <row r="98" spans="1:2" x14ac:dyDescent="0.25">
      <c r="A98" s="9" t="s">
        <v>93</v>
      </c>
      <c r="B98" s="12">
        <v>120</v>
      </c>
    </row>
    <row r="99" spans="1:2" x14ac:dyDescent="0.25">
      <c r="A99" s="9" t="s">
        <v>109</v>
      </c>
      <c r="B99" s="12">
        <v>20</v>
      </c>
    </row>
    <row r="100" spans="1:2" x14ac:dyDescent="0.25">
      <c r="A100" s="9" t="s">
        <v>128</v>
      </c>
      <c r="B100" s="12">
        <v>10</v>
      </c>
    </row>
    <row r="101" spans="1:2" x14ac:dyDescent="0.25">
      <c r="A101" s="9" t="s">
        <v>125</v>
      </c>
      <c r="B101" s="12">
        <v>10</v>
      </c>
    </row>
    <row r="102" spans="1:2" x14ac:dyDescent="0.25">
      <c r="A102" s="9" t="s">
        <v>131</v>
      </c>
      <c r="B102" s="12">
        <v>2</v>
      </c>
    </row>
    <row r="103" spans="1:2" x14ac:dyDescent="0.25">
      <c r="A103" s="9" t="s">
        <v>133</v>
      </c>
      <c r="B103" s="12">
        <v>1</v>
      </c>
    </row>
    <row r="104" spans="1:2" x14ac:dyDescent="0.25">
      <c r="A104" s="9" t="s">
        <v>214</v>
      </c>
      <c r="B104" s="12">
        <v>1</v>
      </c>
    </row>
    <row r="105" spans="1:2" x14ac:dyDescent="0.25">
      <c r="A105" s="9" t="s">
        <v>149</v>
      </c>
      <c r="B105" s="12">
        <v>0.5</v>
      </c>
    </row>
    <row r="106" spans="1:2" x14ac:dyDescent="0.25">
      <c r="A106" s="8" t="s">
        <v>462</v>
      </c>
    </row>
    <row r="107" spans="1:2" x14ac:dyDescent="0.25">
      <c r="A107" s="9" t="s">
        <v>52</v>
      </c>
      <c r="B107" s="12">
        <v>700</v>
      </c>
    </row>
    <row r="108" spans="1:2" x14ac:dyDescent="0.25">
      <c r="A108" s="9" t="s">
        <v>58</v>
      </c>
      <c r="B108" s="12">
        <v>300</v>
      </c>
    </row>
    <row r="109" spans="1:2" x14ac:dyDescent="0.25">
      <c r="A109" s="9" t="s">
        <v>93</v>
      </c>
      <c r="B109" s="12">
        <v>150</v>
      </c>
    </row>
    <row r="110" spans="1:2" x14ac:dyDescent="0.25">
      <c r="A110" s="9" t="s">
        <v>125</v>
      </c>
      <c r="B110" s="12">
        <v>18</v>
      </c>
    </row>
    <row r="111" spans="1:2" x14ac:dyDescent="0.25">
      <c r="A111" s="9" t="s">
        <v>131</v>
      </c>
      <c r="B111" s="12">
        <v>5</v>
      </c>
    </row>
    <row r="112" spans="1:2" x14ac:dyDescent="0.25">
      <c r="A112" s="9" t="s">
        <v>135</v>
      </c>
      <c r="B112" s="12">
        <v>2</v>
      </c>
    </row>
    <row r="113" spans="1:2" x14ac:dyDescent="0.25">
      <c r="A113" s="9" t="s">
        <v>151</v>
      </c>
      <c r="B113" s="12">
        <v>1.5</v>
      </c>
    </row>
    <row r="114" spans="1:2" x14ac:dyDescent="0.25">
      <c r="A114" s="9" t="s">
        <v>214</v>
      </c>
      <c r="B114" s="12">
        <v>1</v>
      </c>
    </row>
    <row r="115" spans="1:2" x14ac:dyDescent="0.25">
      <c r="A115" s="9" t="s">
        <v>149</v>
      </c>
      <c r="B115" s="12">
        <v>1</v>
      </c>
    </row>
    <row r="116" spans="1:2" x14ac:dyDescent="0.25">
      <c r="A116" s="9" t="s">
        <v>153</v>
      </c>
      <c r="B116" s="12">
        <v>0.5</v>
      </c>
    </row>
    <row r="117" spans="1:2" x14ac:dyDescent="0.25">
      <c r="A117" s="8" t="s">
        <v>530</v>
      </c>
    </row>
    <row r="118" spans="1:2" x14ac:dyDescent="0.25">
      <c r="A118" s="9" t="s">
        <v>52</v>
      </c>
      <c r="B118" s="12">
        <v>1000</v>
      </c>
    </row>
    <row r="119" spans="1:2" x14ac:dyDescent="0.25">
      <c r="A119" s="9" t="s">
        <v>93</v>
      </c>
      <c r="B119" s="12">
        <v>100</v>
      </c>
    </row>
    <row r="120" spans="1:2" x14ac:dyDescent="0.25">
      <c r="A120" s="9" t="s">
        <v>111</v>
      </c>
      <c r="B120" s="12">
        <v>50</v>
      </c>
    </row>
    <row r="121" spans="1:2" x14ac:dyDescent="0.25">
      <c r="A121" s="9" t="s">
        <v>60</v>
      </c>
      <c r="B121" s="12">
        <v>50</v>
      </c>
    </row>
    <row r="122" spans="1:2" x14ac:dyDescent="0.25">
      <c r="A122" s="9" t="s">
        <v>204</v>
      </c>
      <c r="B122" s="12">
        <v>6.5</v>
      </c>
    </row>
    <row r="123" spans="1:2" x14ac:dyDescent="0.25">
      <c r="A123" s="9" t="s">
        <v>157</v>
      </c>
      <c r="B123" s="12">
        <v>3</v>
      </c>
    </row>
    <row r="124" spans="1:2" x14ac:dyDescent="0.25">
      <c r="A124" s="9" t="s">
        <v>214</v>
      </c>
      <c r="B124" s="12">
        <v>1</v>
      </c>
    </row>
    <row r="125" spans="1:2" x14ac:dyDescent="0.25">
      <c r="A125" s="8" t="s">
        <v>600</v>
      </c>
    </row>
    <row r="126" spans="1:2" x14ac:dyDescent="0.25">
      <c r="A126" s="9" t="s">
        <v>49</v>
      </c>
      <c r="B126" s="12">
        <v>400</v>
      </c>
    </row>
    <row r="127" spans="1:2" x14ac:dyDescent="0.25">
      <c r="A127" s="9" t="s">
        <v>12</v>
      </c>
      <c r="B127" s="12">
        <v>300</v>
      </c>
    </row>
    <row r="128" spans="1:2" x14ac:dyDescent="0.25">
      <c r="A128" s="9" t="s">
        <v>58</v>
      </c>
      <c r="B128" s="12">
        <v>300</v>
      </c>
    </row>
    <row r="129" spans="1:2" x14ac:dyDescent="0.25">
      <c r="A129" s="9" t="s">
        <v>93</v>
      </c>
      <c r="B129" s="12">
        <v>150</v>
      </c>
    </row>
    <row r="130" spans="1:2" x14ac:dyDescent="0.25">
      <c r="A130" s="9" t="s">
        <v>128</v>
      </c>
      <c r="B130" s="12">
        <v>11</v>
      </c>
    </row>
    <row r="131" spans="1:2" x14ac:dyDescent="0.25">
      <c r="A131" s="9" t="s">
        <v>151</v>
      </c>
      <c r="B131" s="12">
        <v>10</v>
      </c>
    </row>
    <row r="132" spans="1:2" x14ac:dyDescent="0.25">
      <c r="A132" s="9" t="s">
        <v>125</v>
      </c>
      <c r="B132" s="12">
        <v>10</v>
      </c>
    </row>
    <row r="133" spans="1:2" x14ac:dyDescent="0.25">
      <c r="A133" s="9" t="s">
        <v>157</v>
      </c>
      <c r="B133" s="12">
        <v>2</v>
      </c>
    </row>
    <row r="134" spans="1:2" x14ac:dyDescent="0.25">
      <c r="A134" s="9" t="s">
        <v>131</v>
      </c>
      <c r="B134" s="12">
        <v>1.1000000000000001</v>
      </c>
    </row>
    <row r="135" spans="1:2" x14ac:dyDescent="0.25">
      <c r="A135" s="9" t="s">
        <v>133</v>
      </c>
      <c r="B135" s="12">
        <v>0.85</v>
      </c>
    </row>
    <row r="136" spans="1:2" x14ac:dyDescent="0.25">
      <c r="A136" s="9" t="s">
        <v>153</v>
      </c>
      <c r="B136" s="12">
        <v>0.55000000000000004</v>
      </c>
    </row>
    <row r="137" spans="1:2" x14ac:dyDescent="0.25">
      <c r="A137" s="8" t="s">
        <v>582</v>
      </c>
    </row>
    <row r="138" spans="1:2" x14ac:dyDescent="0.25">
      <c r="A138" s="9" t="s">
        <v>54</v>
      </c>
      <c r="B138" s="12">
        <v>400</v>
      </c>
    </row>
    <row r="139" spans="1:2" x14ac:dyDescent="0.25">
      <c r="A139" s="9" t="s">
        <v>12</v>
      </c>
      <c r="B139" s="12">
        <v>300</v>
      </c>
    </row>
    <row r="140" spans="1:2" x14ac:dyDescent="0.25">
      <c r="A140" s="9" t="s">
        <v>49</v>
      </c>
      <c r="B140" s="12">
        <v>300</v>
      </c>
    </row>
    <row r="141" spans="1:2" x14ac:dyDescent="0.25">
      <c r="A141" s="9" t="s">
        <v>128</v>
      </c>
      <c r="B141" s="12">
        <v>10</v>
      </c>
    </row>
    <row r="142" spans="1:2" x14ac:dyDescent="0.25">
      <c r="A142" s="9" t="s">
        <v>125</v>
      </c>
      <c r="B142" s="12">
        <v>10</v>
      </c>
    </row>
    <row r="143" spans="1:2" x14ac:dyDescent="0.25">
      <c r="A143" s="9" t="s">
        <v>151</v>
      </c>
      <c r="B143" s="12">
        <v>2</v>
      </c>
    </row>
    <row r="144" spans="1:2" x14ac:dyDescent="0.25">
      <c r="A144" s="9" t="s">
        <v>133</v>
      </c>
      <c r="B144" s="12">
        <v>2</v>
      </c>
    </row>
    <row r="145" spans="1:2" x14ac:dyDescent="0.25">
      <c r="A145" s="9" t="s">
        <v>227</v>
      </c>
      <c r="B145" s="12">
        <v>1</v>
      </c>
    </row>
    <row r="146" spans="1:2" x14ac:dyDescent="0.25">
      <c r="A146" s="9" t="s">
        <v>155</v>
      </c>
      <c r="B146" s="12">
        <v>1</v>
      </c>
    </row>
    <row r="147" spans="1:2" x14ac:dyDescent="0.25">
      <c r="A147" s="9" t="s">
        <v>147</v>
      </c>
      <c r="B147" s="12">
        <v>1</v>
      </c>
    </row>
    <row r="148" spans="1:2" x14ac:dyDescent="0.25">
      <c r="A148" s="9" t="s">
        <v>131</v>
      </c>
      <c r="B148" s="12">
        <v>1</v>
      </c>
    </row>
    <row r="149" spans="1:2" x14ac:dyDescent="0.25">
      <c r="A149" s="9" t="s">
        <v>149</v>
      </c>
      <c r="B149" s="12">
        <v>1</v>
      </c>
    </row>
    <row r="150" spans="1:2" x14ac:dyDescent="0.25">
      <c r="A150" s="8" t="s">
        <v>554</v>
      </c>
    </row>
    <row r="151" spans="1:2" x14ac:dyDescent="0.25">
      <c r="A151" s="9" t="s">
        <v>78</v>
      </c>
      <c r="B151" s="12">
        <v>1000</v>
      </c>
    </row>
    <row r="152" spans="1:2" x14ac:dyDescent="0.25">
      <c r="A152" s="9" t="s">
        <v>128</v>
      </c>
      <c r="B152" s="12">
        <v>16</v>
      </c>
    </row>
    <row r="153" spans="1:2" x14ac:dyDescent="0.25">
      <c r="A153" s="9" t="s">
        <v>93</v>
      </c>
      <c r="B153" s="12">
        <v>5</v>
      </c>
    </row>
    <row r="154" spans="1:2" x14ac:dyDescent="0.25">
      <c r="A154" s="9" t="s">
        <v>131</v>
      </c>
      <c r="B154" s="12">
        <v>3.5</v>
      </c>
    </row>
    <row r="155" spans="1:2" x14ac:dyDescent="0.25">
      <c r="A155" s="9" t="s">
        <v>151</v>
      </c>
      <c r="B155" s="12">
        <v>3</v>
      </c>
    </row>
    <row r="156" spans="1:2" x14ac:dyDescent="0.25">
      <c r="A156" s="9" t="s">
        <v>135</v>
      </c>
      <c r="B156" s="12">
        <v>2.5</v>
      </c>
    </row>
    <row r="157" spans="1:2" x14ac:dyDescent="0.25">
      <c r="A157" s="9" t="s">
        <v>220</v>
      </c>
      <c r="B157" s="12">
        <v>1</v>
      </c>
    </row>
    <row r="158" spans="1:2" x14ac:dyDescent="0.25">
      <c r="A158" s="9" t="s">
        <v>149</v>
      </c>
      <c r="B158" s="12">
        <v>1</v>
      </c>
    </row>
    <row r="159" spans="1:2" x14ac:dyDescent="0.25">
      <c r="A159" s="9" t="s">
        <v>143</v>
      </c>
      <c r="B159" s="12">
        <v>0.5</v>
      </c>
    </row>
    <row r="160" spans="1:2" x14ac:dyDescent="0.25">
      <c r="A160" s="9" t="s">
        <v>115</v>
      </c>
      <c r="B160" s="12">
        <v>0.1</v>
      </c>
    </row>
    <row r="161" spans="1:2" x14ac:dyDescent="0.25">
      <c r="A161" s="8" t="s">
        <v>360</v>
      </c>
    </row>
    <row r="162" spans="1:2" x14ac:dyDescent="0.25">
      <c r="A162" s="9" t="s">
        <v>54</v>
      </c>
      <c r="B162" s="12">
        <v>250</v>
      </c>
    </row>
    <row r="163" spans="1:2" x14ac:dyDescent="0.25">
      <c r="A163" s="9" t="s">
        <v>64</v>
      </c>
      <c r="B163" s="12">
        <v>250</v>
      </c>
    </row>
    <row r="164" spans="1:2" x14ac:dyDescent="0.25">
      <c r="A164" s="9" t="s">
        <v>49</v>
      </c>
      <c r="B164" s="12">
        <v>250</v>
      </c>
    </row>
    <row r="165" spans="1:2" x14ac:dyDescent="0.25">
      <c r="A165" s="9" t="s">
        <v>93</v>
      </c>
      <c r="B165" s="12">
        <v>187.5</v>
      </c>
    </row>
    <row r="166" spans="1:2" x14ac:dyDescent="0.25">
      <c r="A166" s="9" t="s">
        <v>117</v>
      </c>
      <c r="B166" s="12">
        <v>62.5</v>
      </c>
    </row>
    <row r="167" spans="1:2" x14ac:dyDescent="0.25">
      <c r="A167" s="9" t="s">
        <v>119</v>
      </c>
      <c r="B167" s="12">
        <v>25</v>
      </c>
    </row>
    <row r="168" spans="1:2" x14ac:dyDescent="0.25">
      <c r="A168" s="9" t="s">
        <v>128</v>
      </c>
      <c r="B168" s="12">
        <v>11</v>
      </c>
    </row>
    <row r="169" spans="1:2" x14ac:dyDescent="0.25">
      <c r="A169" s="9" t="s">
        <v>125</v>
      </c>
      <c r="B169" s="12">
        <v>11</v>
      </c>
    </row>
    <row r="170" spans="1:2" x14ac:dyDescent="0.25">
      <c r="A170" s="9" t="s">
        <v>151</v>
      </c>
      <c r="B170" s="12">
        <v>2</v>
      </c>
    </row>
    <row r="171" spans="1:2" x14ac:dyDescent="0.25">
      <c r="A171" s="9" t="s">
        <v>177</v>
      </c>
      <c r="B171" s="12">
        <v>2</v>
      </c>
    </row>
    <row r="172" spans="1:2" x14ac:dyDescent="0.25">
      <c r="A172" s="9" t="s">
        <v>133</v>
      </c>
      <c r="B172" s="12">
        <v>2</v>
      </c>
    </row>
    <row r="173" spans="1:2" x14ac:dyDescent="0.25">
      <c r="A173" s="9" t="s">
        <v>214</v>
      </c>
      <c r="B173" s="12">
        <v>1</v>
      </c>
    </row>
    <row r="174" spans="1:2" x14ac:dyDescent="0.25">
      <c r="A174" s="9" t="s">
        <v>153</v>
      </c>
      <c r="B174" s="12">
        <v>1</v>
      </c>
    </row>
    <row r="175" spans="1:2" x14ac:dyDescent="0.25">
      <c r="A175" s="8" t="s">
        <v>611</v>
      </c>
      <c r="B175" s="12">
        <v>17704.3</v>
      </c>
    </row>
    <row r="176" spans="1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D748-1E47-4979-B65D-0A461A156DCF}">
  <sheetPr>
    <tabColor rgb="FFFF0000"/>
  </sheetPr>
  <dimension ref="A1:F68"/>
  <sheetViews>
    <sheetView showGridLines="0" zoomScaleNormal="100" workbookViewId="0">
      <pane ySplit="1" topLeftCell="A11" activePane="bottomLeft" state="frozen"/>
      <selection pane="bottomLeft" activeCell="G14" sqref="G14"/>
    </sheetView>
  </sheetViews>
  <sheetFormatPr defaultRowHeight="15" x14ac:dyDescent="0.25"/>
  <cols>
    <col min="1" max="1" width="27.42578125" bestFit="1" customWidth="1"/>
    <col min="2" max="2" width="9.7109375" style="31" bestFit="1" customWidth="1"/>
    <col min="3" max="3" width="8.42578125" bestFit="1" customWidth="1"/>
    <col min="4" max="4" width="7.42578125" bestFit="1" customWidth="1"/>
    <col min="5" max="5" width="9.140625" bestFit="1" customWidth="1"/>
    <col min="6" max="6" width="9.7109375" bestFit="1" customWidth="1"/>
    <col min="7" max="7" width="6.28515625" customWidth="1"/>
  </cols>
  <sheetData>
    <row r="1" spans="1:6" x14ac:dyDescent="0.25">
      <c r="A1" s="7" t="s">
        <v>609</v>
      </c>
      <c r="B1" t="s">
        <v>612</v>
      </c>
      <c r="C1" t="s">
        <v>613</v>
      </c>
      <c r="D1" t="s">
        <v>3</v>
      </c>
      <c r="E1" t="s">
        <v>614</v>
      </c>
      <c r="F1" t="s">
        <v>615</v>
      </c>
    </row>
    <row r="2" spans="1:6" x14ac:dyDescent="0.25">
      <c r="A2" s="8" t="s">
        <v>30</v>
      </c>
      <c r="B2" s="4"/>
      <c r="C2" s="10"/>
      <c r="D2" s="10"/>
      <c r="E2" s="13"/>
      <c r="F2" s="4"/>
    </row>
    <row r="3" spans="1:6" x14ac:dyDescent="0.25">
      <c r="A3" s="9" t="s">
        <v>567</v>
      </c>
      <c r="B3" s="4">
        <v>607.22303030303033</v>
      </c>
      <c r="C3" s="10">
        <v>0.5</v>
      </c>
      <c r="D3" s="10">
        <v>0.05</v>
      </c>
      <c r="E3" s="13">
        <v>317.80875199362038</v>
      </c>
      <c r="F3" s="4">
        <v>960</v>
      </c>
    </row>
    <row r="4" spans="1:6" x14ac:dyDescent="0.25">
      <c r="A4" s="9" t="s">
        <v>643</v>
      </c>
      <c r="B4" s="4">
        <v>472.59006141414142</v>
      </c>
      <c r="C4" s="10">
        <v>0.7</v>
      </c>
      <c r="D4" s="10">
        <v>0.15</v>
      </c>
      <c r="E4" s="13">
        <v>377.90739593107548</v>
      </c>
      <c r="F4" s="4">
        <v>920</v>
      </c>
    </row>
    <row r="5" spans="1:6" x14ac:dyDescent="0.25">
      <c r="A5" s="9" t="s">
        <v>603</v>
      </c>
      <c r="B5" s="4">
        <v>297.14525151515153</v>
      </c>
      <c r="C5" s="10">
        <v>0.5</v>
      </c>
      <c r="D5" s="10">
        <v>0.05</v>
      </c>
      <c r="E5" s="13">
        <v>155.51978365231261</v>
      </c>
      <c r="F5" s="4">
        <v>470</v>
      </c>
    </row>
    <row r="6" spans="1:6" x14ac:dyDescent="0.25">
      <c r="A6" s="9" t="s">
        <v>580</v>
      </c>
      <c r="B6" s="4">
        <v>213.59862063492059</v>
      </c>
      <c r="C6" s="10">
        <v>0.5</v>
      </c>
      <c r="D6" s="10">
        <v>0.05</v>
      </c>
      <c r="E6" s="13">
        <v>110.73888926482871</v>
      </c>
      <c r="F6" s="4">
        <v>340</v>
      </c>
    </row>
    <row r="7" spans="1:6" x14ac:dyDescent="0.25">
      <c r="A7" s="9" t="s">
        <v>597</v>
      </c>
      <c r="B7" s="4">
        <v>139.77537878787879</v>
      </c>
      <c r="C7" s="10">
        <v>0.5</v>
      </c>
      <c r="D7" s="10">
        <v>0.05</v>
      </c>
      <c r="E7" s="13">
        <v>71.343684130781511</v>
      </c>
      <c r="F7" s="4">
        <v>220</v>
      </c>
    </row>
    <row r="8" spans="1:6" x14ac:dyDescent="0.25">
      <c r="A8" s="9" t="s">
        <v>599</v>
      </c>
      <c r="B8" s="4">
        <v>93.047807040998208</v>
      </c>
      <c r="C8" s="10">
        <v>0.5</v>
      </c>
      <c r="D8" s="10">
        <v>0</v>
      </c>
      <c r="E8" s="13">
        <v>46.523903520499104</v>
      </c>
      <c r="F8" s="4">
        <v>140</v>
      </c>
    </row>
    <row r="9" spans="1:6" x14ac:dyDescent="0.25">
      <c r="A9" s="9" t="s">
        <v>606</v>
      </c>
      <c r="B9" s="4">
        <v>79.9166568627451</v>
      </c>
      <c r="C9" s="10">
        <v>0.5</v>
      </c>
      <c r="D9" s="10">
        <v>0.05</v>
      </c>
      <c r="E9" s="13">
        <v>41.186275799793599</v>
      </c>
      <c r="F9" s="4">
        <v>130</v>
      </c>
    </row>
    <row r="10" spans="1:6" x14ac:dyDescent="0.25">
      <c r="A10" s="9" t="s">
        <v>659</v>
      </c>
      <c r="B10" s="4">
        <v>56.810715906587355</v>
      </c>
      <c r="C10" s="10">
        <v>0.5</v>
      </c>
      <c r="D10" s="10">
        <v>0.05</v>
      </c>
      <c r="E10" s="13">
        <v>28.931621111188417</v>
      </c>
      <c r="F10" s="4">
        <v>90</v>
      </c>
    </row>
    <row r="11" spans="1:6" x14ac:dyDescent="0.25">
      <c r="A11" s="9" t="s">
        <v>596</v>
      </c>
      <c r="B11" s="4">
        <v>51.103758426966294</v>
      </c>
      <c r="C11" s="10">
        <v>0.5</v>
      </c>
      <c r="D11" s="10">
        <v>0</v>
      </c>
      <c r="E11" s="13">
        <v>25.551879213483144</v>
      </c>
      <c r="F11" s="4">
        <v>80</v>
      </c>
    </row>
    <row r="12" spans="1:6" x14ac:dyDescent="0.25">
      <c r="A12" s="8" t="s">
        <v>8</v>
      </c>
      <c r="B12" s="4"/>
      <c r="C12" s="10"/>
      <c r="D12" s="10"/>
      <c r="E12" s="13"/>
      <c r="F12" s="4"/>
    </row>
    <row r="13" spans="1:6" x14ac:dyDescent="0.25">
      <c r="A13" s="9" t="s">
        <v>325</v>
      </c>
      <c r="B13" s="4">
        <v>647.49017625379395</v>
      </c>
      <c r="C13" s="10">
        <v>2</v>
      </c>
      <c r="D13" s="10">
        <v>0.35</v>
      </c>
      <c r="E13" s="13">
        <v>1949.2030448152805</v>
      </c>
      <c r="F13" s="4">
        <v>2930</v>
      </c>
    </row>
    <row r="14" spans="1:6" x14ac:dyDescent="0.25">
      <c r="A14" s="9" t="s">
        <v>317</v>
      </c>
      <c r="B14" s="4">
        <v>634.48483935539832</v>
      </c>
      <c r="C14" s="10">
        <v>2</v>
      </c>
      <c r="D14" s="10">
        <v>0.35</v>
      </c>
      <c r="E14" s="13">
        <v>1909.7308325569509</v>
      </c>
      <c r="F14" s="4">
        <v>2870</v>
      </c>
    </row>
    <row r="15" spans="1:6" x14ac:dyDescent="0.25">
      <c r="A15" s="9" t="s">
        <v>539</v>
      </c>
      <c r="B15" s="4">
        <v>609.6133717777501</v>
      </c>
      <c r="C15" s="10">
        <v>2</v>
      </c>
      <c r="D15" s="10">
        <v>0.35</v>
      </c>
      <c r="E15" s="13">
        <v>1816.6417435554997</v>
      </c>
      <c r="F15" s="4">
        <v>2730</v>
      </c>
    </row>
    <row r="16" spans="1:6" x14ac:dyDescent="0.25">
      <c r="A16" s="9" t="s">
        <v>594</v>
      </c>
      <c r="B16" s="4">
        <v>594.24726716288467</v>
      </c>
      <c r="C16" s="10">
        <v>2</v>
      </c>
      <c r="D16" s="10">
        <v>0.35</v>
      </c>
      <c r="E16" s="13">
        <v>1724.2583804796154</v>
      </c>
      <c r="F16" s="4">
        <v>2590</v>
      </c>
    </row>
    <row r="17" spans="1:6" x14ac:dyDescent="0.25">
      <c r="A17" s="9" t="s">
        <v>607</v>
      </c>
      <c r="B17" s="4">
        <v>557.06793382955152</v>
      </c>
      <c r="C17" s="10">
        <v>2</v>
      </c>
      <c r="D17" s="10">
        <v>0.35</v>
      </c>
      <c r="E17" s="13">
        <v>1658.192559966795</v>
      </c>
      <c r="F17" s="4">
        <v>2490</v>
      </c>
    </row>
    <row r="18" spans="1:6" x14ac:dyDescent="0.25">
      <c r="A18" s="9" t="s">
        <v>415</v>
      </c>
      <c r="B18" s="4">
        <v>465.67430905236785</v>
      </c>
      <c r="C18" s="10">
        <v>2</v>
      </c>
      <c r="D18" s="10">
        <v>0.35</v>
      </c>
      <c r="E18" s="13">
        <v>1341.8695411816589</v>
      </c>
      <c r="F18" s="4">
        <v>2020</v>
      </c>
    </row>
    <row r="19" spans="1:6" x14ac:dyDescent="0.25">
      <c r="A19" s="9" t="s">
        <v>404</v>
      </c>
      <c r="B19" s="4">
        <v>473.84045700245696</v>
      </c>
      <c r="C19" s="10">
        <v>2</v>
      </c>
      <c r="D19" s="10">
        <v>0.35</v>
      </c>
      <c r="E19" s="13">
        <v>1337.6347601587606</v>
      </c>
      <c r="F19" s="4">
        <v>2010</v>
      </c>
    </row>
    <row r="20" spans="1:6" x14ac:dyDescent="0.25">
      <c r="A20" s="9" t="s">
        <v>426</v>
      </c>
      <c r="B20" s="4">
        <v>433.31464201043144</v>
      </c>
      <c r="C20" s="10">
        <v>2</v>
      </c>
      <c r="D20" s="10">
        <v>0.35</v>
      </c>
      <c r="E20" s="13">
        <v>1264.0138994054785</v>
      </c>
      <c r="F20" s="4">
        <v>1900</v>
      </c>
    </row>
    <row r="21" spans="1:6" x14ac:dyDescent="0.25">
      <c r="A21" s="9" t="s">
        <v>334</v>
      </c>
      <c r="B21" s="4">
        <v>427.18616513642826</v>
      </c>
      <c r="C21" s="10">
        <v>2</v>
      </c>
      <c r="D21" s="10">
        <v>0.35</v>
      </c>
      <c r="E21" s="13">
        <v>1236.8954071959333</v>
      </c>
      <c r="F21" s="4">
        <v>1860</v>
      </c>
    </row>
    <row r="22" spans="1:6" x14ac:dyDescent="0.25">
      <c r="A22" s="9" t="s">
        <v>360</v>
      </c>
      <c r="B22" s="4">
        <v>602.71815293141231</v>
      </c>
      <c r="C22" s="10">
        <v>0.7</v>
      </c>
      <c r="D22" s="10">
        <v>0.15</v>
      </c>
      <c r="E22" s="13">
        <v>480.54767764022392</v>
      </c>
      <c r="F22" s="4">
        <v>1170</v>
      </c>
    </row>
    <row r="23" spans="1:6" x14ac:dyDescent="0.25">
      <c r="A23" s="9" t="s">
        <v>444</v>
      </c>
      <c r="B23" s="4">
        <v>519.33864808108865</v>
      </c>
      <c r="C23" s="10">
        <v>0.9</v>
      </c>
      <c r="D23" s="10">
        <v>0.15</v>
      </c>
      <c r="E23" s="13">
        <v>545.16383033180352</v>
      </c>
      <c r="F23" s="4">
        <v>1160</v>
      </c>
    </row>
    <row r="24" spans="1:6" x14ac:dyDescent="0.25">
      <c r="A24" s="9" t="s">
        <v>582</v>
      </c>
      <c r="B24" s="4">
        <v>534.19346821152692</v>
      </c>
      <c r="C24" s="10">
        <v>0.7</v>
      </c>
      <c r="D24" s="10">
        <v>0.15</v>
      </c>
      <c r="E24" s="13">
        <v>435.16809245395115</v>
      </c>
      <c r="F24" s="4">
        <v>1060</v>
      </c>
    </row>
    <row r="25" spans="1:6" x14ac:dyDescent="0.25">
      <c r="A25" s="9" t="s">
        <v>375</v>
      </c>
      <c r="B25" s="4">
        <v>522.9038644971979</v>
      </c>
      <c r="C25" s="10">
        <v>0.7</v>
      </c>
      <c r="D25" s="10">
        <v>0.15</v>
      </c>
      <c r="E25" s="13">
        <v>428.46397573627388</v>
      </c>
      <c r="F25" s="4">
        <v>1050</v>
      </c>
    </row>
    <row r="26" spans="1:6" x14ac:dyDescent="0.25">
      <c r="A26" s="9" t="s">
        <v>530</v>
      </c>
      <c r="B26" s="4">
        <v>516.76095332666921</v>
      </c>
      <c r="C26" s="10">
        <v>0.7</v>
      </c>
      <c r="D26" s="10">
        <v>0.15</v>
      </c>
      <c r="E26" s="13">
        <v>409.16796144631553</v>
      </c>
      <c r="F26" s="4">
        <v>1000</v>
      </c>
    </row>
    <row r="27" spans="1:6" x14ac:dyDescent="0.25">
      <c r="A27" s="9" t="s">
        <v>378</v>
      </c>
      <c r="B27" s="4">
        <v>495.89389985073342</v>
      </c>
      <c r="C27" s="10">
        <v>0.7</v>
      </c>
      <c r="D27" s="10">
        <v>0.15</v>
      </c>
      <c r="E27" s="13">
        <v>405.32000342492512</v>
      </c>
      <c r="F27" s="4">
        <v>990</v>
      </c>
    </row>
    <row r="28" spans="1:6" x14ac:dyDescent="0.25">
      <c r="A28" s="9" t="s">
        <v>494</v>
      </c>
      <c r="B28" s="4">
        <v>449.40096404994824</v>
      </c>
      <c r="C28" s="10">
        <v>0.9</v>
      </c>
      <c r="D28" s="10">
        <v>0.15</v>
      </c>
      <c r="E28" s="13">
        <v>467.91007352730651</v>
      </c>
      <c r="F28" s="4">
        <v>990</v>
      </c>
    </row>
    <row r="29" spans="1:6" x14ac:dyDescent="0.25">
      <c r="A29" s="9" t="s">
        <v>600</v>
      </c>
      <c r="B29" s="4">
        <v>464.58150089126548</v>
      </c>
      <c r="C29" s="10">
        <v>0.7</v>
      </c>
      <c r="D29" s="10">
        <v>0.15</v>
      </c>
      <c r="E29" s="13">
        <v>380.86903297682699</v>
      </c>
      <c r="F29" s="4">
        <v>930</v>
      </c>
    </row>
    <row r="30" spans="1:6" x14ac:dyDescent="0.25">
      <c r="A30" s="9" t="s">
        <v>248</v>
      </c>
      <c r="B30" s="4">
        <v>464.76095332666921</v>
      </c>
      <c r="C30" s="10">
        <v>0.7</v>
      </c>
      <c r="D30" s="10">
        <v>0.15</v>
      </c>
      <c r="E30" s="13">
        <v>379.16647615219779</v>
      </c>
      <c r="F30" s="4">
        <v>930</v>
      </c>
    </row>
    <row r="31" spans="1:6" x14ac:dyDescent="0.25">
      <c r="A31" s="9" t="s">
        <v>447</v>
      </c>
      <c r="B31" s="4">
        <v>411.76518894830656</v>
      </c>
      <c r="C31" s="10">
        <v>0.7</v>
      </c>
      <c r="D31" s="10">
        <v>0.15</v>
      </c>
      <c r="E31" s="13">
        <v>333.81798520499098</v>
      </c>
      <c r="F31" s="4">
        <v>820</v>
      </c>
    </row>
    <row r="32" spans="1:6" x14ac:dyDescent="0.25">
      <c r="A32" s="9" t="s">
        <v>391</v>
      </c>
      <c r="B32" s="4">
        <v>398.52849806820211</v>
      </c>
      <c r="C32" s="10">
        <v>0.7</v>
      </c>
      <c r="D32" s="10">
        <v>0.15</v>
      </c>
      <c r="E32" s="13">
        <v>325.6070698242122</v>
      </c>
      <c r="F32" s="4">
        <v>800</v>
      </c>
    </row>
    <row r="33" spans="1:6" x14ac:dyDescent="0.25">
      <c r="A33" s="9" t="s">
        <v>554</v>
      </c>
      <c r="B33" s="4">
        <v>358.08056743675752</v>
      </c>
      <c r="C33" s="10">
        <v>0.9</v>
      </c>
      <c r="D33" s="10">
        <v>0.15</v>
      </c>
      <c r="E33" s="13">
        <v>371.14128897362491</v>
      </c>
      <c r="F33" s="4">
        <v>790</v>
      </c>
    </row>
    <row r="34" spans="1:6" x14ac:dyDescent="0.25">
      <c r="A34" s="9" t="s">
        <v>462</v>
      </c>
      <c r="B34" s="4">
        <v>368.20730448531441</v>
      </c>
      <c r="C34" s="10">
        <v>0.7</v>
      </c>
      <c r="D34" s="10">
        <v>0.15</v>
      </c>
      <c r="E34" s="13">
        <v>300.77040725736731</v>
      </c>
      <c r="F34" s="4">
        <v>740</v>
      </c>
    </row>
    <row r="35" spans="1:6" x14ac:dyDescent="0.25">
      <c r="A35" s="9" t="s">
        <v>450</v>
      </c>
      <c r="B35" s="4">
        <v>288.22108969030558</v>
      </c>
      <c r="C35" s="10">
        <v>0.7</v>
      </c>
      <c r="D35" s="10">
        <v>0.15</v>
      </c>
      <c r="E35" s="13">
        <v>235.17975067248724</v>
      </c>
      <c r="F35" s="4">
        <v>580</v>
      </c>
    </row>
    <row r="36" spans="1:6" x14ac:dyDescent="0.25">
      <c r="A36" s="9" t="s">
        <v>557</v>
      </c>
      <c r="B36" s="4">
        <v>126.67813514485101</v>
      </c>
      <c r="C36" s="10">
        <v>0.7</v>
      </c>
      <c r="D36" s="10">
        <v>0.15</v>
      </c>
      <c r="E36" s="13">
        <v>101.02763577786629</v>
      </c>
      <c r="F36" s="4">
        <v>250</v>
      </c>
    </row>
    <row r="37" spans="1:6" x14ac:dyDescent="0.25">
      <c r="A37" s="8" t="s">
        <v>13</v>
      </c>
      <c r="B37" s="4"/>
      <c r="C37" s="10"/>
      <c r="D37" s="10"/>
      <c r="E37" s="13"/>
      <c r="F37" s="4"/>
    </row>
    <row r="38" spans="1:6" x14ac:dyDescent="0.25">
      <c r="A38" s="9" t="s">
        <v>569</v>
      </c>
      <c r="B38" s="4">
        <v>675.98431372549032</v>
      </c>
      <c r="C38" s="10">
        <v>2</v>
      </c>
      <c r="D38" s="10">
        <v>0.35</v>
      </c>
      <c r="E38" s="13">
        <v>2069.9173453996987</v>
      </c>
      <c r="F38" s="4">
        <v>3110</v>
      </c>
    </row>
    <row r="39" spans="1:6" x14ac:dyDescent="0.25">
      <c r="A39" s="9" t="s">
        <v>605</v>
      </c>
      <c r="B39" s="4">
        <v>1378.7458692810453</v>
      </c>
      <c r="C39" s="10">
        <v>0.5</v>
      </c>
      <c r="D39" s="10">
        <v>0.05</v>
      </c>
      <c r="E39" s="13">
        <v>725.5242504299963</v>
      </c>
      <c r="F39" s="4">
        <v>2180</v>
      </c>
    </row>
    <row r="40" spans="1:6" x14ac:dyDescent="0.25">
      <c r="A40" s="9" t="s">
        <v>574</v>
      </c>
      <c r="B40" s="4">
        <v>373.38920168067222</v>
      </c>
      <c r="C40" s="10">
        <v>2</v>
      </c>
      <c r="D40" s="10">
        <v>0.35</v>
      </c>
      <c r="E40" s="13">
        <v>1116.0091725921134</v>
      </c>
      <c r="F40" s="4">
        <v>1680</v>
      </c>
    </row>
    <row r="41" spans="1:6" x14ac:dyDescent="0.25">
      <c r="A41" s="9" t="s">
        <v>300</v>
      </c>
      <c r="B41" s="4">
        <v>428.31</v>
      </c>
      <c r="C41" s="10">
        <v>1</v>
      </c>
      <c r="D41" s="10">
        <v>0.15</v>
      </c>
      <c r="E41" s="13">
        <v>503.31</v>
      </c>
      <c r="F41" s="4">
        <v>1010</v>
      </c>
    </row>
    <row r="42" spans="1:6" x14ac:dyDescent="0.25">
      <c r="A42" s="9" t="s">
        <v>577</v>
      </c>
      <c r="B42" s="4">
        <v>438.19764812834228</v>
      </c>
      <c r="C42" s="10">
        <v>0.9</v>
      </c>
      <c r="D42" s="10">
        <v>0.1</v>
      </c>
      <c r="E42" s="13">
        <v>436.87788331550792</v>
      </c>
      <c r="F42" s="4">
        <v>930</v>
      </c>
    </row>
    <row r="43" spans="1:6" x14ac:dyDescent="0.25">
      <c r="A43" s="9" t="s">
        <v>311</v>
      </c>
      <c r="B43" s="4">
        <v>389.34390756302525</v>
      </c>
      <c r="C43" s="10">
        <v>1</v>
      </c>
      <c r="D43" s="10">
        <v>0.15</v>
      </c>
      <c r="E43" s="13">
        <v>456.14810924369755</v>
      </c>
      <c r="F43" s="4">
        <v>920</v>
      </c>
    </row>
    <row r="44" spans="1:6" x14ac:dyDescent="0.25">
      <c r="A44" s="9" t="s">
        <v>571</v>
      </c>
      <c r="B44" s="4">
        <v>359.82981184110002</v>
      </c>
      <c r="C44" s="10">
        <v>0.9</v>
      </c>
      <c r="D44" s="10">
        <v>0.1</v>
      </c>
      <c r="E44" s="13">
        <v>358.13254494270433</v>
      </c>
      <c r="F44" s="4">
        <v>760</v>
      </c>
    </row>
    <row r="45" spans="1:6" x14ac:dyDescent="0.25">
      <c r="A45" s="9" t="s">
        <v>301</v>
      </c>
      <c r="B45" s="4">
        <v>259.51297504456329</v>
      </c>
      <c r="C45" s="10">
        <v>1</v>
      </c>
      <c r="D45" s="10">
        <v>0.15</v>
      </c>
      <c r="E45" s="13">
        <v>303.63062210338683</v>
      </c>
      <c r="F45" s="4">
        <v>610</v>
      </c>
    </row>
    <row r="46" spans="1:6" x14ac:dyDescent="0.25">
      <c r="A46" s="9" t="s">
        <v>346</v>
      </c>
      <c r="B46" s="4">
        <v>364.56290542398779</v>
      </c>
      <c r="C46" s="10">
        <v>0.5</v>
      </c>
      <c r="D46" s="10">
        <v>0.05</v>
      </c>
      <c r="E46" s="13">
        <v>191.30400910297132</v>
      </c>
      <c r="F46" s="4">
        <v>580</v>
      </c>
    </row>
    <row r="47" spans="1:6" x14ac:dyDescent="0.25">
      <c r="A47" s="8" t="s">
        <v>21</v>
      </c>
      <c r="B47" s="4"/>
      <c r="C47" s="10"/>
      <c r="D47" s="10"/>
      <c r="E47" s="13"/>
      <c r="F47" s="4"/>
    </row>
    <row r="48" spans="1:6" x14ac:dyDescent="0.25">
      <c r="A48" s="9" t="s">
        <v>521</v>
      </c>
      <c r="B48" s="4">
        <v>619.49018014963133</v>
      </c>
      <c r="C48" s="10">
        <v>0.7</v>
      </c>
      <c r="D48" s="10">
        <v>0.15</v>
      </c>
      <c r="E48" s="13">
        <v>504.05365551650658</v>
      </c>
      <c r="F48" s="4">
        <v>1230</v>
      </c>
    </row>
    <row r="49" spans="1:6" x14ac:dyDescent="0.25">
      <c r="A49" s="9" t="s">
        <v>475</v>
      </c>
      <c r="B49" s="4">
        <v>604.91358989665071</v>
      </c>
      <c r="C49" s="10">
        <v>0.7</v>
      </c>
      <c r="D49" s="10">
        <v>0.15</v>
      </c>
      <c r="E49" s="13">
        <v>482.58435763353782</v>
      </c>
      <c r="F49" s="4">
        <v>1180</v>
      </c>
    </row>
    <row r="50" spans="1:6" x14ac:dyDescent="0.25">
      <c r="A50" s="9" t="s">
        <v>631</v>
      </c>
      <c r="B50" s="4">
        <v>445.31876365580553</v>
      </c>
      <c r="C50" s="10">
        <v>0.9</v>
      </c>
      <c r="D50" s="10">
        <v>0.15</v>
      </c>
      <c r="E50" s="13">
        <v>461.07566376081337</v>
      </c>
      <c r="F50" s="4">
        <v>980</v>
      </c>
    </row>
    <row r="51" spans="1:6" x14ac:dyDescent="0.25">
      <c r="A51" s="9" t="s">
        <v>258</v>
      </c>
      <c r="B51" s="4">
        <v>467.5551266736955</v>
      </c>
      <c r="C51" s="10">
        <v>0.7</v>
      </c>
      <c r="D51" s="10">
        <v>0.15</v>
      </c>
      <c r="E51" s="13">
        <v>353.56377413871479</v>
      </c>
      <c r="F51" s="4">
        <v>860</v>
      </c>
    </row>
    <row r="52" spans="1:6" x14ac:dyDescent="0.25">
      <c r="A52" s="9" t="s">
        <v>508</v>
      </c>
      <c r="B52" s="4">
        <v>430.44529738328163</v>
      </c>
      <c r="C52" s="10">
        <v>0.7</v>
      </c>
      <c r="D52" s="10">
        <v>0.15</v>
      </c>
      <c r="E52" s="13">
        <v>346.89406110947368</v>
      </c>
      <c r="F52" s="4">
        <v>850</v>
      </c>
    </row>
    <row r="53" spans="1:6" x14ac:dyDescent="0.25">
      <c r="A53" s="9" t="s">
        <v>270</v>
      </c>
      <c r="B53" s="4">
        <v>415.321769159871</v>
      </c>
      <c r="C53" s="10">
        <v>0.7</v>
      </c>
      <c r="D53" s="10">
        <v>0.15</v>
      </c>
      <c r="E53" s="13">
        <v>336.3075913530862</v>
      </c>
      <c r="F53" s="4">
        <v>820</v>
      </c>
    </row>
    <row r="54" spans="1:6" x14ac:dyDescent="0.25">
      <c r="A54" s="9" t="s">
        <v>561</v>
      </c>
      <c r="B54" s="4">
        <v>384.17357367561675</v>
      </c>
      <c r="C54" s="10">
        <v>0.7</v>
      </c>
      <c r="D54" s="10">
        <v>0.15</v>
      </c>
      <c r="E54" s="13">
        <v>301.18447735147839</v>
      </c>
      <c r="F54" s="4">
        <v>740</v>
      </c>
    </row>
    <row r="55" spans="1:6" x14ac:dyDescent="0.25">
      <c r="A55" s="8" t="s">
        <v>26</v>
      </c>
      <c r="B55" s="4"/>
      <c r="C55" s="10"/>
      <c r="D55" s="10"/>
      <c r="E55" s="13"/>
      <c r="F55" s="4"/>
    </row>
    <row r="56" spans="1:6" x14ac:dyDescent="0.25">
      <c r="A56" s="9" t="s">
        <v>548</v>
      </c>
      <c r="B56" s="4">
        <v>76.199999999999989</v>
      </c>
      <c r="C56" s="10">
        <v>3</v>
      </c>
      <c r="D56" s="10">
        <v>0.92</v>
      </c>
      <c r="E56" s="13">
        <v>2528.3700000000013</v>
      </c>
      <c r="F56" s="4">
        <v>3380</v>
      </c>
    </row>
    <row r="57" spans="1:6" x14ac:dyDescent="0.25">
      <c r="A57" s="9" t="s">
        <v>551</v>
      </c>
      <c r="B57" s="4">
        <v>67.014999999999986</v>
      </c>
      <c r="C57" s="10">
        <v>3</v>
      </c>
      <c r="D57" s="10">
        <v>0.92</v>
      </c>
      <c r="E57" s="13">
        <v>2500.815000000001</v>
      </c>
      <c r="F57" s="4">
        <v>3340</v>
      </c>
    </row>
    <row r="58" spans="1:6" x14ac:dyDescent="0.25">
      <c r="A58" s="8" t="s">
        <v>17</v>
      </c>
      <c r="B58" s="4"/>
      <c r="C58" s="10"/>
      <c r="D58" s="10"/>
      <c r="E58" s="13"/>
      <c r="F58" s="4"/>
    </row>
    <row r="59" spans="1:6" x14ac:dyDescent="0.25">
      <c r="A59" s="9" t="s">
        <v>588</v>
      </c>
      <c r="B59" s="4">
        <v>470.91147647058824</v>
      </c>
      <c r="C59" s="10">
        <v>2</v>
      </c>
      <c r="D59" s="10">
        <v>0.35</v>
      </c>
      <c r="E59" s="13">
        <v>1404.8891067873299</v>
      </c>
      <c r="F59" s="4">
        <v>2110</v>
      </c>
    </row>
    <row r="60" spans="1:6" x14ac:dyDescent="0.25">
      <c r="A60" s="9" t="s">
        <v>585</v>
      </c>
      <c r="B60" s="4">
        <v>466.02000000000004</v>
      </c>
      <c r="C60" s="10">
        <v>2</v>
      </c>
      <c r="D60" s="10">
        <v>0.35</v>
      </c>
      <c r="E60" s="13">
        <v>1395.1061538461536</v>
      </c>
      <c r="F60" s="4">
        <v>2100</v>
      </c>
    </row>
    <row r="61" spans="1:6" x14ac:dyDescent="0.25">
      <c r="A61" s="9" t="s">
        <v>453</v>
      </c>
      <c r="B61" s="4">
        <v>446.72059595959598</v>
      </c>
      <c r="C61" s="10">
        <v>2</v>
      </c>
      <c r="D61" s="10">
        <v>0.35</v>
      </c>
      <c r="E61" s="13">
        <v>1356.5073457653455</v>
      </c>
      <c r="F61" s="4">
        <v>2040</v>
      </c>
    </row>
    <row r="62" spans="1:6" x14ac:dyDescent="0.25">
      <c r="A62" s="9" t="s">
        <v>564</v>
      </c>
      <c r="B62" s="4">
        <v>598.80280808080818</v>
      </c>
      <c r="C62" s="10">
        <v>0.7</v>
      </c>
      <c r="D62" s="10">
        <v>0.15</v>
      </c>
      <c r="E62" s="13">
        <v>490.8090244800951</v>
      </c>
      <c r="F62" s="4">
        <v>1200</v>
      </c>
    </row>
    <row r="63" spans="1:6" x14ac:dyDescent="0.25">
      <c r="A63" s="9" t="s">
        <v>290</v>
      </c>
      <c r="B63" s="4">
        <v>434.81876470588236</v>
      </c>
      <c r="C63" s="10">
        <v>0.9</v>
      </c>
      <c r="D63" s="10">
        <v>0.15</v>
      </c>
      <c r="E63" s="13">
        <v>459.62941764705886</v>
      </c>
      <c r="F63" s="4">
        <v>980</v>
      </c>
    </row>
    <row r="64" spans="1:6" x14ac:dyDescent="0.25">
      <c r="A64" s="9" t="s">
        <v>487</v>
      </c>
      <c r="B64" s="4">
        <v>402.32591176470589</v>
      </c>
      <c r="C64" s="10">
        <v>0.9</v>
      </c>
      <c r="D64" s="10">
        <v>0.15</v>
      </c>
      <c r="E64" s="13">
        <v>425.62114411764713</v>
      </c>
      <c r="F64" s="4">
        <v>900</v>
      </c>
    </row>
    <row r="65" spans="1:6" x14ac:dyDescent="0.25">
      <c r="A65" s="9" t="s">
        <v>486</v>
      </c>
      <c r="B65" s="4">
        <v>305.23816577540106</v>
      </c>
      <c r="C65" s="10">
        <v>0.9</v>
      </c>
      <c r="D65" s="10">
        <v>0.15</v>
      </c>
      <c r="E65" s="13">
        <v>320.77158449197867</v>
      </c>
      <c r="F65" s="4">
        <v>680</v>
      </c>
    </row>
    <row r="66" spans="1:6" x14ac:dyDescent="0.25">
      <c r="A66" s="9" t="s">
        <v>591</v>
      </c>
      <c r="B66" s="4">
        <v>282.4144117647059</v>
      </c>
      <c r="C66" s="10">
        <v>0.9</v>
      </c>
      <c r="D66" s="10">
        <v>0.15</v>
      </c>
      <c r="E66" s="13">
        <v>298.64197058823538</v>
      </c>
      <c r="F66" s="4">
        <v>640</v>
      </c>
    </row>
    <row r="67" spans="1:6" x14ac:dyDescent="0.25">
      <c r="A67" s="9" t="s">
        <v>437</v>
      </c>
      <c r="B67" s="4">
        <v>310.08500000000004</v>
      </c>
      <c r="C67" s="10">
        <v>0.5</v>
      </c>
      <c r="D67" s="10">
        <v>0.05</v>
      </c>
      <c r="E67" s="13">
        <v>162.93723684210528</v>
      </c>
      <c r="F67" s="4">
        <v>490</v>
      </c>
    </row>
    <row r="68" spans="1:6" x14ac:dyDescent="0.25">
      <c r="A68" s="9" t="s">
        <v>282</v>
      </c>
      <c r="B68" s="4">
        <v>201.84114705882351</v>
      </c>
      <c r="C68" s="10">
        <v>0.9</v>
      </c>
      <c r="D68" s="10">
        <v>0.15</v>
      </c>
      <c r="E68" s="13">
        <v>213.42173823529416</v>
      </c>
      <c r="F68" s="4">
        <v>460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2286-4FC1-4792-9374-54D23A6DFB30}">
  <dimension ref="A1:P33"/>
  <sheetViews>
    <sheetView topLeftCell="B1" workbookViewId="0">
      <selection activeCell="A33" sqref="A33"/>
    </sheetView>
  </sheetViews>
  <sheetFormatPr defaultRowHeight="15" x14ac:dyDescent="0.25"/>
  <cols>
    <col min="1" max="1" width="10.28515625" bestFit="1" customWidth="1"/>
    <col min="2" max="2" width="10.140625" customWidth="1"/>
    <col min="3" max="3" width="19.85546875" bestFit="1" customWidth="1"/>
    <col min="4" max="5" width="8.85546875" style="11" bestFit="1" customWidth="1"/>
    <col min="6" max="6" width="9.140625" style="5" bestFit="1" customWidth="1"/>
    <col min="7" max="7" width="10" style="5" bestFit="1" customWidth="1"/>
    <col min="8" max="8" width="11.85546875" style="4" bestFit="1" customWidth="1"/>
    <col min="9" max="9" width="10" bestFit="1" customWidth="1"/>
    <col min="10" max="10" width="9.7109375" bestFit="1" customWidth="1"/>
    <col min="11" max="11" width="7" bestFit="1" customWidth="1"/>
    <col min="13" max="13" width="11.7109375" bestFit="1" customWidth="1"/>
    <col min="15" max="15" width="11" bestFit="1" customWidth="1"/>
    <col min="16" max="16" width="24.85546875" bestFit="1" customWidth="1"/>
  </cols>
  <sheetData>
    <row r="1" spans="1:15" s="25" customFormat="1" ht="30" x14ac:dyDescent="0.25">
      <c r="A1" s="25" t="s">
        <v>616</v>
      </c>
      <c r="B1" s="25" t="s">
        <v>233</v>
      </c>
      <c r="C1" s="25" t="s">
        <v>232</v>
      </c>
      <c r="D1" s="39" t="s">
        <v>240</v>
      </c>
      <c r="E1" s="39" t="s">
        <v>617</v>
      </c>
      <c r="F1" s="26" t="s">
        <v>618</v>
      </c>
      <c r="G1" s="26" t="s">
        <v>619</v>
      </c>
      <c r="H1" s="38" t="s">
        <v>620</v>
      </c>
      <c r="I1" s="25" t="s">
        <v>613</v>
      </c>
      <c r="J1" s="25" t="s">
        <v>615</v>
      </c>
      <c r="K1" s="25" t="s">
        <v>245</v>
      </c>
      <c r="L1" s="25" t="s">
        <v>621</v>
      </c>
      <c r="M1" s="25" t="s">
        <v>622</v>
      </c>
      <c r="N1" s="25" t="s">
        <v>623</v>
      </c>
      <c r="O1" s="25" t="s">
        <v>40</v>
      </c>
    </row>
    <row r="2" spans="1:15" hidden="1" x14ac:dyDescent="0.25">
      <c r="A2" s="24">
        <v>45396</v>
      </c>
      <c r="B2" s="24" t="str">
        <f>VLOOKUP(Делаю[[#This Row],[Название]],Рецепты[],2,0)</f>
        <v>Колбаса</v>
      </c>
      <c r="C2" t="s">
        <v>447</v>
      </c>
      <c r="D2" s="11">
        <v>6686</v>
      </c>
      <c r="E2" s="11">
        <v>6326</v>
      </c>
      <c r="F2" s="5">
        <f>IF(Делаю[[#This Row],[Масса готов]]&gt;0,(Делаю[[#This Row],[Масса]]-Делаю[[#This Row],[Масса готов]])*100%/Делаю[[#This Row],[Масса]],"")</f>
        <v>5.384385282680227E-2</v>
      </c>
      <c r="G2" s="5">
        <f>VLOOKUP(Делаю[[#This Row],[Название]],СводЦена!A:F,4,0)</f>
        <v>0.15</v>
      </c>
      <c r="H2" s="13">
        <f>VLOOKUP(Делаю[[#This Row],[Название]],СводЦена!A:F,2,0)</f>
        <v>411.76518894830656</v>
      </c>
      <c r="I2" s="10">
        <f>VLOOKUP(Делаю[[#This Row],[Название]],СводЦена!A:F,3,0)</f>
        <v>0.7</v>
      </c>
      <c r="J2" s="13">
        <f>VLOOKUP(Делаю[[#This Row],[Название]],СводЦена!A:F,6,0)</f>
        <v>820</v>
      </c>
      <c r="K2" s="13">
        <f>VLOOKUP(Делаю[[#This Row],[Название]],СводЦена!A:F,5,0)</f>
        <v>333.81798520499098</v>
      </c>
      <c r="L2" s="13">
        <f>Делаю[[#This Row],[ЧП]]*Делаю[[#This Row],[Масса готов]]/1000</f>
        <v>2111.732574406773</v>
      </c>
      <c r="M2" s="13">
        <f>Делаю[[#This Row],[Цена/кг]]*Делаю[[#This Row],[Масса готов]]/1000</f>
        <v>5187.32</v>
      </c>
      <c r="N2" s="13"/>
      <c r="O2" s="13" t="str">
        <f>VLOOKUP(Делаю[[#This Row],[Название]],Рецепты[],16,0)</f>
        <v>Очень вкусная домашняя колбаса - Дрогобычская. Просто, дома, своими руками - YouTube</v>
      </c>
    </row>
    <row r="3" spans="1:15" hidden="1" x14ac:dyDescent="0.25">
      <c r="A3" s="24">
        <v>45396</v>
      </c>
      <c r="B3" s="24" t="str">
        <f>VLOOKUP(Делаю[[#This Row],[Название]],Рецепты[],2,0)</f>
        <v>Колбаса</v>
      </c>
      <c r="C3" t="s">
        <v>444</v>
      </c>
      <c r="D3" s="11">
        <v>3500</v>
      </c>
      <c r="E3" s="11">
        <v>3064</v>
      </c>
      <c r="F3" s="5">
        <f>IF(Делаю[[#This Row],[Масса готов]]&gt;0,(Делаю[[#This Row],[Масса]]-Делаю[[#This Row],[Масса готов]])*100%/Делаю[[#This Row],[Масса]],"")</f>
        <v>0.12457142857142857</v>
      </c>
      <c r="G3" s="5">
        <f>VLOOKUP(Делаю[[#This Row],[Название]],СводЦена!A:F,4,0)</f>
        <v>0.15</v>
      </c>
      <c r="H3" s="13">
        <f>VLOOKUP(Делаю[[#This Row],[Название]],СводЦена!A:F,2,0)</f>
        <v>519.33864808108865</v>
      </c>
      <c r="I3" s="10">
        <f>VLOOKUP(Делаю[[#This Row],[Название]],СводЦена!A:F,3,0)</f>
        <v>0.9</v>
      </c>
      <c r="J3" s="13">
        <f>VLOOKUP(Делаю[[#This Row],[Название]],СводЦена!A:F,6,0)</f>
        <v>1160</v>
      </c>
      <c r="K3" s="13">
        <f>VLOOKUP(Делаю[[#This Row],[Название]],СводЦена!A:F,5,0)</f>
        <v>545.16383033180352</v>
      </c>
      <c r="L3" s="13">
        <f>Делаю[[#This Row],[ЧП]]*Делаю[[#This Row],[Масса готов]]/1000</f>
        <v>1670.381976136646</v>
      </c>
      <c r="M3" s="13">
        <f>Делаю[[#This Row],[Цена/кг]]*Делаю[[#This Row],[Масса готов]]/1000</f>
        <v>3554.24</v>
      </c>
      <c r="N3" s="13"/>
      <c r="O3" s="13" t="str">
        <f>VLOOKUP(Делаю[[#This Row],[Название]],Рецепты[],16,0)</f>
        <v>Классическая Краковская колбаса полукопченая своими руками - YouTube</v>
      </c>
    </row>
    <row r="4" spans="1:15" hidden="1" x14ac:dyDescent="0.25">
      <c r="A4" s="24">
        <v>45409</v>
      </c>
      <c r="B4" s="24" t="str">
        <f>VLOOKUP(Делаю[[#This Row],[Название]],Рецепты[],2,0)</f>
        <v>Сосиски</v>
      </c>
      <c r="C4" t="s">
        <v>270</v>
      </c>
      <c r="D4" s="11">
        <v>5000</v>
      </c>
      <c r="F4" s="5" t="str">
        <f>IF(Делаю[[#This Row],[Масса готов]]&gt;0,(Делаю[[#This Row],[Масса]]-Делаю[[#This Row],[Масса готов]])*100%/Делаю[[#This Row],[Масса]],"")</f>
        <v/>
      </c>
      <c r="G4" s="5">
        <f>VLOOKUP(Делаю[[#This Row],[Название]],СводЦена!A:F,4,0)</f>
        <v>0.15</v>
      </c>
      <c r="H4" s="13">
        <f>VLOOKUP(Делаю[[#This Row],[Название]],СводЦена!A:F,2,0)</f>
        <v>415.321769159871</v>
      </c>
      <c r="I4" s="10">
        <f>VLOOKUP(Делаю[[#This Row],[Название]],СводЦена!A:F,3,0)</f>
        <v>0.7</v>
      </c>
      <c r="J4" s="13">
        <f>VLOOKUP(Делаю[[#This Row],[Название]],СводЦена!A:F,6,0)</f>
        <v>820</v>
      </c>
      <c r="K4" s="13">
        <f>VLOOKUP(Делаю[[#This Row],[Название]],СводЦена!A:F,5,0)</f>
        <v>336.3075913530862</v>
      </c>
      <c r="L4" s="13">
        <f>Делаю[[#This Row],[ЧП]]*Делаю[[#This Row],[Масса готов]]/1000</f>
        <v>0</v>
      </c>
      <c r="M4" s="13">
        <f>Делаю[[#This Row],[Цена/кг]]*Делаю[[#This Row],[Масса готов]]/1000</f>
        <v>0</v>
      </c>
      <c r="N4" s="13"/>
      <c r="O4" s="13" t="str">
        <f>VLOOKUP(Делаю[[#This Row],[Название]],Рецепты[],16,0)</f>
        <v>https://www.youtube.com/watch?v=Mu_glCpe-Y8</v>
      </c>
    </row>
    <row r="5" spans="1:15" hidden="1" x14ac:dyDescent="0.25">
      <c r="A5" s="24">
        <v>45409</v>
      </c>
      <c r="B5" s="24" t="str">
        <f>VLOOKUP(Делаю[[#This Row],[Название]],Рецепты[],2,0)</f>
        <v>Колбаса</v>
      </c>
      <c r="C5" t="s">
        <v>447</v>
      </c>
      <c r="D5" s="11">
        <v>4769</v>
      </c>
      <c r="F5" s="5" t="str">
        <f>IF(Делаю[[#This Row],[Масса готов]]&gt;0,(Делаю[[#This Row],[Масса]]-Делаю[[#This Row],[Масса готов]])*100%/Делаю[[#This Row],[Масса]],"")</f>
        <v/>
      </c>
      <c r="G5" s="5">
        <f>VLOOKUP(Делаю[[#This Row],[Название]],СводЦена!A:F,4,0)</f>
        <v>0.15</v>
      </c>
      <c r="H5" s="13">
        <f>VLOOKUP(Делаю[[#This Row],[Название]],СводЦена!A:F,2,0)</f>
        <v>411.76518894830656</v>
      </c>
      <c r="I5" s="10">
        <f>VLOOKUP(Делаю[[#This Row],[Название]],СводЦена!A:F,3,0)</f>
        <v>0.7</v>
      </c>
      <c r="J5" s="13">
        <f>VLOOKUP(Делаю[[#This Row],[Название]],СводЦена!A:F,6,0)</f>
        <v>820</v>
      </c>
      <c r="K5" s="13">
        <f>VLOOKUP(Делаю[[#This Row],[Название]],СводЦена!A:F,5,0)</f>
        <v>333.81798520499098</v>
      </c>
      <c r="L5" s="13">
        <f>Делаю[[#This Row],[ЧП]]*Делаю[[#This Row],[Масса готов]]/1000</f>
        <v>0</v>
      </c>
      <c r="M5" s="13">
        <f>Делаю[[#This Row],[Цена/кг]]*Делаю[[#This Row],[Масса готов]]/1000</f>
        <v>0</v>
      </c>
      <c r="N5" s="13"/>
      <c r="O5" s="13" t="str">
        <f>VLOOKUP(Делаю[[#This Row],[Название]],Рецепты[],16,0)</f>
        <v>Очень вкусная домашняя колбаса - Дрогобычская. Просто, дома, своими руками - YouTube</v>
      </c>
    </row>
    <row r="6" spans="1:15" hidden="1" x14ac:dyDescent="0.25">
      <c r="A6" s="24">
        <v>45409</v>
      </c>
      <c r="B6" s="24" t="str">
        <f>VLOOKUP(Делаю[[#This Row],[Название]],Рецепты[],2,0)</f>
        <v>Колбаса</v>
      </c>
      <c r="C6" t="s">
        <v>444</v>
      </c>
      <c r="D6" s="11">
        <v>1500</v>
      </c>
      <c r="F6" s="5" t="str">
        <f>IF(Делаю[[#This Row],[Масса готов]]&gt;0,(Делаю[[#This Row],[Масса]]-Делаю[[#This Row],[Масса готов]])*100%/Делаю[[#This Row],[Масса]],"")</f>
        <v/>
      </c>
      <c r="G6" s="5">
        <f>VLOOKUP(Делаю[[#This Row],[Название]],СводЦена!A:F,4,0)</f>
        <v>0.15</v>
      </c>
      <c r="H6" s="13">
        <f>VLOOKUP(Делаю[[#This Row],[Название]],СводЦена!A:F,2,0)</f>
        <v>519.33864808108865</v>
      </c>
      <c r="I6" s="10">
        <f>VLOOKUP(Делаю[[#This Row],[Название]],СводЦена!A:F,3,0)</f>
        <v>0.9</v>
      </c>
      <c r="J6" s="13">
        <f>VLOOKUP(Делаю[[#This Row],[Название]],СводЦена!A:F,6,0)</f>
        <v>1160</v>
      </c>
      <c r="K6" s="13">
        <f>VLOOKUP(Делаю[[#This Row],[Название]],СводЦена!A:F,5,0)</f>
        <v>545.16383033180352</v>
      </c>
      <c r="L6" s="13">
        <f>Делаю[[#This Row],[ЧП]]*Делаю[[#This Row],[Масса готов]]/1000</f>
        <v>0</v>
      </c>
      <c r="M6" s="13">
        <f>Делаю[[#This Row],[Цена/кг]]*Делаю[[#This Row],[Масса готов]]/1000</f>
        <v>0</v>
      </c>
      <c r="N6" s="13"/>
      <c r="O6" s="13" t="str">
        <f>VLOOKUP(Делаю[[#This Row],[Название]],Рецепты[],16,0)</f>
        <v>Классическая Краковская колбаса полукопченая своими руками - YouTube</v>
      </c>
    </row>
    <row r="7" spans="1:15" hidden="1" x14ac:dyDescent="0.25">
      <c r="A7" s="24">
        <v>45409</v>
      </c>
      <c r="B7" s="24" t="str">
        <f>VLOOKUP(Делаю[[#This Row],[Название]],Рецепты[],2,0)</f>
        <v>Колбаса</v>
      </c>
      <c r="C7" t="s">
        <v>557</v>
      </c>
      <c r="D7" s="11">
        <v>2000</v>
      </c>
      <c r="F7" s="5" t="str">
        <f>IF(Делаю[[#This Row],[Масса готов]]&gt;0,(Делаю[[#This Row],[Масса]]-Делаю[[#This Row],[Масса готов]])*100%/Делаю[[#This Row],[Масса]],"")</f>
        <v/>
      </c>
      <c r="G7" s="5">
        <f>VLOOKUP(Делаю[[#This Row],[Название]],СводЦена!A:F,4,0)</f>
        <v>0.15</v>
      </c>
      <c r="H7" s="13">
        <f>VLOOKUP(Делаю[[#This Row],[Название]],СводЦена!A:F,2,0)</f>
        <v>126.67813514485101</v>
      </c>
      <c r="I7" s="10">
        <f>VLOOKUP(Делаю[[#This Row],[Название]],СводЦена!A:F,3,0)</f>
        <v>0.7</v>
      </c>
      <c r="J7" s="13">
        <f>VLOOKUP(Делаю[[#This Row],[Название]],СводЦена!A:F,6,0)</f>
        <v>250</v>
      </c>
      <c r="K7" s="13">
        <f>VLOOKUP(Делаю[[#This Row],[Название]],СводЦена!A:F,5,0)</f>
        <v>101.02763577786629</v>
      </c>
      <c r="L7" s="13">
        <f>Делаю[[#This Row],[ЧП]]*Делаю[[#This Row],[Масса готов]]/1000</f>
        <v>0</v>
      </c>
      <c r="M7" s="13">
        <f>Делаю[[#This Row],[Цена/кг]]*Делаю[[#This Row],[Масса готов]]/1000</f>
        <v>0</v>
      </c>
      <c r="N7" s="13"/>
      <c r="O7" s="13" t="str">
        <f>VLOOKUP(Делаю[[#This Row],[Название]],Рецепты[],16,0)</f>
        <v>Немецкий холодец - Зельц. Как приготовить Зельц правильно. (youtube.com)</v>
      </c>
    </row>
    <row r="8" spans="1:15" hidden="1" x14ac:dyDescent="0.25">
      <c r="A8" s="24">
        <v>45412</v>
      </c>
      <c r="B8" s="24" t="str">
        <f>VLOOKUP(Делаю[[#This Row],[Название]],Рецепты[],2,0)</f>
        <v>Цельное</v>
      </c>
      <c r="C8" t="s">
        <v>282</v>
      </c>
      <c r="D8" s="11">
        <v>3326</v>
      </c>
      <c r="F8" s="5" t="str">
        <f>IF(Делаю[[#This Row],[Масса готов]]&gt;0,(Делаю[[#This Row],[Масса]]-Делаю[[#This Row],[Масса готов]])*100%/Делаю[[#This Row],[Масса]],"")</f>
        <v/>
      </c>
      <c r="G8" s="5">
        <f>VLOOKUP(Делаю[[#This Row],[Название]],СводЦена!A:F,4,0)</f>
        <v>0.15</v>
      </c>
      <c r="H8" s="13">
        <f>VLOOKUP(Делаю[[#This Row],[Название]],СводЦена!A:F,2,0)</f>
        <v>201.84114705882351</v>
      </c>
      <c r="I8" s="10">
        <f>VLOOKUP(Делаю[[#This Row],[Название]],СводЦена!A:F,3,0)</f>
        <v>0.9</v>
      </c>
      <c r="J8" s="13">
        <f>VLOOKUP(Делаю[[#This Row],[Название]],СводЦена!A:F,6,0)</f>
        <v>460</v>
      </c>
      <c r="K8" s="13">
        <f>VLOOKUP(Делаю[[#This Row],[Название]],СводЦена!A:F,5,0)</f>
        <v>213.42173823529416</v>
      </c>
      <c r="L8" s="13">
        <f>Делаю[[#This Row],[ЧП]]*Делаю[[#This Row],[Масса готов]]/1000</f>
        <v>0</v>
      </c>
      <c r="M8" s="13">
        <f>Делаю[[#This Row],[Цена/кг]]*Делаю[[#This Row],[Масса готов]]/1000</f>
        <v>0</v>
      </c>
      <c r="N8" s="13"/>
      <c r="O8" s="13" t="str">
        <f>VLOOKUP(Делаю[[#This Row],[Название]],Рецепты[],16,0)</f>
        <v>https://www.youtube.com/watch?v=bwqN7FZs5Ds</v>
      </c>
    </row>
    <row r="9" spans="1:15" hidden="1" x14ac:dyDescent="0.25">
      <c r="A9" s="24">
        <v>45412</v>
      </c>
      <c r="B9" s="24" t="str">
        <f>VLOOKUP(Делаю[[#This Row],[Название]],Рецепты[],2,0)</f>
        <v>Цельное</v>
      </c>
      <c r="C9" t="s">
        <v>487</v>
      </c>
      <c r="D9" s="11">
        <v>1904</v>
      </c>
      <c r="F9" s="5" t="str">
        <f>IF(Делаю[[#This Row],[Масса готов]]&gt;0,(Делаю[[#This Row],[Масса]]-Делаю[[#This Row],[Масса готов]])*100%/Делаю[[#This Row],[Масса]],"")</f>
        <v/>
      </c>
      <c r="G9" s="5">
        <f>VLOOKUP(Делаю[[#This Row],[Название]],СводЦена!A:F,4,0)</f>
        <v>0.15</v>
      </c>
      <c r="H9" s="13">
        <f>VLOOKUP(Делаю[[#This Row],[Название]],СводЦена!A:F,2,0)</f>
        <v>402.32591176470589</v>
      </c>
      <c r="I9" s="10">
        <f>VLOOKUP(Делаю[[#This Row],[Название]],СводЦена!A:F,3,0)</f>
        <v>0.9</v>
      </c>
      <c r="J9" s="13">
        <f>VLOOKUP(Делаю[[#This Row],[Название]],СводЦена!A:F,6,0)</f>
        <v>900</v>
      </c>
      <c r="K9" s="13">
        <f>VLOOKUP(Делаю[[#This Row],[Название]],СводЦена!A:F,5,0)</f>
        <v>425.62114411764713</v>
      </c>
      <c r="L9" s="13">
        <f>Делаю[[#This Row],[ЧП]]*Делаю[[#This Row],[Масса готов]]/1000</f>
        <v>0</v>
      </c>
      <c r="M9" s="13">
        <f>Делаю[[#This Row],[Цена/кг]]*Делаю[[#This Row],[Масса готов]]/1000</f>
        <v>0</v>
      </c>
      <c r="N9" s="13"/>
      <c r="O9" s="13" t="str">
        <f>VLOOKUP(Делаю[[#This Row],[Название]],Рецепты[],16,0)</f>
        <v>Сколько соли нужно для рассола, которым шприцуют мясо. Карбонад (балык) варено-копченый. - YouTube</v>
      </c>
    </row>
    <row r="10" spans="1:15" hidden="1" x14ac:dyDescent="0.25">
      <c r="A10" s="24">
        <v>45430</v>
      </c>
      <c r="B10" s="24" t="str">
        <f>VLOOKUP(Делаю[[#This Row],[Название]],Рецепты[],2,0)</f>
        <v>Колбаса</v>
      </c>
      <c r="C10" t="s">
        <v>447</v>
      </c>
      <c r="D10" s="11">
        <v>3968</v>
      </c>
      <c r="E10" s="11">
        <v>3310</v>
      </c>
      <c r="F10" s="5">
        <f>IF(Делаю[[#This Row],[Масса готов]]&gt;0,(Делаю[[#This Row],[Масса]]-Делаю[[#This Row],[Масса готов]])*100%/Делаю[[#This Row],[Масса]],"")</f>
        <v>0.16582661290322581</v>
      </c>
      <c r="G10" s="5">
        <f>VLOOKUP(Делаю[[#This Row],[Название]],СводЦена!A:F,4,0)</f>
        <v>0.15</v>
      </c>
      <c r="H10" s="13">
        <f>VLOOKUP(Делаю[[#This Row],[Название]],СводЦена!A:F,2,0)</f>
        <v>411.76518894830656</v>
      </c>
      <c r="I10" s="10">
        <f>VLOOKUP(Делаю[[#This Row],[Название]],СводЦена!A:F,3,0)</f>
        <v>0.7</v>
      </c>
      <c r="J10" s="13">
        <f>VLOOKUP(Делаю[[#This Row],[Название]],СводЦена!A:F,6,0)</f>
        <v>820</v>
      </c>
      <c r="K10" s="13">
        <f>VLOOKUP(Делаю[[#This Row],[Название]],СводЦена!A:F,5,0)</f>
        <v>333.81798520499098</v>
      </c>
      <c r="L10" s="13">
        <f>Делаю[[#This Row],[ЧП]]*Делаю[[#This Row],[Масса готов]]/1000</f>
        <v>1104.93753102852</v>
      </c>
      <c r="M10" s="13">
        <f>Делаю[[#This Row],[Цена/кг]]*Делаю[[#This Row],[Масса готов]]/1000</f>
        <v>2714.2</v>
      </c>
      <c r="N10" s="13"/>
      <c r="O10" s="13" t="str">
        <f>VLOOKUP(Делаю[[#This Row],[Название]],Рецепты[],16,0)</f>
        <v>Очень вкусная домашняя колбаса - Дрогобычская. Просто, дома, своими руками - YouTube</v>
      </c>
    </row>
    <row r="11" spans="1:15" hidden="1" x14ac:dyDescent="0.25">
      <c r="A11" s="24">
        <v>45430</v>
      </c>
      <c r="B11" s="24" t="str">
        <f>VLOOKUP(Делаю[[#This Row],[Название]],Рецепты[],2,0)</f>
        <v>Сосиски</v>
      </c>
      <c r="C11" t="s">
        <v>270</v>
      </c>
      <c r="D11" s="11">
        <v>3500</v>
      </c>
      <c r="E11" s="11">
        <v>3512</v>
      </c>
      <c r="F11" s="5">
        <f>IF(Делаю[[#This Row],[Масса готов]]&gt;0,(Делаю[[#This Row],[Масса]]-Делаю[[#This Row],[Масса готов]])*100%/Делаю[[#This Row],[Масса]],"")</f>
        <v>-3.4285714285714284E-3</v>
      </c>
      <c r="G11" s="5">
        <f>VLOOKUP(Делаю[[#This Row],[Название]],СводЦена!A:F,4,0)</f>
        <v>0.15</v>
      </c>
      <c r="H11" s="13">
        <f>VLOOKUP(Делаю[[#This Row],[Название]],СводЦена!A:F,2,0)</f>
        <v>415.321769159871</v>
      </c>
      <c r="I11" s="10">
        <f>VLOOKUP(Делаю[[#This Row],[Название]],СводЦена!A:F,3,0)</f>
        <v>0.7</v>
      </c>
      <c r="J11" s="13">
        <f>VLOOKUP(Делаю[[#This Row],[Название]],СводЦена!A:F,6,0)</f>
        <v>820</v>
      </c>
      <c r="K11" s="13">
        <f>VLOOKUP(Делаю[[#This Row],[Название]],СводЦена!A:F,5,0)</f>
        <v>336.3075913530862</v>
      </c>
      <c r="L11" s="13">
        <f>Делаю[[#This Row],[ЧП]]*Делаю[[#This Row],[Масса готов]]/1000</f>
        <v>1181.1122608320386</v>
      </c>
      <c r="M11" s="13">
        <f>Делаю[[#This Row],[Цена/кг]]*Делаю[[#This Row],[Масса готов]]/1000</f>
        <v>2879.84</v>
      </c>
      <c r="N11" s="13"/>
      <c r="O11" s="13" t="str">
        <f>VLOOKUP(Делаю[[#This Row],[Название]],Рецепты[],16,0)</f>
        <v>https://www.youtube.com/watch?v=Mu_glCpe-Y8</v>
      </c>
    </row>
    <row r="12" spans="1:15" hidden="1" x14ac:dyDescent="0.25">
      <c r="A12" s="24">
        <v>45430</v>
      </c>
      <c r="B12" s="24" t="str">
        <f>VLOOKUP(Делаю[[#This Row],[Название]],Рецепты[],2,0)</f>
        <v>Сосиски</v>
      </c>
      <c r="C12" t="s">
        <v>561</v>
      </c>
      <c r="D12" s="11">
        <v>2822</v>
      </c>
      <c r="E12" s="11">
        <v>2326</v>
      </c>
      <c r="F12" s="5">
        <f>IF(Делаю[[#This Row],[Масса готов]]&gt;0,(Делаю[[#This Row],[Масса]]-Делаю[[#This Row],[Масса готов]])*100%/Делаю[[#This Row],[Масса]],"")</f>
        <v>0.17576187101346563</v>
      </c>
      <c r="G12" s="5">
        <f>VLOOKUP(Делаю[[#This Row],[Название]],СводЦена!A:F,4,0)</f>
        <v>0.15</v>
      </c>
      <c r="H12" s="13">
        <f>VLOOKUP(Делаю[[#This Row],[Название]],СводЦена!A:F,2,0)</f>
        <v>384.17357367561675</v>
      </c>
      <c r="I12" s="10">
        <f>VLOOKUP(Делаю[[#This Row],[Название]],СводЦена!A:F,3,0)</f>
        <v>0.7</v>
      </c>
      <c r="J12" s="13">
        <f>VLOOKUP(Делаю[[#This Row],[Название]],СводЦена!A:F,6,0)</f>
        <v>740</v>
      </c>
      <c r="K12" s="13">
        <f>VLOOKUP(Делаю[[#This Row],[Название]],СводЦена!A:F,5,0)</f>
        <v>301.18447735147839</v>
      </c>
      <c r="L12" s="13">
        <f>Делаю[[#This Row],[ЧП]]*Делаю[[#This Row],[Масса готов]]/1000</f>
        <v>700.55509431953874</v>
      </c>
      <c r="M12" s="13">
        <f>Делаю[[#This Row],[Цена/кг]]*Делаю[[#This Row],[Масса готов]]/1000</f>
        <v>1721.24</v>
      </c>
      <c r="N12" s="13"/>
      <c r="O12" s="13" t="str">
        <f>VLOOKUP(Делаю[[#This Row],[Название]],Рецепты[],16,0)</f>
        <v>🍗 Сосиски Сливочные Куриные 🌭🔥🥣 Делаем Дома! Просто и Вкусно! 🤤✨ (youtube.com)</v>
      </c>
    </row>
    <row r="13" spans="1:15" hidden="1" x14ac:dyDescent="0.25">
      <c r="A13" s="24">
        <v>45430</v>
      </c>
      <c r="B13" s="24" t="str">
        <f>VLOOKUP(Делаю[[#This Row],[Название]],Рецепты[],2,0)</f>
        <v>Цельное</v>
      </c>
      <c r="C13" t="s">
        <v>487</v>
      </c>
      <c r="D13" s="11">
        <v>2230</v>
      </c>
      <c r="E13" s="11">
        <v>1898</v>
      </c>
      <c r="F13" s="5">
        <f>IF(Делаю[[#This Row],[Масса готов]]&gt;0,(Делаю[[#This Row],[Масса]]-Делаю[[#This Row],[Масса готов]])*100%/Делаю[[#This Row],[Масса]],"")</f>
        <v>0.14887892376681613</v>
      </c>
      <c r="G13" s="5">
        <f>VLOOKUP(Делаю[[#This Row],[Название]],СводЦена!A:F,4,0)</f>
        <v>0.15</v>
      </c>
      <c r="H13" s="13">
        <f>VLOOKUP(Делаю[[#This Row],[Название]],СводЦена!A:F,2,0)</f>
        <v>402.32591176470589</v>
      </c>
      <c r="I13" s="10">
        <f>VLOOKUP(Делаю[[#This Row],[Название]],СводЦена!A:F,3,0)</f>
        <v>0.9</v>
      </c>
      <c r="J13" s="13">
        <f>VLOOKUP(Делаю[[#This Row],[Название]],СводЦена!A:F,6,0)</f>
        <v>900</v>
      </c>
      <c r="K13" s="13">
        <f>VLOOKUP(Делаю[[#This Row],[Название]],СводЦена!A:F,5,0)</f>
        <v>425.62114411764713</v>
      </c>
      <c r="L13" s="13">
        <f>Делаю[[#This Row],[ЧП]]*Делаю[[#This Row],[Масса готов]]/1000</f>
        <v>807.82893153529426</v>
      </c>
      <c r="M13" s="13">
        <f>Делаю[[#This Row],[Цена/кг]]*Делаю[[#This Row],[Масса готов]]/1000</f>
        <v>1708.2</v>
      </c>
      <c r="N13" s="13" t="s">
        <v>624</v>
      </c>
      <c r="O13" s="13" t="str">
        <f>VLOOKUP(Делаю[[#This Row],[Название]],Рецепты[],16,0)</f>
        <v>Сколько соли нужно для рассола, которым шприцуют мясо. Карбонад (балык) варено-копченый. - YouTube</v>
      </c>
    </row>
    <row r="14" spans="1:15" hidden="1" x14ac:dyDescent="0.25">
      <c r="A14" s="24">
        <v>45430</v>
      </c>
      <c r="B14" s="24" t="str">
        <f>VLOOKUP(Делаю[[#This Row],[Название]],Рецепты[],2,0)</f>
        <v>Цельное</v>
      </c>
      <c r="C14" t="s">
        <v>282</v>
      </c>
      <c r="D14" s="11">
        <v>900</v>
      </c>
      <c r="E14" s="11">
        <v>647</v>
      </c>
      <c r="F14" s="5">
        <f>IF(Делаю[[#This Row],[Масса готов]]&gt;0,(Делаю[[#This Row],[Масса]]-Делаю[[#This Row],[Масса готов]])*100%/Делаю[[#This Row],[Масса]],"")</f>
        <v>0.28111111111111109</v>
      </c>
      <c r="G14" s="5">
        <f>VLOOKUP(Делаю[[#This Row],[Название]],СводЦена!A:F,4,0)</f>
        <v>0.15</v>
      </c>
      <c r="H14" s="13">
        <f>VLOOKUP(Делаю[[#This Row],[Название]],СводЦена!A:F,2,0)</f>
        <v>201.84114705882351</v>
      </c>
      <c r="I14" s="10">
        <f>VLOOKUP(Делаю[[#This Row],[Название]],СводЦена!A:F,3,0)</f>
        <v>0.9</v>
      </c>
      <c r="J14" s="13">
        <f>VLOOKUP(Делаю[[#This Row],[Название]],СводЦена!A:F,6,0)</f>
        <v>460</v>
      </c>
      <c r="K14" s="13">
        <f>VLOOKUP(Делаю[[#This Row],[Название]],СводЦена!A:F,5,0)</f>
        <v>213.42173823529416</v>
      </c>
      <c r="L14" s="13">
        <f>Делаю[[#This Row],[ЧП]]*Делаю[[#This Row],[Масса готов]]/1000</f>
        <v>138.08386463823533</v>
      </c>
      <c r="M14" s="13">
        <f>Делаю[[#This Row],[Цена/кг]]*Делаю[[#This Row],[Масса готов]]/1000</f>
        <v>297.62</v>
      </c>
      <c r="N14" s="13" t="s">
        <v>625</v>
      </c>
      <c r="O14" s="13" t="str">
        <f>VLOOKUP(Делаю[[#This Row],[Название]],Рецепты[],16,0)</f>
        <v>https://www.youtube.com/watch?v=bwqN7FZs5Ds</v>
      </c>
    </row>
    <row r="15" spans="1:15" hidden="1" x14ac:dyDescent="0.25">
      <c r="A15" s="24">
        <v>45430</v>
      </c>
      <c r="B15" s="24" t="str">
        <f>VLOOKUP(Делаю[[#This Row],[Название]],Рецепты[],2,0)</f>
        <v>Цельное</v>
      </c>
      <c r="C15" t="s">
        <v>282</v>
      </c>
      <c r="D15" s="11">
        <v>3492</v>
      </c>
      <c r="E15" s="11">
        <v>3030</v>
      </c>
      <c r="F15" s="5">
        <f>IF(Делаю[[#This Row],[Масса готов]]&gt;0,(Делаю[[#This Row],[Масса]]-Делаю[[#This Row],[Масса готов]])*100%/Делаю[[#This Row],[Масса]],"")</f>
        <v>0.13230240549828179</v>
      </c>
      <c r="G15" s="5">
        <f>VLOOKUP(Делаю[[#This Row],[Название]],СводЦена!A:F,4,0)</f>
        <v>0.15</v>
      </c>
      <c r="H15" s="13">
        <f>VLOOKUP(Делаю[[#This Row],[Название]],СводЦена!A:F,2,0)</f>
        <v>201.84114705882351</v>
      </c>
      <c r="I15" s="10">
        <f>VLOOKUP(Делаю[[#This Row],[Название]],СводЦена!A:F,3,0)</f>
        <v>0.9</v>
      </c>
      <c r="J15" s="13">
        <f>VLOOKUP(Делаю[[#This Row],[Название]],СводЦена!A:F,6,0)</f>
        <v>460</v>
      </c>
      <c r="K15" s="13">
        <f>VLOOKUP(Делаю[[#This Row],[Название]],СводЦена!A:F,5,0)</f>
        <v>213.42173823529416</v>
      </c>
      <c r="L15" s="13">
        <f>Делаю[[#This Row],[ЧП]]*Делаю[[#This Row],[Масса готов]]/1000</f>
        <v>646.6678668529413</v>
      </c>
      <c r="M15" s="13">
        <f>Делаю[[#This Row],[Цена/кг]]*Делаю[[#This Row],[Масса готов]]/1000</f>
        <v>1393.8</v>
      </c>
      <c r="N15" s="13" t="s">
        <v>626</v>
      </c>
      <c r="O15" s="13" t="str">
        <f>VLOOKUP(Делаю[[#This Row],[Название]],Рецепты[],16,0)</f>
        <v>https://www.youtube.com/watch?v=bwqN7FZs5Ds</v>
      </c>
    </row>
    <row r="16" spans="1:15" hidden="1" x14ac:dyDescent="0.25">
      <c r="A16" s="24">
        <v>45443</v>
      </c>
      <c r="B16" s="24" t="str">
        <f>VLOOKUP(Делаю[[#This Row],[Название]],Рецепты[],2,0)</f>
        <v>Колбаса</v>
      </c>
      <c r="C16" t="s">
        <v>444</v>
      </c>
      <c r="D16" s="11">
        <v>2000</v>
      </c>
      <c r="E16" s="11">
        <v>2088</v>
      </c>
      <c r="F16" s="5">
        <f>IF(Делаю[[#This Row],[Масса готов]]&gt;0,(Делаю[[#This Row],[Масса]]-Делаю[[#This Row],[Масса готов]])*100%/Делаю[[#This Row],[Масса]],"")</f>
        <v>-4.3999999999999997E-2</v>
      </c>
      <c r="G16" s="5">
        <f>VLOOKUP(Делаю[[#This Row],[Название]],СводЦена!A:F,4,0)</f>
        <v>0.15</v>
      </c>
      <c r="H16" s="13">
        <f>VLOOKUP(Делаю[[#This Row],[Название]],СводЦена!A:F,2,0)</f>
        <v>519.33864808108865</v>
      </c>
      <c r="I16" s="10">
        <f>VLOOKUP(Делаю[[#This Row],[Название]],СводЦена!A:F,3,0)</f>
        <v>0.9</v>
      </c>
      <c r="J16" s="13">
        <f>VLOOKUP(Делаю[[#This Row],[Название]],СводЦена!A:F,6,0)</f>
        <v>1160</v>
      </c>
      <c r="K16" s="13">
        <f>VLOOKUP(Делаю[[#This Row],[Название]],СводЦена!A:F,5,0)</f>
        <v>545.16383033180352</v>
      </c>
      <c r="L16" s="13">
        <f>Делаю[[#This Row],[ЧП]]*Делаю[[#This Row],[Масса готов]]/1000</f>
        <v>1138.3020777328059</v>
      </c>
      <c r="M16" s="13">
        <f>Делаю[[#This Row],[Цена/кг]]*Делаю[[#This Row],[Масса готов]]/1000</f>
        <v>2422.08</v>
      </c>
      <c r="N16" s="13" t="s">
        <v>627</v>
      </c>
      <c r="O16" s="13" t="str">
        <f>VLOOKUP(Делаю[[#This Row],[Название]],Рецепты[],16,0)</f>
        <v>Классическая Краковская колбаса полукопченая своими руками - YouTube</v>
      </c>
    </row>
    <row r="17" spans="1:16" hidden="1" x14ac:dyDescent="0.25">
      <c r="A17" s="24">
        <v>45447</v>
      </c>
      <c r="B17" s="24" t="str">
        <f>VLOOKUP(Делаю[[#This Row],[Название]],Рецепты[],2,0)</f>
        <v>Колбаса</v>
      </c>
      <c r="C17" t="s">
        <v>391</v>
      </c>
      <c r="D17" s="11">
        <v>3355</v>
      </c>
      <c r="E17" s="11">
        <v>3400</v>
      </c>
      <c r="F17" s="5">
        <f>IF(Делаю[[#This Row],[Масса готов]]&gt;0,(Делаю[[#This Row],[Масса]]-Делаю[[#This Row],[Масса готов]])*100%/Делаю[[#This Row],[Масса]],"")</f>
        <v>-1.3412816691505217E-2</v>
      </c>
      <c r="G17" s="5">
        <f>VLOOKUP(Делаю[[#This Row],[Название]],СводЦена!A:F,4,0)</f>
        <v>0.15</v>
      </c>
      <c r="H17" s="13">
        <f>VLOOKUP(Делаю[[#This Row],[Название]],СводЦена!A:F,2,0)</f>
        <v>398.52849806820211</v>
      </c>
      <c r="I17" s="10">
        <f>VLOOKUP(Делаю[[#This Row],[Название]],СводЦена!A:F,3,0)</f>
        <v>0.7</v>
      </c>
      <c r="J17" s="13">
        <f>VLOOKUP(Делаю[[#This Row],[Название]],СводЦена!A:F,6,0)</f>
        <v>800</v>
      </c>
      <c r="K17" s="13">
        <f>VLOOKUP(Делаю[[#This Row],[Название]],СводЦена!A:F,5,0)</f>
        <v>325.6070698242122</v>
      </c>
      <c r="L17" s="13">
        <f>Делаю[[#This Row],[ЧП]]*Делаю[[#This Row],[Масса готов]]/1000</f>
        <v>1107.0640374023217</v>
      </c>
      <c r="M17" s="13">
        <f>Делаю[[#This Row],[Цена/кг]]*Делаю[[#This Row],[Масса готов]]/1000</f>
        <v>2720</v>
      </c>
      <c r="N17" s="13"/>
      <c r="O17" s="13" t="str">
        <f>VLOOKUP(Делаю[[#This Row],[Название]],Рецепты[],16,0)</f>
        <v>ВЕТЧИНА МРАМОРНАЯ НАСТОЯЩАЯ в домашних условиях (youtube.com)</v>
      </c>
    </row>
    <row r="18" spans="1:16" hidden="1" x14ac:dyDescent="0.25">
      <c r="A18" s="24">
        <v>45509</v>
      </c>
      <c r="B18" s="24" t="str">
        <f>VLOOKUP(Делаю[[#This Row],[Название]],Рецепты[],2,0)</f>
        <v>Рыба</v>
      </c>
      <c r="C18" t="s">
        <v>569</v>
      </c>
      <c r="D18" s="11">
        <v>7350</v>
      </c>
      <c r="E18" s="11">
        <v>5000</v>
      </c>
      <c r="F18" s="5">
        <f>IF(Делаю[[#This Row],[Масса готов]]&gt;0,(Делаю[[#This Row],[Масса]]-Делаю[[#This Row],[Масса готов]])*100%/Делаю[[#This Row],[Масса]],"")</f>
        <v>0.31972789115646261</v>
      </c>
      <c r="G18" s="5">
        <f>VLOOKUP(Делаю[[#This Row],[Название]],СводЦена!A:F,4,0)</f>
        <v>0.35</v>
      </c>
      <c r="H18" s="13">
        <f>VLOOKUP(Делаю[[#This Row],[Название]],СводЦена!A:F,2,0)</f>
        <v>675.98431372549032</v>
      </c>
      <c r="I18" s="10">
        <f>VLOOKUP(Делаю[[#This Row],[Название]],СводЦена!A:F,3,0)</f>
        <v>2</v>
      </c>
      <c r="J18" s="13">
        <f>VLOOKUP(Делаю[[#This Row],[Название]],СводЦена!A:F,6,0)</f>
        <v>3110</v>
      </c>
      <c r="K18" s="13">
        <f>VLOOKUP(Делаю[[#This Row],[Название]],СводЦена!A:F,5,0)</f>
        <v>2069.9173453996987</v>
      </c>
      <c r="L18" s="13">
        <f>Делаю[[#This Row],[ЧП]]*Делаю[[#This Row],[Масса готов]]/1000</f>
        <v>10349.586726998494</v>
      </c>
      <c r="M18" s="13">
        <f>Делаю[[#This Row],[Цена/кг]]*Делаю[[#This Row],[Масса готов]]/1000</f>
        <v>15550</v>
      </c>
      <c r="N18" s="13"/>
      <c r="O18" s="13" t="str">
        <f>VLOOKUP(Делаю[[#This Row],[Название]],Рецепты[],16,0)</f>
        <v>https://www.youtube.com/watch?v=RcLAgLhXOwU</v>
      </c>
    </row>
    <row r="19" spans="1:16" hidden="1" x14ac:dyDescent="0.25">
      <c r="A19" s="24">
        <v>45553</v>
      </c>
      <c r="B19" s="24" t="str">
        <f>VLOOKUP(Делаю[[#This Row],[Название]],Рецепты[],2,0)</f>
        <v>Цельное</v>
      </c>
      <c r="C19" t="s">
        <v>564</v>
      </c>
      <c r="D19" s="11">
        <v>1602</v>
      </c>
      <c r="F19" s="5" t="str">
        <f>IF(Делаю[[#This Row],[Масса готов]]&gt;0,(Делаю[[#This Row],[Масса]]-Делаю[[#This Row],[Масса готов]])*100%/Делаю[[#This Row],[Масса]],"")</f>
        <v/>
      </c>
      <c r="G19" s="5">
        <f>VLOOKUP(Делаю[[#This Row],[Название]],СводЦена!A:F,4,0)</f>
        <v>0.15</v>
      </c>
      <c r="H19" s="13">
        <f>VLOOKUP(Делаю[[#This Row],[Название]],СводЦена!A:F,2,0)</f>
        <v>598.80280808080818</v>
      </c>
      <c r="I19" s="10">
        <f>VLOOKUP(Делаю[[#This Row],[Название]],СводЦена!A:F,3,0)</f>
        <v>0.7</v>
      </c>
      <c r="J19" s="13">
        <f>VLOOKUP(Делаю[[#This Row],[Название]],СводЦена!A:F,6,0)</f>
        <v>1200</v>
      </c>
      <c r="K19" s="13">
        <f>VLOOKUP(Делаю[[#This Row],[Название]],СводЦена!A:F,5,0)</f>
        <v>490.8090244800951</v>
      </c>
      <c r="L19" s="13">
        <f>Делаю[[#This Row],[ЧП]]*Делаю[[#This Row],[Масса готов]]/1000</f>
        <v>0</v>
      </c>
      <c r="M19" s="13">
        <f>Делаю[[#This Row],[Цена/кг]]*Делаю[[#This Row],[Масса готов]]/1000</f>
        <v>0</v>
      </c>
      <c r="N19" s="13"/>
      <c r="O19" s="13" t="str">
        <f>VLOOKUP(Делаю[[#This Row],[Название]],Рецепты[],16,0)</f>
        <v>как сделать ШАШЛЫК максимально СОЧНЫМ наглядный эксперимент (youtube.com)</v>
      </c>
    </row>
    <row r="20" spans="1:16" hidden="1" x14ac:dyDescent="0.25">
      <c r="A20" s="24">
        <v>45612</v>
      </c>
      <c r="B20" s="24" t="str">
        <f>VLOOKUP(Делаю[[#This Row],[Название]],Рецепты[],2,0)</f>
        <v>Цельное</v>
      </c>
      <c r="C20" t="s">
        <v>437</v>
      </c>
      <c r="D20" s="11">
        <v>8000</v>
      </c>
      <c r="F20" s="5" t="str">
        <f>IF(Делаю[[#This Row],[Масса готов]]&gt;0,(Делаю[[#This Row],[Масса]]-Делаю[[#This Row],[Масса готов]])*100%/Делаю[[#This Row],[Масса]],"")</f>
        <v/>
      </c>
      <c r="G20" s="5">
        <f>VLOOKUP(Делаю[[#This Row],[Название]],СводЦена!A:F,4,0)</f>
        <v>0.05</v>
      </c>
      <c r="H20" s="13">
        <f>VLOOKUP(Делаю[[#This Row],[Название]],СводЦена!A:F,2,0)</f>
        <v>310.08500000000004</v>
      </c>
      <c r="I20" s="10">
        <f>VLOOKUP(Делаю[[#This Row],[Название]],СводЦена!A:F,3,0)</f>
        <v>0.5</v>
      </c>
      <c r="J20" s="13">
        <f>VLOOKUP(Делаю[[#This Row],[Название]],СводЦена!A:F,6,0)</f>
        <v>490</v>
      </c>
      <c r="K20" s="13">
        <f>VLOOKUP(Делаю[[#This Row],[Название]],СводЦена!A:F,5,0)</f>
        <v>162.93723684210528</v>
      </c>
      <c r="L20" s="13">
        <f>Делаю[[#This Row],[ЧП]]*Делаю[[#This Row],[Масса готов]]/1000</f>
        <v>0</v>
      </c>
      <c r="M20" s="13">
        <f>Делаю[[#This Row],[Цена/кг]]*Делаю[[#This Row],[Масса готов]]/1000</f>
        <v>0</v>
      </c>
      <c r="N20" s="13"/>
      <c r="O20" s="13" t="str">
        <f>VLOOKUP(Делаю[[#This Row],[Название]],Рецепты[],16,0)</f>
        <v>Лучший рецепт засолки сала!! Готовим по ГОСТу 1938г (youtube.com)</v>
      </c>
    </row>
    <row r="21" spans="1:16" hidden="1" x14ac:dyDescent="0.25">
      <c r="A21" s="24">
        <v>45612</v>
      </c>
      <c r="B21" s="24" t="str">
        <f>VLOOKUP(Делаю[[#This Row],[Название]],Рецепты[],2,0)</f>
        <v>Цельное</v>
      </c>
      <c r="C21" t="s">
        <v>290</v>
      </c>
      <c r="D21" s="11">
        <v>10000</v>
      </c>
      <c r="F21" s="5" t="str">
        <f>IF(Делаю[[#This Row],[Масса готов]]&gt;0,(Делаю[[#This Row],[Масса]]-Делаю[[#This Row],[Масса готов]])*100%/Делаю[[#This Row],[Масса]],"")</f>
        <v/>
      </c>
      <c r="G21" s="5">
        <f>VLOOKUP(Делаю[[#This Row],[Название]],СводЦена!A:F,4,0)</f>
        <v>0.15</v>
      </c>
      <c r="H21" s="13">
        <f>VLOOKUP(Делаю[[#This Row],[Название]],СводЦена!A:F,2,0)</f>
        <v>434.81876470588236</v>
      </c>
      <c r="I21" s="10">
        <f>VLOOKUP(Делаю[[#This Row],[Название]],СводЦена!A:F,3,0)</f>
        <v>0.9</v>
      </c>
      <c r="J21" s="13">
        <f>VLOOKUP(Делаю[[#This Row],[Название]],СводЦена!A:F,6,0)</f>
        <v>980</v>
      </c>
      <c r="K21" s="13">
        <f>VLOOKUP(Делаю[[#This Row],[Название]],СводЦена!A:F,5,0)</f>
        <v>459.62941764705886</v>
      </c>
      <c r="L21" s="13">
        <f>Делаю[[#This Row],[ЧП]]*Делаю[[#This Row],[Масса готов]]/1000</f>
        <v>0</v>
      </c>
      <c r="M21" s="13">
        <f>Делаю[[#This Row],[Цена/кг]]*Делаю[[#This Row],[Масса готов]]/1000</f>
        <v>0</v>
      </c>
      <c r="N21" s="13"/>
      <c r="O21" s="13" t="str">
        <f>VLOOKUP(Делаю[[#This Row],[Название]],Рецепты[],16,0)</f>
        <v>https://www.youtube.com/watch?v=VJPh2ER-Zuw</v>
      </c>
    </row>
    <row r="22" spans="1:16" hidden="1" x14ac:dyDescent="0.25">
      <c r="A22" s="24">
        <v>45714</v>
      </c>
      <c r="B22" s="24" t="str">
        <f>VLOOKUP(Делаю[[#This Row],[Название]],Рецепты[],2,0)</f>
        <v>Рыба</v>
      </c>
      <c r="C22" t="s">
        <v>577</v>
      </c>
      <c r="D22" s="11">
        <v>1141</v>
      </c>
      <c r="F22" s="5" t="str">
        <f>IF(Делаю[[#This Row],[Масса готов]]&gt;0,(Делаю[[#This Row],[Масса]]-Делаю[[#This Row],[Масса готов]])*100%/Делаю[[#This Row],[Масса]],"")</f>
        <v/>
      </c>
      <c r="G22" s="5">
        <f>VLOOKUP(Делаю[[#This Row],[Название]],СводЦена!A:F,4,0)</f>
        <v>0.1</v>
      </c>
      <c r="H22" s="4">
        <f>VLOOKUP(Делаю[[#This Row],[Название]],СводЦена!A:F,2,0)</f>
        <v>438.19764812834228</v>
      </c>
      <c r="I22" s="10">
        <f>VLOOKUP(Делаю[[#This Row],[Название]],СводЦена!A:F,3,0)</f>
        <v>0.9</v>
      </c>
      <c r="J22" s="13">
        <f>VLOOKUP(Делаю[[#This Row],[Название]],СводЦена!A:F,6,0)</f>
        <v>930</v>
      </c>
      <c r="K22" s="13">
        <f>VLOOKUP(Делаю[[#This Row],[Название]],СводЦена!A:F,5,0)</f>
        <v>436.87788331550792</v>
      </c>
      <c r="L22" s="13">
        <f>Делаю[[#This Row],[ЧП]]*Делаю[[#This Row],[Масса готов]]/1000</f>
        <v>0</v>
      </c>
      <c r="M22" s="13">
        <f>Делаю[[#This Row],[Цена/кг]]*Делаю[[#This Row],[Масса готов]]/1000</f>
        <v>0</v>
      </c>
      <c r="N22" s="13"/>
      <c r="O22" s="13" t="str">
        <f>VLOOKUP(Делаю[[#This Row],[Название]],Рецепты[],16,0)</f>
        <v>https://www.youtube.com/watch?v=zrSgFE-1bv8</v>
      </c>
    </row>
    <row r="23" spans="1:16" hidden="1" x14ac:dyDescent="0.25">
      <c r="A23" s="24">
        <v>45714</v>
      </c>
      <c r="B23" s="24" t="str">
        <f>VLOOKUP(Делаю[[#This Row],[Название]],Рецепты[],2,0)</f>
        <v>Рыба</v>
      </c>
      <c r="C23" t="s">
        <v>346</v>
      </c>
      <c r="D23" s="11">
        <v>1349</v>
      </c>
      <c r="F23" s="5" t="str">
        <f>IF(Делаю[[#This Row],[Масса готов]]&gt;0,(Делаю[[#This Row],[Масса]]-Делаю[[#This Row],[Масса готов]])*100%/Делаю[[#This Row],[Масса]],"")</f>
        <v/>
      </c>
      <c r="G23" s="5">
        <f>VLOOKUP(Делаю[[#This Row],[Название]],СводЦена!A:F,4,0)</f>
        <v>0.05</v>
      </c>
      <c r="H23" s="4">
        <f>VLOOKUP(Делаю[[#This Row],[Название]],СводЦена!A:F,2,0)</f>
        <v>364.56290542398779</v>
      </c>
      <c r="I23" s="10">
        <f>VLOOKUP(Делаю[[#This Row],[Название]],СводЦена!A:F,3,0)</f>
        <v>0.5</v>
      </c>
      <c r="J23" s="13">
        <f>VLOOKUP(Делаю[[#This Row],[Название]],СводЦена!A:F,6,0)</f>
        <v>580</v>
      </c>
      <c r="K23" s="13">
        <f>VLOOKUP(Делаю[[#This Row],[Название]],СводЦена!A:F,5,0)</f>
        <v>191.30400910297132</v>
      </c>
      <c r="L23" s="13">
        <f>Делаю[[#This Row],[ЧП]]*Делаю[[#This Row],[Масса готов]]/1000</f>
        <v>0</v>
      </c>
      <c r="M23" s="13">
        <f>Делаю[[#This Row],[Цена/кг]]*Делаю[[#This Row],[Масса готов]]/1000</f>
        <v>0</v>
      </c>
      <c r="N23" s="13"/>
      <c r="O23" s="13" t="str">
        <f>VLOOKUP(Делаю[[#This Row],[Название]],Рецепты[],16,0)</f>
        <v>https://www.youtube.com/watch?v=Ci5-qEbJGXQ</v>
      </c>
    </row>
    <row r="24" spans="1:16" hidden="1" x14ac:dyDescent="0.25">
      <c r="A24" s="24">
        <v>45734</v>
      </c>
      <c r="B24" s="24" t="str">
        <f>VLOOKUP(Делаю[[#This Row],[Название]],Рецепты[],2,0)</f>
        <v>Колбаса</v>
      </c>
      <c r="C24" t="s">
        <v>334</v>
      </c>
      <c r="D24" s="11">
        <v>9658</v>
      </c>
      <c r="E24" s="11">
        <v>6277.7</v>
      </c>
      <c r="F24" s="5">
        <f>IF(Делаю[[#This Row],[Масса готов]]&gt;0,(Делаю[[#This Row],[Масса]]-Делаю[[#This Row],[Масса готов]])*100%/Делаю[[#This Row],[Масса]],"")</f>
        <v>0.35000000000000003</v>
      </c>
      <c r="G24" s="5">
        <f>VLOOKUP(Делаю[[#This Row],[Название]],СводЦена!A:F,4,0)</f>
        <v>0.35</v>
      </c>
      <c r="H24" s="4">
        <f>VLOOKUP(Делаю[[#This Row],[Название]],СводЦена!A:F,2,0)</f>
        <v>427.18616513642826</v>
      </c>
      <c r="I24" s="10">
        <f>VLOOKUP(Делаю[[#This Row],[Название]],СводЦена!A:F,3,0)</f>
        <v>2</v>
      </c>
      <c r="J24" s="13">
        <f>VLOOKUP(Делаю[[#This Row],[Название]],СводЦена!A:F,6,0)</f>
        <v>1860</v>
      </c>
      <c r="K24" s="13">
        <f>VLOOKUP(Делаю[[#This Row],[Название]],СводЦена!A:F,5,0)</f>
        <v>1236.8954071959333</v>
      </c>
      <c r="L24" s="13">
        <f>Делаю[[#This Row],[ЧП]]*Делаю[[#This Row],[Масса готов]]/1000</f>
        <v>7764.8582977539108</v>
      </c>
      <c r="M24" s="13">
        <f>Делаю[[#This Row],[Цена/кг]]*Делаю[[#This Row],[Масса готов]]/1000</f>
        <v>11676.522000000001</v>
      </c>
      <c r="N24" s="13"/>
      <c r="O24" s="13" t="str">
        <f>VLOOKUP(Делаю[[#This Row],[Название]],Рецепты[],16,0)</f>
        <v>https://www.youtube.com/watch?v=NcF15xTHz-U</v>
      </c>
      <c r="P24" s="13"/>
    </row>
    <row r="25" spans="1:16" hidden="1" x14ac:dyDescent="0.25">
      <c r="A25" s="24">
        <v>45790</v>
      </c>
      <c r="B25" s="24" t="str">
        <f>VLOOKUP(Делаю[[#This Row],[Название]],Рецепты[],2,0)</f>
        <v>Цельное</v>
      </c>
      <c r="C25" t="s">
        <v>282</v>
      </c>
      <c r="D25" s="11">
        <v>4280</v>
      </c>
      <c r="F25" s="5" t="str">
        <f>IF(Делаю[[#This Row],[Масса готов]]&gt;0,(Делаю[[#This Row],[Масса]]-Делаю[[#This Row],[Масса готов]])*100%/Делаю[[#This Row],[Масса]],"")</f>
        <v/>
      </c>
      <c r="G25" s="5">
        <f>VLOOKUP(Делаю[[#This Row],[Название]],СводЦена!A:F,4,0)</f>
        <v>0.15</v>
      </c>
      <c r="H25" s="53">
        <f>VLOOKUP(Делаю[[#This Row],[Название]],СводЦена!A:F,2,0)</f>
        <v>201.84114705882351</v>
      </c>
      <c r="I25" s="10">
        <f>VLOOKUP(Делаю[[#This Row],[Название]],СводЦена!A:F,3,0)</f>
        <v>0.9</v>
      </c>
      <c r="J25" s="13">
        <f>VLOOKUP(Делаю[[#This Row],[Название]],СводЦена!A:F,6,0)</f>
        <v>460</v>
      </c>
      <c r="K25" s="13">
        <f>VLOOKUP(Делаю[[#This Row],[Название]],СводЦена!A:F,5,0)</f>
        <v>213.42173823529416</v>
      </c>
      <c r="L25" s="13">
        <f>Делаю[[#This Row],[ЧП]]*Делаю[[#This Row],[Масса готов]]/1000</f>
        <v>0</v>
      </c>
      <c r="M25" s="13">
        <f>Делаю[[#This Row],[Цена/кг]]*Делаю[[#This Row],[Масса готов]]/1000</f>
        <v>0</v>
      </c>
      <c r="N25" s="13"/>
      <c r="O25" s="13" t="str">
        <f>VLOOKUP(Делаю[[#This Row],[Название]],Рецепты[],16,0)</f>
        <v>https://www.youtube.com/watch?v=bwqN7FZs5Ds</v>
      </c>
      <c r="P25" s="10"/>
    </row>
    <row r="26" spans="1:16" x14ac:dyDescent="0.25">
      <c r="A26" s="24">
        <v>45826</v>
      </c>
      <c r="B26" s="24" t="str">
        <f>VLOOKUP(Делаю[[#This Row],[Название]],Рецепты[],2,0)</f>
        <v>Сосиски</v>
      </c>
      <c r="C26" t="s">
        <v>631</v>
      </c>
      <c r="D26" s="11">
        <v>3000</v>
      </c>
      <c r="F26" s="5" t="str">
        <f>IF(Делаю[[#This Row],[Масса готов]]&gt;0,(Делаю[[#This Row],[Масса]]-Делаю[[#This Row],[Масса готов]])*100%/Делаю[[#This Row],[Масса]],"")</f>
        <v/>
      </c>
      <c r="G26" s="5">
        <f>VLOOKUP(Делаю[[#This Row],[Название]],СводЦена!A:F,4,0)</f>
        <v>0.15</v>
      </c>
      <c r="H26" s="53">
        <f>VLOOKUP(Делаю[[#This Row],[Название]],СводЦена!A:F,2,0)</f>
        <v>445.31876365580553</v>
      </c>
      <c r="I26" s="10">
        <f>VLOOKUP(Делаю[[#This Row],[Название]],СводЦена!A:F,3,0)</f>
        <v>0.9</v>
      </c>
      <c r="J26" s="13">
        <f>VLOOKUP(Делаю[[#This Row],[Название]],СводЦена!A:F,6,0)</f>
        <v>980</v>
      </c>
      <c r="K26" s="13">
        <f>VLOOKUP(Делаю[[#This Row],[Название]],СводЦена!A:F,5,0)</f>
        <v>461.07566376081337</v>
      </c>
      <c r="L26" s="13">
        <f>Делаю[[#This Row],[ЧП]]*Делаю[[#This Row],[Масса готов]]/1000</f>
        <v>0</v>
      </c>
      <c r="M26" s="13">
        <f>Делаю[[#This Row],[Цена/кг]]*Делаю[[#This Row],[Масса готов]]/1000</f>
        <v>0</v>
      </c>
      <c r="N26" s="13"/>
      <c r="O26" s="13" t="str">
        <f>VLOOKUP(Делаю[[#This Row],[Название]],Рецепты[],16,0)</f>
        <v>https://www.youtube.com/watch?v=PwFXCb96LRQ&amp;t=445s</v>
      </c>
    </row>
    <row r="27" spans="1:16" x14ac:dyDescent="0.25">
      <c r="A27" s="24">
        <v>45826</v>
      </c>
      <c r="B27" s="24" t="str">
        <f>VLOOKUP(Делаю[[#This Row],[Название]],Рецепты[],2,0)</f>
        <v>Сосиски</v>
      </c>
      <c r="C27" t="s">
        <v>508</v>
      </c>
      <c r="D27" s="11">
        <v>3000</v>
      </c>
      <c r="F27" s="5" t="str">
        <f>IF(Делаю[[#This Row],[Масса готов]]&gt;0,(Делаю[[#This Row],[Масса]]-Делаю[[#This Row],[Масса готов]])*100%/Делаю[[#This Row],[Масса]],"")</f>
        <v/>
      </c>
      <c r="G27" s="5">
        <f>VLOOKUP(Делаю[[#This Row],[Название]],СводЦена!A:F,4,0)</f>
        <v>0.15</v>
      </c>
      <c r="H27" s="53">
        <f>VLOOKUP(Делаю[[#This Row],[Название]],СводЦена!A:F,2,0)</f>
        <v>430.44529738328163</v>
      </c>
      <c r="I27" s="10">
        <f>VLOOKUP(Делаю[[#This Row],[Название]],СводЦена!A:F,3,0)</f>
        <v>0.7</v>
      </c>
      <c r="J27" s="13">
        <f>VLOOKUP(Делаю[[#This Row],[Название]],СводЦена!A:F,6,0)</f>
        <v>850</v>
      </c>
      <c r="K27" s="13">
        <f>VLOOKUP(Делаю[[#This Row],[Название]],СводЦена!A:F,5,0)</f>
        <v>346.89406110947368</v>
      </c>
      <c r="L27" s="13">
        <f>Делаю[[#This Row],[ЧП]]*Делаю[[#This Row],[Масса готов]]/1000</f>
        <v>0</v>
      </c>
      <c r="M27" s="13">
        <f>Делаю[[#This Row],[Цена/кг]]*Делаю[[#This Row],[Масса готов]]/1000</f>
        <v>0</v>
      </c>
      <c r="N27" s="13"/>
      <c r="O27" s="13" t="str">
        <f>VLOOKUP(Делаю[[#This Row],[Название]],Рецепты[],16,0)</f>
        <v>Рецепт колбасок из МОЕЙ ХОТДОЖНОЙ в Питере! - YouTube</v>
      </c>
    </row>
    <row r="28" spans="1:16" x14ac:dyDescent="0.25">
      <c r="A28" s="24">
        <v>45826</v>
      </c>
      <c r="B28" s="24" t="str">
        <f>VLOOKUP(Делаю[[#This Row],[Название]],Рецепты[],2,0)</f>
        <v>Сосиски</v>
      </c>
      <c r="C28" t="s">
        <v>270</v>
      </c>
      <c r="D28" s="11">
        <v>4690</v>
      </c>
      <c r="F28" s="5" t="str">
        <f>IF(Делаю[[#This Row],[Масса готов]]&gt;0,(Делаю[[#This Row],[Масса]]-Делаю[[#This Row],[Масса готов]])*100%/Делаю[[#This Row],[Масса]],"")</f>
        <v/>
      </c>
      <c r="G28" s="5">
        <f>VLOOKUP(Делаю[[#This Row],[Название]],СводЦена!A:F,4,0)</f>
        <v>0.15</v>
      </c>
      <c r="H28" s="53">
        <f>VLOOKUP(Делаю[[#This Row],[Название]],СводЦена!A:F,2,0)</f>
        <v>415.321769159871</v>
      </c>
      <c r="I28" s="10">
        <f>VLOOKUP(Делаю[[#This Row],[Название]],СводЦена!A:F,3,0)</f>
        <v>0.7</v>
      </c>
      <c r="J28" s="13">
        <f>VLOOKUP(Делаю[[#This Row],[Название]],СводЦена!A:F,6,0)</f>
        <v>820</v>
      </c>
      <c r="K28" s="13">
        <f>VLOOKUP(Делаю[[#This Row],[Название]],СводЦена!A:F,5,0)</f>
        <v>336.3075913530862</v>
      </c>
      <c r="L28" s="13">
        <f>Делаю[[#This Row],[ЧП]]*Делаю[[#This Row],[Масса готов]]/1000</f>
        <v>0</v>
      </c>
      <c r="M28" s="13">
        <f>Делаю[[#This Row],[Цена/кг]]*Делаю[[#This Row],[Масса готов]]/1000</f>
        <v>0</v>
      </c>
      <c r="N28" s="13"/>
      <c r="O28" s="13" t="str">
        <f>VLOOKUP(Делаю[[#This Row],[Название]],Рецепты[],16,0)</f>
        <v>https://www.youtube.com/watch?v=Mu_glCpe-Y8</v>
      </c>
    </row>
    <row r="29" spans="1:16" x14ac:dyDescent="0.25">
      <c r="A29" s="24">
        <v>45826</v>
      </c>
      <c r="B29" s="24" t="str">
        <f>VLOOKUP(Делаю[[#This Row],[Название]],Рецепты[],2,0)</f>
        <v>Сосиски</v>
      </c>
      <c r="C29" t="s">
        <v>561</v>
      </c>
      <c r="D29" s="11">
        <v>3500</v>
      </c>
      <c r="F29" s="5" t="str">
        <f>IF(Делаю[[#This Row],[Масса готов]]&gt;0,(Делаю[[#This Row],[Масса]]-Делаю[[#This Row],[Масса готов]])*100%/Делаю[[#This Row],[Масса]],"")</f>
        <v/>
      </c>
      <c r="G29" s="5">
        <f>VLOOKUP(Делаю[[#This Row],[Название]],СводЦена!A:F,4,0)</f>
        <v>0.15</v>
      </c>
      <c r="H29" s="53">
        <f>VLOOKUP(Делаю[[#This Row],[Название]],СводЦена!A:F,2,0)</f>
        <v>384.17357367561675</v>
      </c>
      <c r="I29" s="10">
        <f>VLOOKUP(Делаю[[#This Row],[Название]],СводЦена!A:F,3,0)</f>
        <v>0.7</v>
      </c>
      <c r="J29" s="13">
        <f>VLOOKUP(Делаю[[#This Row],[Название]],СводЦена!A:F,6,0)</f>
        <v>740</v>
      </c>
      <c r="K29" s="13">
        <f>VLOOKUP(Делаю[[#This Row],[Название]],СводЦена!A:F,5,0)</f>
        <v>301.18447735147839</v>
      </c>
      <c r="L29" s="13">
        <f>Делаю[[#This Row],[ЧП]]*Делаю[[#This Row],[Масса готов]]/1000</f>
        <v>0</v>
      </c>
      <c r="M29" s="13">
        <f>Делаю[[#This Row],[Цена/кг]]*Делаю[[#This Row],[Масса готов]]/1000</f>
        <v>0</v>
      </c>
      <c r="N29" s="13"/>
      <c r="O29" s="13" t="str">
        <f>VLOOKUP(Делаю[[#This Row],[Название]],Рецепты[],16,0)</f>
        <v>🍗 Сосиски Сливочные Куриные 🌭🔥🥣 Делаем Дома! Просто и Вкусно! 🤤✨ (youtube.com)</v>
      </c>
    </row>
    <row r="30" spans="1:16" x14ac:dyDescent="0.25">
      <c r="A30" s="24">
        <v>45861</v>
      </c>
      <c r="B30" s="24" t="str">
        <f>VLOOKUP(Делаю[[#This Row],[Название]],Рецепты[],2,0)</f>
        <v>Колбаса</v>
      </c>
      <c r="C30" t="s">
        <v>391</v>
      </c>
      <c r="D30" s="11">
        <v>5000</v>
      </c>
      <c r="F30" s="5" t="str">
        <f>IF(Делаю[[#This Row],[Масса готов]]&gt;0,(Делаю[[#This Row],[Масса]]-Делаю[[#This Row],[Масса готов]])*100%/Делаю[[#This Row],[Масса]],"")</f>
        <v/>
      </c>
      <c r="G30" s="5">
        <f>VLOOKUP(Делаю[[#This Row],[Название]],СводЦена!A:F,4,0)</f>
        <v>0.15</v>
      </c>
      <c r="H30" s="53">
        <f>VLOOKUP(Делаю[[#This Row],[Название]],СводЦена!A:F,2,0)</f>
        <v>398.52849806820211</v>
      </c>
      <c r="I30" s="10">
        <f>VLOOKUP(Делаю[[#This Row],[Название]],СводЦена!A:F,3,0)</f>
        <v>0.7</v>
      </c>
      <c r="J30" s="13">
        <f>VLOOKUP(Делаю[[#This Row],[Название]],СводЦена!A:F,6,0)</f>
        <v>800</v>
      </c>
      <c r="K30" s="13">
        <f>VLOOKUP(Делаю[[#This Row],[Название]],СводЦена!A:F,5,0)</f>
        <v>325.6070698242122</v>
      </c>
      <c r="L30" s="13">
        <f>Делаю[[#This Row],[ЧП]]*Делаю[[#This Row],[Масса готов]]/1000</f>
        <v>0</v>
      </c>
      <c r="M30" s="13">
        <f>Делаю[[#This Row],[Цена/кг]]*Делаю[[#This Row],[Масса готов]]/1000</f>
        <v>0</v>
      </c>
      <c r="N30" s="13"/>
      <c r="O30" s="13" t="str">
        <f>VLOOKUP(Делаю[[#This Row],[Название]],Рецепты[],16,0)</f>
        <v>ВЕТЧИНА МРАМОРНАЯ НАСТОЯЩАЯ в домашних условиях (youtube.com)</v>
      </c>
    </row>
    <row r="31" spans="1:16" x14ac:dyDescent="0.25">
      <c r="A31" s="24">
        <v>45861</v>
      </c>
      <c r="B31" s="24" t="str">
        <f>VLOOKUP(Делаю[[#This Row],[Название]],Рецепты[],2,0)</f>
        <v>Колбаса</v>
      </c>
      <c r="C31" t="s">
        <v>444</v>
      </c>
      <c r="F31" s="5" t="str">
        <f>IF(Делаю[[#This Row],[Масса готов]]&gt;0,(Делаю[[#This Row],[Масса]]-Делаю[[#This Row],[Масса готов]])*100%/Делаю[[#This Row],[Масса]],"")</f>
        <v/>
      </c>
      <c r="G31" s="5">
        <f>VLOOKUP(Делаю[[#This Row],[Название]],СводЦена!A:F,4,0)</f>
        <v>0.15</v>
      </c>
      <c r="H31" s="53">
        <f>VLOOKUP(Делаю[[#This Row],[Название]],СводЦена!A:F,2,0)</f>
        <v>519.33864808108865</v>
      </c>
      <c r="I31" s="10">
        <f>VLOOKUP(Делаю[[#This Row],[Название]],СводЦена!A:F,3,0)</f>
        <v>0.9</v>
      </c>
      <c r="J31" s="13">
        <f>VLOOKUP(Делаю[[#This Row],[Название]],СводЦена!A:F,6,0)</f>
        <v>1160</v>
      </c>
      <c r="K31" s="13">
        <f>VLOOKUP(Делаю[[#This Row],[Название]],СводЦена!A:F,5,0)</f>
        <v>545.16383033180352</v>
      </c>
      <c r="L31" s="13">
        <f>Делаю[[#This Row],[ЧП]]*Делаю[[#This Row],[Масса готов]]/1000</f>
        <v>0</v>
      </c>
      <c r="M31" s="13">
        <f>Делаю[[#This Row],[Цена/кг]]*Делаю[[#This Row],[Масса готов]]/1000</f>
        <v>0</v>
      </c>
      <c r="N31" s="13"/>
      <c r="O31" s="13" t="str">
        <f>VLOOKUP(Делаю[[#This Row],[Название]],Рецепты[],16,0)</f>
        <v>Классическая Краковская колбаса полукопченая своими руками - YouTube</v>
      </c>
    </row>
    <row r="32" spans="1:16" x14ac:dyDescent="0.25">
      <c r="A32" s="24">
        <v>45914</v>
      </c>
      <c r="B32" s="24" t="str">
        <f>VLOOKUP(Делаю[[#This Row],[Название]],Рецепты[],2,0)</f>
        <v>Рыба</v>
      </c>
      <c r="C32" t="s">
        <v>346</v>
      </c>
      <c r="D32" s="11">
        <v>1806</v>
      </c>
      <c r="F32" s="5" t="str">
        <f>IF(Делаю[[#This Row],[Масса готов]]&gt;0,(Делаю[[#This Row],[Масса]]-Делаю[[#This Row],[Масса готов]])*100%/Делаю[[#This Row],[Масса]],"")</f>
        <v/>
      </c>
      <c r="G32" s="5">
        <f>VLOOKUP(Делаю[[#This Row],[Название]],СводЦена!A:F,4,0)</f>
        <v>0.05</v>
      </c>
      <c r="H32" s="53">
        <f>VLOOKUP(Делаю[[#This Row],[Название]],СводЦена!A:F,2,0)</f>
        <v>364.56290542398779</v>
      </c>
      <c r="I32" s="10">
        <f>VLOOKUP(Делаю[[#This Row],[Название]],СводЦена!A:F,3,0)</f>
        <v>0.5</v>
      </c>
      <c r="J32" s="13">
        <f>VLOOKUP(Делаю[[#This Row],[Название]],СводЦена!A:F,6,0)</f>
        <v>580</v>
      </c>
      <c r="K32" s="13">
        <f>VLOOKUP(Делаю[[#This Row],[Название]],СводЦена!A:F,5,0)</f>
        <v>191.30400910297132</v>
      </c>
      <c r="L32" s="13">
        <f>Делаю[[#This Row],[ЧП]]*Делаю[[#This Row],[Масса готов]]/1000</f>
        <v>0</v>
      </c>
      <c r="M32" s="13">
        <f>Делаю[[#This Row],[Цена/кг]]*Делаю[[#This Row],[Масса готов]]/1000</f>
        <v>0</v>
      </c>
      <c r="N32" s="13"/>
      <c r="O32" s="13" t="str">
        <f>VLOOKUP(Делаю[[#This Row],[Название]],Рецепты[],16,0)</f>
        <v>https://www.youtube.com/watch?v=Ci5-qEbJGXQ</v>
      </c>
    </row>
    <row r="33" spans="1:15" x14ac:dyDescent="0.25">
      <c r="A33" s="24">
        <v>45917</v>
      </c>
      <c r="B33" s="24" t="str">
        <f>VLOOKUP(Делаю[[#This Row],[Название]],Рецепты[],2,0)</f>
        <v>Рыба</v>
      </c>
      <c r="C33" t="s">
        <v>300</v>
      </c>
      <c r="D33" s="11">
        <v>3810</v>
      </c>
      <c r="F33" s="5" t="str">
        <f>IF(Делаю[[#This Row],[Масса готов]]&gt;0,(Делаю[[#This Row],[Масса]]-Делаю[[#This Row],[Масса готов]])*100%/Делаю[[#This Row],[Масса]],"")</f>
        <v/>
      </c>
      <c r="G33" s="5">
        <f>VLOOKUP(Делаю[[#This Row],[Название]],СводЦена!A:F,4,0)</f>
        <v>0.15</v>
      </c>
      <c r="H33" s="53">
        <f>VLOOKUP(Делаю[[#This Row],[Название]],СводЦена!A:F,2,0)</f>
        <v>428.31</v>
      </c>
      <c r="I33" s="10">
        <f>VLOOKUP(Делаю[[#This Row],[Название]],СводЦена!A:F,3,0)</f>
        <v>1</v>
      </c>
      <c r="J33" s="13">
        <f>VLOOKUP(Делаю[[#This Row],[Название]],СводЦена!A:F,6,0)</f>
        <v>1010</v>
      </c>
      <c r="K33" s="13">
        <f>VLOOKUP(Делаю[[#This Row],[Название]],СводЦена!A:F,5,0)</f>
        <v>503.31</v>
      </c>
      <c r="L33" s="13">
        <f>Делаю[[#This Row],[ЧП]]*Делаю[[#This Row],[Масса готов]]/1000</f>
        <v>0</v>
      </c>
      <c r="M33" s="13">
        <f>Делаю[[#This Row],[Цена/кг]]*Делаю[[#This Row],[Масса готов]]/1000</f>
        <v>0</v>
      </c>
      <c r="N33" s="13"/>
      <c r="O33" s="13" t="str">
        <f>VLOOKUP(Делаю[[#This Row],[Название]],Рецепты[],16,0)</f>
        <v>https://youtu.be/dqZj1rANEhA</v>
      </c>
    </row>
  </sheetData>
  <phoneticPr fontId="8" type="noConversion"/>
  <dataValidations count="1">
    <dataValidation type="list" allowBlank="1" showInputMessage="1" showErrorMessage="1" sqref="C2:C33" xr:uid="{11DE9566-BB56-44C3-9A8C-AEF825A6C23C}">
      <formula1>Название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C816-3DCB-48C1-87B3-D9A3C758374A}">
  <dimension ref="B1:F32"/>
  <sheetViews>
    <sheetView tabSelected="1" workbookViewId="0">
      <selection activeCell="B1" sqref="B1"/>
    </sheetView>
  </sheetViews>
  <sheetFormatPr defaultRowHeight="15" x14ac:dyDescent="0.25"/>
  <cols>
    <col min="1" max="1" width="12" bestFit="1" customWidth="1"/>
    <col min="2" max="2" width="25.85546875" bestFit="1" customWidth="1"/>
    <col min="3" max="3" width="13.7109375" bestFit="1" customWidth="1"/>
    <col min="4" max="4" width="11.7109375" bestFit="1" customWidth="1"/>
    <col min="5" max="5" width="13.140625" style="4" bestFit="1" customWidth="1"/>
  </cols>
  <sheetData>
    <row r="1" spans="2:6" s="32" customFormat="1" ht="18.75" x14ac:dyDescent="0.3">
      <c r="B1" s="54" t="s">
        <v>564</v>
      </c>
      <c r="C1" s="46">
        <v>1280</v>
      </c>
      <c r="D1" s="47">
        <f>SUM(C3:C50)/1000</f>
        <v>1.7736959999999999</v>
      </c>
      <c r="E1" s="48">
        <f>SUM(E3:E50)</f>
        <v>766.46759434343448</v>
      </c>
      <c r="F1" s="48" t="str">
        <f>VLOOKUP(B1,Рецепты[],16,)</f>
        <v>как сделать ШАШЛЫК максимально СОЧНЫМ наглядный эксперимент (youtube.com)</v>
      </c>
    </row>
    <row r="2" spans="2:6" s="35" customFormat="1" ht="21" x14ac:dyDescent="0.35">
      <c r="B2" s="33" t="s">
        <v>235</v>
      </c>
      <c r="C2" s="34" t="s">
        <v>610</v>
      </c>
      <c r="E2" s="45"/>
    </row>
    <row r="3" spans="2:6" x14ac:dyDescent="0.25">
      <c r="B3" t="str" cm="1">
        <f t="array" ref="B3:B12">_xlfn._xlws.FILTER(Рецепты[Состав],Рецепты[Название]=ТЛФН!$B$1)</f>
        <v>Шея свиная</v>
      </c>
      <c r="C3" s="12" cm="1">
        <f t="array" ref="C3:C12">_xlfn._xlws.FILTER(Рецепты[%],Рецепты[Название]=ТЛФН!$B$1)*$C$1</f>
        <v>1280</v>
      </c>
      <c r="D3" s="12" t="str">
        <f>IFERROR(VLOOKUP(B3,Ингредиенты[],9,FALSE),"")</f>
        <v>Нет</v>
      </c>
      <c r="E3" s="4">
        <f>IFERROR(VLOOKUP(B3,Ингредиенты[],3,FALSE)*C3,"")</f>
        <v>742.4</v>
      </c>
    </row>
    <row r="4" spans="2:6" x14ac:dyDescent="0.25">
      <c r="B4" t="str">
        <v>Вода</v>
      </c>
      <c r="C4" s="12">
        <v>192</v>
      </c>
      <c r="D4" s="12" t="str">
        <f>IFERROR(VLOOKUP(B4,Ингредиенты[],9,FALSE),"")</f>
        <v>Да</v>
      </c>
      <c r="E4" s="4">
        <f>IFERROR(VLOOKUP(B4,Ингредиенты[],3,FALSE)*C4,"")</f>
        <v>0.192</v>
      </c>
    </row>
    <row r="5" spans="2:6" x14ac:dyDescent="0.25">
      <c r="B5" t="str">
        <v>Подсолнечное масло</v>
      </c>
      <c r="C5" s="12">
        <v>25.6</v>
      </c>
      <c r="D5" s="12" t="str">
        <f>IFERROR(VLOOKUP(B5,Ингредиенты[],9,FALSE),"")</f>
        <v>Да</v>
      </c>
      <c r="E5" s="4">
        <f>IFERROR(VLOOKUP(B5,Ингредиенты[],3,FALSE)*C5,"")</f>
        <v>4.2240000000000002</v>
      </c>
    </row>
    <row r="6" spans="2:6" x14ac:dyDescent="0.25">
      <c r="B6" t="str">
        <v>Лук репчатый</v>
      </c>
      <c r="C6" s="12">
        <v>256</v>
      </c>
      <c r="D6" s="12" t="str">
        <f>IFERROR(VLOOKUP(B6,Ингредиенты[],9,FALSE),"")</f>
        <v>Да</v>
      </c>
      <c r="E6" s="4">
        <f>IFERROR(VLOOKUP(B6,Ингредиенты[],3,FALSE)*C6,"")</f>
        <v>12.79744</v>
      </c>
    </row>
    <row r="7" spans="2:6" x14ac:dyDescent="0.25">
      <c r="B7" t="str">
        <v>Соль пищевая</v>
      </c>
      <c r="C7" s="12">
        <v>10.24</v>
      </c>
      <c r="D7" s="12" t="str">
        <f>IFERROR(VLOOKUP(B7,Ингредиенты[],9,FALSE),"")</f>
        <v>Да</v>
      </c>
      <c r="E7" s="4">
        <f>IFERROR(VLOOKUP(B7,Ингредиенты[],3,FALSE)*C7,"")</f>
        <v>0.39423999999999998</v>
      </c>
    </row>
    <row r="8" spans="2:6" x14ac:dyDescent="0.25">
      <c r="B8" t="str">
        <v>Перец черный молотый</v>
      </c>
      <c r="C8" s="12">
        <v>2.56</v>
      </c>
      <c r="D8" s="12" t="str">
        <f>IFERROR(VLOOKUP(B8,Ингредиенты[],9,FALSE),"")</f>
        <v>Да</v>
      </c>
      <c r="E8" s="4">
        <f>IFERROR(VLOOKUP(B8,Ингредиенты[],3,FALSE)*C8,"")</f>
        <v>2.8020363636363634</v>
      </c>
    </row>
    <row r="9" spans="2:6" x14ac:dyDescent="0.25">
      <c r="B9" t="str">
        <v>Кориандр</v>
      </c>
      <c r="C9" s="12">
        <v>2.56</v>
      </c>
      <c r="D9" s="12" t="str">
        <f>IFERROR(VLOOKUP(B9,Ингредиенты[],9,FALSE),"")</f>
        <v>Да</v>
      </c>
      <c r="E9" s="4">
        <f>IFERROR(VLOOKUP(B9,Ингредиенты[],3,FALSE)*C9,"")</f>
        <v>1.2856888888888889</v>
      </c>
    </row>
    <row r="10" spans="2:6" x14ac:dyDescent="0.25">
      <c r="B10" t="str">
        <v>Горчица семена</v>
      </c>
      <c r="C10" s="12">
        <v>3.84</v>
      </c>
      <c r="D10" s="12" t="str">
        <f>IFERROR(VLOOKUP(B10,Ингредиенты[],9,FALSE),"")</f>
        <v>Нет</v>
      </c>
      <c r="E10" s="4">
        <f>IFERROR(VLOOKUP(B10,Ингредиенты[],3,FALSE)*C10,"")</f>
        <v>1.8009599999999999</v>
      </c>
    </row>
    <row r="11" spans="2:6" x14ac:dyDescent="0.25">
      <c r="B11" t="str">
        <v>Перец чили молотый</v>
      </c>
      <c r="C11" s="12">
        <v>0.25600000000000001</v>
      </c>
      <c r="D11" s="12" t="str">
        <f>IFERROR(VLOOKUP(B11,Ингредиенты[],9,FALSE),"")</f>
        <v>Нет</v>
      </c>
      <c r="E11" s="4">
        <f>IFERROR(VLOOKUP(B11,Ингредиенты[],3,FALSE)*C11,"")</f>
        <v>0.1987490909090909</v>
      </c>
    </row>
    <row r="12" spans="2:6" x14ac:dyDescent="0.25">
      <c r="B12" t="str">
        <v>Имбирь молотый</v>
      </c>
      <c r="C12" s="12">
        <v>0.64</v>
      </c>
      <c r="D12" s="12" t="str">
        <f>IFERROR(VLOOKUP(B12,Ингредиенты[],9,FALSE),"")</f>
        <v>Нет</v>
      </c>
      <c r="E12" s="4">
        <f>IFERROR(VLOOKUP(B12,Ингредиенты[],3,FALSE)*C12,"")</f>
        <v>0.37247999999999998</v>
      </c>
    </row>
    <row r="13" spans="2:6" x14ac:dyDescent="0.25">
      <c r="C13" s="42"/>
      <c r="D13" s="12" t="str">
        <f>IFERROR(VLOOKUP(B13,Ингредиенты[],9,FALSE),"")</f>
        <v/>
      </c>
      <c r="E13" s="4" t="str">
        <f>IFERROR(VLOOKUP(B13,Ингредиенты[],3,FALSE)*C13,"")</f>
        <v/>
      </c>
    </row>
    <row r="14" spans="2:6" x14ac:dyDescent="0.25">
      <c r="C14" s="12"/>
      <c r="D14" s="12" t="str">
        <f>IFERROR(VLOOKUP(B14,Ингредиенты[],9,FALSE),"")</f>
        <v/>
      </c>
      <c r="E14" s="4" t="str">
        <f>IFERROR(VLOOKUP(B14,Ингредиенты[],3,FALSE)*C14,"")</f>
        <v/>
      </c>
    </row>
    <row r="15" spans="2:6" x14ac:dyDescent="0.25">
      <c r="C15" s="12"/>
      <c r="D15" s="12" t="str">
        <f>IFERROR(VLOOKUP(B15,Ингредиенты[],9,FALSE),"")</f>
        <v/>
      </c>
      <c r="E15" s="4" t="str">
        <f>IFERROR(VLOOKUP(B15,Ингредиенты[],3,FALSE)*C15,"")</f>
        <v/>
      </c>
    </row>
    <row r="16" spans="2:6" x14ac:dyDescent="0.25">
      <c r="C16" s="12"/>
      <c r="D16" s="12" t="str">
        <f>IFERROR(VLOOKUP(B16,Ингредиенты[],9,FALSE),"")</f>
        <v/>
      </c>
      <c r="E16" s="4" t="str">
        <f>IFERROR(VLOOKUP(B16,Ингредиенты[],3,FALSE)*C16,"")</f>
        <v/>
      </c>
    </row>
    <row r="17" spans="3:5" x14ac:dyDescent="0.25">
      <c r="C17" s="12"/>
      <c r="D17" s="12" t="str">
        <f>IFERROR(VLOOKUP(B17,Ингредиенты[],9,FALSE),"")</f>
        <v/>
      </c>
      <c r="E17" s="4" t="str">
        <f>IFERROR(VLOOKUP(B17,Ингредиенты[],3,FALSE)*C17,"")</f>
        <v/>
      </c>
    </row>
    <row r="18" spans="3:5" x14ac:dyDescent="0.25">
      <c r="C18" s="12"/>
      <c r="D18" s="12" t="str">
        <f>IFERROR(VLOOKUP(B18,Ингредиенты[],9,FALSE),"")</f>
        <v/>
      </c>
      <c r="E18" s="4" t="str">
        <f>IFERROR(VLOOKUP(B18,Ингредиенты[],3,FALSE)*C18,"")</f>
        <v/>
      </c>
    </row>
    <row r="19" spans="3:5" x14ac:dyDescent="0.25">
      <c r="C19" s="12"/>
      <c r="D19" s="12" t="str">
        <f>IFERROR(VLOOKUP(B19,Ингредиенты[],9,FALSE),"")</f>
        <v/>
      </c>
      <c r="E19" s="4" t="str">
        <f>IFERROR(VLOOKUP(B19,Ингредиенты[],3,FALSE)*C19,"")</f>
        <v/>
      </c>
    </row>
    <row r="20" spans="3:5" x14ac:dyDescent="0.25">
      <c r="C20" s="12"/>
      <c r="D20" s="12" t="str">
        <f>IFERROR(VLOOKUP(B20,Ингредиенты[],9,FALSE),"")</f>
        <v/>
      </c>
      <c r="E20" s="4" t="str">
        <f>IFERROR(VLOOKUP(B20,Ингредиенты[],3,FALSE)*C20,"")</f>
        <v/>
      </c>
    </row>
    <row r="21" spans="3:5" x14ac:dyDescent="0.25">
      <c r="C21" s="12"/>
      <c r="D21" s="12" t="str">
        <f>IFERROR(VLOOKUP(B21,Ингредиенты[],9,FALSE),"")</f>
        <v/>
      </c>
      <c r="E21" s="4" t="str">
        <f>IFERROR(VLOOKUP(B21,Ингредиенты[],3,FALSE)*C21,"")</f>
        <v/>
      </c>
    </row>
    <row r="22" spans="3:5" x14ac:dyDescent="0.25">
      <c r="C22" s="12"/>
      <c r="D22" s="12" t="str">
        <f>IFERROR(VLOOKUP(B22,Ингредиенты[],9,FALSE),"")</f>
        <v/>
      </c>
    </row>
    <row r="23" spans="3:5" x14ac:dyDescent="0.25">
      <c r="C23" s="12"/>
    </row>
    <row r="24" spans="3:5" x14ac:dyDescent="0.25">
      <c r="C24" s="12"/>
    </row>
    <row r="25" spans="3:5" x14ac:dyDescent="0.25">
      <c r="C25" s="12"/>
    </row>
    <row r="26" spans="3:5" x14ac:dyDescent="0.25">
      <c r="C26" s="12"/>
    </row>
    <row r="27" spans="3:5" x14ac:dyDescent="0.25">
      <c r="C27" s="12"/>
    </row>
    <row r="28" spans="3:5" x14ac:dyDescent="0.25">
      <c r="C28" s="12"/>
    </row>
    <row r="29" spans="3:5" x14ac:dyDescent="0.25">
      <c r="C29" s="12"/>
    </row>
    <row r="30" spans="3:5" x14ac:dyDescent="0.25">
      <c r="C30" s="12"/>
    </row>
    <row r="31" spans="3:5" x14ac:dyDescent="0.25">
      <c r="C31" s="12"/>
    </row>
    <row r="32" spans="3:5" x14ac:dyDescent="0.25">
      <c r="C32" s="12"/>
    </row>
  </sheetData>
  <dataValidations count="2">
    <dataValidation type="list" allowBlank="1" showInputMessage="1" showErrorMessage="1" sqref="B1" xr:uid="{AE2B348B-1132-4A15-B5E1-645034C62B42}">
      <formula1>INDIRECT("Рецепты[Название]")</formula1>
    </dataValidation>
    <dataValidation allowBlank="1" showInputMessage="1" showErrorMessage="1" sqref="C1" xr:uid="{763894A7-0523-4328-9650-C78A6D690398}"/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19B93D-65BE-45A2-84EF-94370B1723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6</vt:i4>
      </vt:variant>
    </vt:vector>
  </HeadingPairs>
  <TitlesOfParts>
    <vt:vector size="13" baseType="lpstr">
      <vt:lpstr>Диапазоны</vt:lpstr>
      <vt:lpstr>Ингредиенты</vt:lpstr>
      <vt:lpstr>Рецепты</vt:lpstr>
      <vt:lpstr>СводРецепт</vt:lpstr>
      <vt:lpstr>СводЦена</vt:lpstr>
      <vt:lpstr>Делаю</vt:lpstr>
      <vt:lpstr>ТЛФН</vt:lpstr>
      <vt:lpstr>Вид_изделия</vt:lpstr>
      <vt:lpstr>Название</vt:lpstr>
      <vt:lpstr>Название_ингредиента</vt:lpstr>
      <vt:lpstr>Рецепты_для_Москит</vt:lpstr>
      <vt:lpstr>Способ_приготовления</vt:lpstr>
      <vt:lpstr>Сырье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Рецеапты</dc:title>
  <dc:subject/>
  <dc:creator>Дмитрий Доготарь</dc:creator>
  <cp:keywords>Колбаса Сосиски Еда</cp:keywords>
  <dc:description/>
  <cp:lastModifiedBy>Dmitry Dogotar</cp:lastModifiedBy>
  <cp:revision/>
  <dcterms:created xsi:type="dcterms:W3CDTF">2015-06-05T18:17:20Z</dcterms:created>
  <dcterms:modified xsi:type="dcterms:W3CDTF">2025-09-30T20:27:34Z</dcterms:modified>
  <cp:category/>
  <cp:contentStatus/>
</cp:coreProperties>
</file>